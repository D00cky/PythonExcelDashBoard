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https://fiscdigitalsdt-my.sharepoint.com/personal/vinicius_silva_fiscdigital_com_br/Documents/CONSÓRCIO FISCALIZAÇÃO DIGITAL/RELATORIOS/MENSAL/ABRIL/GOPOÚVA/"/>
    </mc:Choice>
  </mc:AlternateContent>
  <xr:revisionPtr revIDLastSave="40" documentId="13_ncr:1_{B3306056-72A0-41DA-B43D-0906F7BECD92}" xr6:coauthVersionLast="47" xr6:coauthVersionMax="47" xr10:uidLastSave="{6F15A388-6694-4B3C-9592-642465A2A0F5}"/>
  <bookViews>
    <workbookView xWindow="-120" yWindow="-120" windowWidth="20730" windowHeight="11040" tabRatio="861" xr2:uid="{00000000-000D-0000-FFFF-FFFF00000000}"/>
  </bookViews>
  <sheets>
    <sheet name="ÁGUA" sheetId="10" r:id="rId1"/>
    <sheet name="ESGOTO" sheetId="9" r:id="rId2"/>
    <sheet name="CAVALETE" sheetId="8" r:id="rId3"/>
    <sheet name="REPOSIÇÃO" sheetId="11" r:id="rId4"/>
  </sheets>
  <definedNames>
    <definedName name="_xlnm._FilterDatabase" localSheetId="0" hidden="1">ÁGUA!$A$1:$AK$516</definedName>
    <definedName name="_xlnm._FilterDatabase" localSheetId="2" hidden="1">CAVALETE!$A$1:$AE$371</definedName>
    <definedName name="_xlnm._FilterDatabase" localSheetId="1" hidden="1">ESGOTO!$A$1:$AK$298</definedName>
    <definedName name="_xlnm._FilterDatabase" localSheetId="3" hidden="1">REPOSIÇÃO!$A$1:$AJ$258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14" i="10" l="1"/>
  <c r="AG514" i="10" s="1"/>
  <c r="AF511" i="10"/>
  <c r="AG511" i="10" s="1"/>
  <c r="AF515" i="10"/>
  <c r="AG515" i="10" s="1"/>
  <c r="AF512" i="10"/>
  <c r="AF510" i="10"/>
  <c r="AF509" i="10"/>
  <c r="AF516" i="10"/>
  <c r="AG516" i="10" s="1"/>
  <c r="AF513" i="10"/>
  <c r="AG513" i="10" s="1"/>
  <c r="AF212" i="10"/>
  <c r="AG509" i="10"/>
  <c r="AG510" i="10"/>
  <c r="AG512" i="10"/>
  <c r="AJ509" i="10"/>
  <c r="AJ510" i="10"/>
  <c r="AJ511" i="10"/>
  <c r="AJ512" i="10"/>
  <c r="AJ513" i="10"/>
  <c r="AJ514" i="10"/>
  <c r="AJ515" i="10"/>
  <c r="AJ516" i="10"/>
  <c r="AF218" i="11"/>
  <c r="AF224" i="11"/>
  <c r="AF4" i="9" l="1"/>
  <c r="AF5" i="9"/>
  <c r="AF6" i="9"/>
  <c r="AF7" i="9"/>
  <c r="AF8" i="9"/>
  <c r="AF9" i="9"/>
  <c r="AF10" i="9"/>
  <c r="AF11" i="9"/>
  <c r="AF12" i="9"/>
  <c r="AF13" i="9"/>
  <c r="AF14" i="9"/>
  <c r="AF15" i="9"/>
  <c r="AF16" i="9"/>
  <c r="AF17" i="9"/>
  <c r="AF18" i="9"/>
  <c r="AF19" i="9"/>
  <c r="AF20" i="9"/>
  <c r="AF21" i="9"/>
  <c r="AF22" i="9"/>
  <c r="AF23" i="9"/>
  <c r="AF24" i="9"/>
  <c r="AF25" i="9"/>
  <c r="AF26" i="9"/>
  <c r="AF27" i="9"/>
  <c r="AF28" i="9"/>
  <c r="AF3" i="11" l="1"/>
  <c r="AF4" i="11"/>
  <c r="AG4" i="11" s="1"/>
  <c r="AF5" i="11"/>
  <c r="AG5" i="11" s="1"/>
  <c r="AF6" i="11"/>
  <c r="AG6" i="11" s="1"/>
  <c r="AF7" i="11"/>
  <c r="AG7" i="11" s="1"/>
  <c r="AF8" i="11"/>
  <c r="AG8" i="11" s="1"/>
  <c r="AF9" i="11"/>
  <c r="AG9" i="11" s="1"/>
  <c r="AF10" i="11"/>
  <c r="AG10" i="11" s="1"/>
  <c r="AF11" i="11"/>
  <c r="AG11" i="11" s="1"/>
  <c r="AF12" i="11"/>
  <c r="AG12" i="11" s="1"/>
  <c r="AF13" i="11"/>
  <c r="AG13" i="11" s="1"/>
  <c r="AF14" i="11"/>
  <c r="AG14" i="11" s="1"/>
  <c r="AF15" i="11"/>
  <c r="AG15" i="11" s="1"/>
  <c r="AF16" i="11"/>
  <c r="AG16" i="11" s="1"/>
  <c r="AF17" i="11"/>
  <c r="AG17" i="11" s="1"/>
  <c r="AF18" i="11"/>
  <c r="AG18" i="11" s="1"/>
  <c r="AF19" i="11"/>
  <c r="AG19" i="11" s="1"/>
  <c r="AF20" i="11"/>
  <c r="AG20" i="11" s="1"/>
  <c r="AF21" i="11"/>
  <c r="AG21" i="11" s="1"/>
  <c r="AF22" i="11"/>
  <c r="AG22" i="11" s="1"/>
  <c r="AF23" i="11"/>
  <c r="AG23" i="11" s="1"/>
  <c r="AF24" i="11"/>
  <c r="AG24" i="11" s="1"/>
  <c r="AF25" i="11"/>
  <c r="AG25" i="11" s="1"/>
  <c r="AF26" i="11"/>
  <c r="AG26" i="11" s="1"/>
  <c r="AF27" i="11"/>
  <c r="AG27" i="11" s="1"/>
  <c r="AF28" i="11"/>
  <c r="AG28" i="11" s="1"/>
  <c r="AF29" i="11"/>
  <c r="AG29" i="11" s="1"/>
  <c r="AF30" i="11"/>
  <c r="AG30" i="11" s="1"/>
  <c r="AF31" i="11"/>
  <c r="AG31" i="11" s="1"/>
  <c r="AF32" i="11"/>
  <c r="AG32" i="11" s="1"/>
  <c r="AF33" i="11"/>
  <c r="AG33" i="11" s="1"/>
  <c r="AF34" i="11"/>
  <c r="AG34" i="11" s="1"/>
  <c r="AF35" i="11"/>
  <c r="AG35" i="11" s="1"/>
  <c r="AF36" i="11"/>
  <c r="AG36" i="11" s="1"/>
  <c r="AF37" i="11"/>
  <c r="AG37" i="11" s="1"/>
  <c r="AF38" i="11"/>
  <c r="AG38" i="11" s="1"/>
  <c r="AF39" i="11"/>
  <c r="AG39" i="11" s="1"/>
  <c r="AF40" i="11"/>
  <c r="AG40" i="11" s="1"/>
  <c r="AF41" i="11"/>
  <c r="AG41" i="11" s="1"/>
  <c r="AF42" i="11"/>
  <c r="AG42" i="11" s="1"/>
  <c r="AF43" i="11"/>
  <c r="AG43" i="11" s="1"/>
  <c r="AF44" i="11"/>
  <c r="AG44" i="11" s="1"/>
  <c r="AF45" i="11"/>
  <c r="AG45" i="11" s="1"/>
  <c r="AF46" i="11"/>
  <c r="AG46" i="11" s="1"/>
  <c r="AF47" i="11"/>
  <c r="AG47" i="11" s="1"/>
  <c r="AG48" i="11"/>
  <c r="AF49" i="11"/>
  <c r="AG49" i="11" s="1"/>
  <c r="AF50" i="11"/>
  <c r="AG50" i="11" s="1"/>
  <c r="AF51" i="11"/>
  <c r="AG51" i="11" s="1"/>
  <c r="AF52" i="11"/>
  <c r="AG52" i="11" s="1"/>
  <c r="AF53" i="11"/>
  <c r="AG53" i="11" s="1"/>
  <c r="AF54" i="11"/>
  <c r="AG54" i="11" s="1"/>
  <c r="AF55" i="11"/>
  <c r="AG55" i="11" s="1"/>
  <c r="AF56" i="11"/>
  <c r="AG56" i="11" s="1"/>
  <c r="AF57" i="11"/>
  <c r="AG57" i="11" s="1"/>
  <c r="AF58" i="11"/>
  <c r="AG58" i="11" s="1"/>
  <c r="AF59" i="11"/>
  <c r="AG59" i="11" s="1"/>
  <c r="AF60" i="11"/>
  <c r="AG60" i="11" s="1"/>
  <c r="AF61" i="11"/>
  <c r="AG61" i="11" s="1"/>
  <c r="AF62" i="11"/>
  <c r="AG62" i="11" s="1"/>
  <c r="AF63" i="11"/>
  <c r="AG63" i="11" s="1"/>
  <c r="AF64" i="11"/>
  <c r="AG64" i="11" s="1"/>
  <c r="AF65" i="11"/>
  <c r="AG65" i="11" s="1"/>
  <c r="AF66" i="11"/>
  <c r="AG66" i="11" s="1"/>
  <c r="AF67" i="11"/>
  <c r="AG67" i="11" s="1"/>
  <c r="AF68" i="11"/>
  <c r="AG68" i="11" s="1"/>
  <c r="AF69" i="11"/>
  <c r="AG69" i="11" s="1"/>
  <c r="AF70" i="11"/>
  <c r="AG70" i="11" s="1"/>
  <c r="AF71" i="11"/>
  <c r="AG71" i="11" s="1"/>
  <c r="AF72" i="11"/>
  <c r="AG72" i="11" s="1"/>
  <c r="AF73" i="11"/>
  <c r="AG73" i="11" s="1"/>
  <c r="AF74" i="11"/>
  <c r="AG74" i="11" s="1"/>
  <c r="AF75" i="11"/>
  <c r="AG75" i="11" s="1"/>
  <c r="AF76" i="11"/>
  <c r="AG76" i="11" s="1"/>
  <c r="AF77" i="11"/>
  <c r="AG77" i="11" s="1"/>
  <c r="AF78" i="11"/>
  <c r="AG78" i="11" s="1"/>
  <c r="AF79" i="11"/>
  <c r="AG79" i="11" s="1"/>
  <c r="AF80" i="11"/>
  <c r="AG80" i="11" s="1"/>
  <c r="AF81" i="11"/>
  <c r="AG81" i="11" s="1"/>
  <c r="AF82" i="11"/>
  <c r="AG82" i="11" s="1"/>
  <c r="AF83" i="11"/>
  <c r="AG83" i="11" s="1"/>
  <c r="AF84" i="11"/>
  <c r="AG84" i="11" s="1"/>
  <c r="AG85" i="11"/>
  <c r="AF86" i="11"/>
  <c r="AG86" i="11" s="1"/>
  <c r="AF87" i="11"/>
  <c r="AG87" i="11" s="1"/>
  <c r="AF88" i="11"/>
  <c r="AG88" i="11" s="1"/>
  <c r="AF89" i="11"/>
  <c r="AG89" i="11" s="1"/>
  <c r="AF90" i="11"/>
  <c r="AG90" i="11" s="1"/>
  <c r="AF91" i="11"/>
  <c r="AG91" i="11" s="1"/>
  <c r="AF92" i="11"/>
  <c r="AG92" i="11" s="1"/>
  <c r="AF93" i="11"/>
  <c r="AG93" i="11" s="1"/>
  <c r="AF94" i="11"/>
  <c r="AG94" i="11" s="1"/>
  <c r="AF95" i="11"/>
  <c r="AG95" i="11" s="1"/>
  <c r="AF96" i="11"/>
  <c r="AG96" i="11" s="1"/>
  <c r="AF97" i="11"/>
  <c r="AG97" i="11" s="1"/>
  <c r="AF98" i="11"/>
  <c r="AG98" i="11" s="1"/>
  <c r="AF99" i="11"/>
  <c r="AG99" i="11" s="1"/>
  <c r="AF100" i="11"/>
  <c r="AG100" i="11" s="1"/>
  <c r="AF101" i="11"/>
  <c r="AG101" i="11" s="1"/>
  <c r="AF102" i="11"/>
  <c r="AG102" i="11" s="1"/>
  <c r="AF103" i="11"/>
  <c r="AG103" i="11" s="1"/>
  <c r="AF104" i="11"/>
  <c r="AG104" i="11" s="1"/>
  <c r="AF105" i="11"/>
  <c r="AG105" i="11" s="1"/>
  <c r="AF106" i="11"/>
  <c r="AG106" i="11" s="1"/>
  <c r="AF107" i="11"/>
  <c r="AG107" i="11" s="1"/>
  <c r="AF108" i="11"/>
  <c r="AG108" i="11" s="1"/>
  <c r="AF109" i="11"/>
  <c r="AG109" i="11" s="1"/>
  <c r="AF110" i="11"/>
  <c r="AG110" i="11" s="1"/>
  <c r="AF111" i="11"/>
  <c r="AG111" i="11" s="1"/>
  <c r="AF112" i="11"/>
  <c r="AG112" i="11" s="1"/>
  <c r="AF113" i="11"/>
  <c r="AG113" i="11" s="1"/>
  <c r="AF114" i="11"/>
  <c r="AG114" i="11" s="1"/>
  <c r="AF115" i="11"/>
  <c r="AG115" i="11" s="1"/>
  <c r="AF116" i="11"/>
  <c r="AG116" i="11" s="1"/>
  <c r="AF117" i="11"/>
  <c r="AG117" i="11" s="1"/>
  <c r="AF118" i="11"/>
  <c r="AG118" i="11" s="1"/>
  <c r="AF119" i="11"/>
  <c r="AG119" i="11" s="1"/>
  <c r="AF120" i="11"/>
  <c r="AG120" i="11" s="1"/>
  <c r="AF121" i="11"/>
  <c r="AG121" i="11" s="1"/>
  <c r="AF122" i="11"/>
  <c r="AG122" i="11" s="1"/>
  <c r="AF123" i="11"/>
  <c r="AG123" i="11" s="1"/>
  <c r="AF124" i="11"/>
  <c r="AG124" i="11" s="1"/>
  <c r="AF125" i="11"/>
  <c r="AG125" i="11" s="1"/>
  <c r="AF126" i="11"/>
  <c r="AG126" i="11" s="1"/>
  <c r="AF127" i="11"/>
  <c r="AG127" i="11" s="1"/>
  <c r="AF128" i="11"/>
  <c r="AG128" i="11" s="1"/>
  <c r="AF129" i="11"/>
  <c r="AG129" i="11" s="1"/>
  <c r="AF130" i="11"/>
  <c r="AG130" i="11" s="1"/>
  <c r="AF131" i="11"/>
  <c r="AG131" i="11" s="1"/>
  <c r="AF132" i="11"/>
  <c r="AG132" i="11" s="1"/>
  <c r="AF133" i="11"/>
  <c r="AG133" i="11" s="1"/>
  <c r="AF134" i="11"/>
  <c r="AG134" i="11" s="1"/>
  <c r="AF135" i="11"/>
  <c r="AG135" i="11" s="1"/>
  <c r="AF136" i="11"/>
  <c r="AG136" i="11" s="1"/>
  <c r="AF137" i="11"/>
  <c r="AG137" i="11" s="1"/>
  <c r="AF138" i="11"/>
  <c r="AG138" i="11" s="1"/>
  <c r="AF139" i="11"/>
  <c r="AG139" i="11" s="1"/>
  <c r="AF140" i="11"/>
  <c r="AG140" i="11" s="1"/>
  <c r="AF141" i="11"/>
  <c r="AG141" i="11" s="1"/>
  <c r="AF142" i="11"/>
  <c r="AG142" i="11" s="1"/>
  <c r="AF143" i="11"/>
  <c r="AG143" i="11" s="1"/>
  <c r="AF144" i="11"/>
  <c r="AG144" i="11" s="1"/>
  <c r="AF145" i="11"/>
  <c r="AG145" i="11" s="1"/>
  <c r="AF146" i="11"/>
  <c r="AG146" i="11" s="1"/>
  <c r="AF147" i="11"/>
  <c r="AG147" i="11" s="1"/>
  <c r="AF148" i="11"/>
  <c r="AG148" i="11" s="1"/>
  <c r="AF149" i="11"/>
  <c r="AG149" i="11" s="1"/>
  <c r="AF150" i="11"/>
  <c r="AG150" i="11" s="1"/>
  <c r="AF151" i="11"/>
  <c r="AG151" i="11" s="1"/>
  <c r="AF152" i="11"/>
  <c r="AG152" i="11" s="1"/>
  <c r="AF153" i="11"/>
  <c r="AG153" i="11" s="1"/>
  <c r="AF154" i="11"/>
  <c r="AG154" i="11" s="1"/>
  <c r="AF155" i="11"/>
  <c r="AG155" i="11" s="1"/>
  <c r="AF156" i="11"/>
  <c r="AG156" i="11" s="1"/>
  <c r="AF157" i="11"/>
  <c r="AG157" i="11" s="1"/>
  <c r="AF158" i="11"/>
  <c r="AG158" i="11" s="1"/>
  <c r="AF159" i="11"/>
  <c r="AG159" i="11" s="1"/>
  <c r="AF160" i="11"/>
  <c r="AG160" i="11" s="1"/>
  <c r="AF161" i="11"/>
  <c r="AG161" i="11" s="1"/>
  <c r="AF162" i="11"/>
  <c r="AG162" i="11" s="1"/>
  <c r="AF163" i="11"/>
  <c r="AG163" i="11" s="1"/>
  <c r="AF164" i="11"/>
  <c r="AG164" i="11" s="1"/>
  <c r="AF165" i="11"/>
  <c r="AG165" i="11" s="1"/>
  <c r="AF166" i="11"/>
  <c r="AG166" i="11" s="1"/>
  <c r="AF167" i="11"/>
  <c r="AG167" i="11" s="1"/>
  <c r="AF168" i="11"/>
  <c r="AG168" i="11" s="1"/>
  <c r="AF169" i="11"/>
  <c r="AG169" i="11" s="1"/>
  <c r="AF170" i="11"/>
  <c r="AG170" i="11" s="1"/>
  <c r="AF171" i="11"/>
  <c r="AF172" i="11"/>
  <c r="AF173" i="11"/>
  <c r="AG173" i="11" s="1"/>
  <c r="AF174" i="11"/>
  <c r="AG174" i="11" s="1"/>
  <c r="AF175" i="11"/>
  <c r="AG175" i="11" s="1"/>
  <c r="AF176" i="11"/>
  <c r="AG176" i="11" s="1"/>
  <c r="AF177" i="11"/>
  <c r="AG177" i="11" s="1"/>
  <c r="AF178" i="11"/>
  <c r="AG178" i="11" s="1"/>
  <c r="AF179" i="11"/>
  <c r="AG179" i="11" s="1"/>
  <c r="AF180" i="11"/>
  <c r="AG180" i="11" s="1"/>
  <c r="AF181" i="11"/>
  <c r="AG181" i="11" s="1"/>
  <c r="AF182" i="11"/>
  <c r="AG182" i="11" s="1"/>
  <c r="AF183" i="11"/>
  <c r="AG183" i="11" s="1"/>
  <c r="AF184" i="11"/>
  <c r="AG184" i="11" s="1"/>
  <c r="AF185" i="11"/>
  <c r="AG185" i="11" s="1"/>
  <c r="AF186" i="11"/>
  <c r="AG186" i="11" s="1"/>
  <c r="AF187" i="11"/>
  <c r="AG187" i="11" s="1"/>
  <c r="AF188" i="11"/>
  <c r="AG188" i="11" s="1"/>
  <c r="AF189" i="11"/>
  <c r="AG189" i="11" s="1"/>
  <c r="AF190" i="11"/>
  <c r="AG190" i="11" s="1"/>
  <c r="AF191" i="11"/>
  <c r="AG191" i="11" s="1"/>
  <c r="AF192" i="11"/>
  <c r="AG192" i="11" s="1"/>
  <c r="AF193" i="11"/>
  <c r="AG193" i="11" s="1"/>
  <c r="AF194" i="11"/>
  <c r="AG194" i="11" s="1"/>
  <c r="AF195" i="11"/>
  <c r="AG195" i="11" s="1"/>
  <c r="AF196" i="11"/>
  <c r="AG196" i="11" s="1"/>
  <c r="AF197" i="11"/>
  <c r="AG197" i="11" s="1"/>
  <c r="AF198" i="11"/>
  <c r="AG198" i="11" s="1"/>
  <c r="AF199" i="11"/>
  <c r="AG199" i="11" s="1"/>
  <c r="AF200" i="11"/>
  <c r="AG200" i="11" s="1"/>
  <c r="AF201" i="11"/>
  <c r="AG201" i="11" s="1"/>
  <c r="AF202" i="11"/>
  <c r="AG202" i="11" s="1"/>
  <c r="AF203" i="11"/>
  <c r="AG203" i="11" s="1"/>
  <c r="AF204" i="11"/>
  <c r="AG204" i="11" s="1"/>
  <c r="AF205" i="11"/>
  <c r="AG205" i="11" s="1"/>
  <c r="AF206" i="11"/>
  <c r="AG206" i="11" s="1"/>
  <c r="AF207" i="11"/>
  <c r="AG207" i="11" s="1"/>
  <c r="AF208" i="11"/>
  <c r="AG208" i="11" s="1"/>
  <c r="AF209" i="11"/>
  <c r="AG209" i="11" s="1"/>
  <c r="AF210" i="11"/>
  <c r="AG210" i="11" s="1"/>
  <c r="AF211" i="11"/>
  <c r="AG211" i="11" s="1"/>
  <c r="AF212" i="11"/>
  <c r="AG212" i="11" s="1"/>
  <c r="AF213" i="11"/>
  <c r="AG213" i="11" s="1"/>
  <c r="AG214" i="11"/>
  <c r="AF215" i="11"/>
  <c r="AG215" i="11" s="1"/>
  <c r="AF216" i="11"/>
  <c r="AG216" i="11" s="1"/>
  <c r="AF217" i="11"/>
  <c r="AG217" i="11" s="1"/>
  <c r="AG218" i="11"/>
  <c r="AF219" i="11"/>
  <c r="AG219" i="11" s="1"/>
  <c r="AF220" i="11"/>
  <c r="AG220" i="11" s="1"/>
  <c r="AF221" i="11"/>
  <c r="AG221" i="11" s="1"/>
  <c r="AF222" i="11"/>
  <c r="AG222" i="11" s="1"/>
  <c r="AF223" i="11"/>
  <c r="AG223" i="11" s="1"/>
  <c r="AG224" i="11"/>
  <c r="AF225" i="11"/>
  <c r="AG225" i="11" s="1"/>
  <c r="AF226" i="11"/>
  <c r="AG226" i="11" s="1"/>
  <c r="AF227" i="11"/>
  <c r="AG227" i="11" s="1"/>
  <c r="AF228" i="11"/>
  <c r="AG228" i="11" s="1"/>
  <c r="AF229" i="11"/>
  <c r="AG229" i="11" s="1"/>
  <c r="AF230" i="11"/>
  <c r="AG230" i="11" s="1"/>
  <c r="AF231" i="11"/>
  <c r="AG231" i="11" s="1"/>
  <c r="AF232" i="11"/>
  <c r="AG232" i="11" s="1"/>
  <c r="AF233" i="11"/>
  <c r="AG233" i="11" s="1"/>
  <c r="AF234" i="11"/>
  <c r="AG234" i="11" s="1"/>
  <c r="AF235" i="11"/>
  <c r="AG235" i="11" s="1"/>
  <c r="AF236" i="11"/>
  <c r="AG236" i="11" s="1"/>
  <c r="AF237" i="11"/>
  <c r="AG237" i="11" s="1"/>
  <c r="AF238" i="11"/>
  <c r="AG238" i="11" s="1"/>
  <c r="AF239" i="11"/>
  <c r="AG239" i="11" s="1"/>
  <c r="AF240" i="11"/>
  <c r="AG240" i="11" s="1"/>
  <c r="AF241" i="11"/>
  <c r="AG241" i="11" s="1"/>
  <c r="AF242" i="11"/>
  <c r="AG242" i="11" s="1"/>
  <c r="AF243" i="11"/>
  <c r="AG243" i="11" s="1"/>
  <c r="AF244" i="11"/>
  <c r="AG244" i="11" s="1"/>
  <c r="AF245" i="11"/>
  <c r="AG245" i="11" s="1"/>
  <c r="AF246" i="11"/>
  <c r="AG246" i="11" s="1"/>
  <c r="AF247" i="11"/>
  <c r="AG247" i="11" s="1"/>
  <c r="AF248" i="11"/>
  <c r="AG248" i="11" s="1"/>
  <c r="AF249" i="11"/>
  <c r="AG249" i="11" s="1"/>
  <c r="AF250" i="11"/>
  <c r="AG250" i="11" s="1"/>
  <c r="AF251" i="11"/>
  <c r="AG251" i="11" s="1"/>
  <c r="AF252" i="11"/>
  <c r="AG252" i="11" s="1"/>
  <c r="AF253" i="11"/>
  <c r="AG253" i="11" s="1"/>
  <c r="AF254" i="11"/>
  <c r="AG254" i="11" s="1"/>
  <c r="AF255" i="11"/>
  <c r="AG255" i="11" s="1"/>
  <c r="AF256" i="11"/>
  <c r="AG256" i="11" s="1"/>
  <c r="AF257" i="11"/>
  <c r="AG257" i="11" s="1"/>
  <c r="AG258" i="11"/>
  <c r="Z3" i="8"/>
  <c r="AA3" i="8" s="1"/>
  <c r="Z4" i="8"/>
  <c r="Z5" i="8"/>
  <c r="AA5" i="8" s="1"/>
  <c r="Z6" i="8"/>
  <c r="Z7" i="8"/>
  <c r="AA7" i="8" s="1"/>
  <c r="Z8" i="8"/>
  <c r="AA8" i="8" s="1"/>
  <c r="Z9" i="8"/>
  <c r="Z10" i="8"/>
  <c r="AA10" i="8" s="1"/>
  <c r="Z11" i="8"/>
  <c r="AA11" i="8" s="1"/>
  <c r="Z12" i="8"/>
  <c r="Z13" i="8"/>
  <c r="AA13" i="8" s="1"/>
  <c r="Z14" i="8"/>
  <c r="AA14" i="8" s="1"/>
  <c r="Z15" i="8"/>
  <c r="AA15" i="8" s="1"/>
  <c r="Z16" i="8"/>
  <c r="AA16" i="8" s="1"/>
  <c r="Z17" i="8"/>
  <c r="AA17" i="8" s="1"/>
  <c r="Z18" i="8"/>
  <c r="AA18" i="8" s="1"/>
  <c r="Z19" i="8"/>
  <c r="AA19" i="8" s="1"/>
  <c r="Z20" i="8"/>
  <c r="AA20" i="8" s="1"/>
  <c r="Z21" i="8"/>
  <c r="AA21" i="8" s="1"/>
  <c r="Z22" i="8"/>
  <c r="AA22" i="8" s="1"/>
  <c r="Z23" i="8"/>
  <c r="AA23" i="8" s="1"/>
  <c r="Z24" i="8"/>
  <c r="AA24" i="8" s="1"/>
  <c r="Z25" i="8"/>
  <c r="AA25" i="8" s="1"/>
  <c r="Z26" i="8"/>
  <c r="AA26" i="8" s="1"/>
  <c r="Z27" i="8"/>
  <c r="AA27" i="8" s="1"/>
  <c r="Z28" i="8"/>
  <c r="AA28" i="8" s="1"/>
  <c r="Z29" i="8"/>
  <c r="AA29" i="8" s="1"/>
  <c r="Z30" i="8"/>
  <c r="AA30" i="8" s="1"/>
  <c r="Z31" i="8"/>
  <c r="AA31" i="8" s="1"/>
  <c r="Z32" i="8"/>
  <c r="AA32" i="8" s="1"/>
  <c r="Z33" i="8"/>
  <c r="AA33" i="8" s="1"/>
  <c r="Z34" i="8"/>
  <c r="AA34" i="8" s="1"/>
  <c r="Z35" i="8"/>
  <c r="Z36" i="8"/>
  <c r="Z37" i="8"/>
  <c r="AA37" i="8" s="1"/>
  <c r="Z38" i="8"/>
  <c r="AA38" i="8" s="1"/>
  <c r="Z39" i="8"/>
  <c r="AA39" i="8" s="1"/>
  <c r="Z40" i="8"/>
  <c r="AA40" i="8" s="1"/>
  <c r="Z41" i="8"/>
  <c r="AA41" i="8" s="1"/>
  <c r="Z42" i="8"/>
  <c r="AA42" i="8" s="1"/>
  <c r="Z43" i="8"/>
  <c r="AA43" i="8" s="1"/>
  <c r="Z44" i="8"/>
  <c r="AA44" i="8" s="1"/>
  <c r="Z45" i="8"/>
  <c r="AA45" i="8" s="1"/>
  <c r="Z46" i="8"/>
  <c r="AA46" i="8" s="1"/>
  <c r="Z47" i="8"/>
  <c r="AA47" i="8" s="1"/>
  <c r="Z48" i="8"/>
  <c r="AA48" i="8" s="1"/>
  <c r="Z49" i="8"/>
  <c r="AA49" i="8" s="1"/>
  <c r="Z50" i="8"/>
  <c r="AA50" i="8" s="1"/>
  <c r="Z51" i="8"/>
  <c r="AA51" i="8" s="1"/>
  <c r="Z52" i="8"/>
  <c r="AA52" i="8" s="1"/>
  <c r="Z53" i="8"/>
  <c r="AA53" i="8" s="1"/>
  <c r="Z54" i="8"/>
  <c r="AA54" i="8" s="1"/>
  <c r="Z55" i="8"/>
  <c r="AA55" i="8" s="1"/>
  <c r="Z56" i="8"/>
  <c r="AA56" i="8" s="1"/>
  <c r="Z57" i="8"/>
  <c r="AA57" i="8" s="1"/>
  <c r="Z58" i="8"/>
  <c r="AA58" i="8" s="1"/>
  <c r="Z59" i="8"/>
  <c r="AA59" i="8" s="1"/>
  <c r="Z60" i="8"/>
  <c r="Z62" i="8"/>
  <c r="AA62" i="8" s="1"/>
  <c r="Z63" i="8"/>
  <c r="AA63" i="8" s="1"/>
  <c r="Z64" i="8"/>
  <c r="AA64" i="8" s="1"/>
  <c r="Z65" i="8"/>
  <c r="AA65" i="8" s="1"/>
  <c r="Z66" i="8"/>
  <c r="AA66" i="8" s="1"/>
  <c r="Z67" i="8"/>
  <c r="AA67" i="8" s="1"/>
  <c r="Z68" i="8"/>
  <c r="AA68" i="8" s="1"/>
  <c r="Z69" i="8"/>
  <c r="AA69" i="8" s="1"/>
  <c r="Z70" i="8"/>
  <c r="AA70" i="8" s="1"/>
  <c r="Z71" i="8"/>
  <c r="AA71" i="8" s="1"/>
  <c r="Z72" i="8"/>
  <c r="Z73" i="8"/>
  <c r="AA73" i="8" s="1"/>
  <c r="Z74" i="8"/>
  <c r="AA74" i="8" s="1"/>
  <c r="Z75" i="8"/>
  <c r="Z76" i="8"/>
  <c r="AA76" i="8" s="1"/>
  <c r="Z77" i="8"/>
  <c r="AA77" i="8" s="1"/>
  <c r="Z78" i="8"/>
  <c r="Z79" i="8"/>
  <c r="AA79" i="8" s="1"/>
  <c r="Z80" i="8"/>
  <c r="AA80" i="8" s="1"/>
  <c r="Z81" i="8"/>
  <c r="AA81" i="8" s="1"/>
  <c r="Z82" i="8"/>
  <c r="AA82" i="8" s="1"/>
  <c r="Z83" i="8"/>
  <c r="AA83" i="8" s="1"/>
  <c r="Z84" i="8"/>
  <c r="Z85" i="8"/>
  <c r="AA85" i="8" s="1"/>
  <c r="Z86" i="8"/>
  <c r="AA86" i="8" s="1"/>
  <c r="Z87" i="8"/>
  <c r="AA87" i="8" s="1"/>
  <c r="Z88" i="8"/>
  <c r="AA88" i="8" s="1"/>
  <c r="Z89" i="8"/>
  <c r="AA89" i="8" s="1"/>
  <c r="Z90" i="8"/>
  <c r="AA90" i="8" s="1"/>
  <c r="Z91" i="8"/>
  <c r="AA91" i="8" s="1"/>
  <c r="AA92" i="8"/>
  <c r="Z93" i="8"/>
  <c r="AA93" i="8" s="1"/>
  <c r="Z94" i="8"/>
  <c r="AA94" i="8" s="1"/>
  <c r="Z95" i="8"/>
  <c r="AA95" i="8" s="1"/>
  <c r="Z96" i="8"/>
  <c r="Z97" i="8"/>
  <c r="AA97" i="8" s="1"/>
  <c r="Z98" i="8"/>
  <c r="AA98" i="8" s="1"/>
  <c r="Z99" i="8"/>
  <c r="AA99" i="8" s="1"/>
  <c r="Z100" i="8"/>
  <c r="AA100" i="8" s="1"/>
  <c r="Z101" i="8"/>
  <c r="AA101" i="8" s="1"/>
  <c r="Z102" i="8"/>
  <c r="AA102" i="8" s="1"/>
  <c r="Z103" i="8"/>
  <c r="AA103" i="8" s="1"/>
  <c r="Z104" i="8"/>
  <c r="AA104" i="8" s="1"/>
  <c r="Z105" i="8"/>
  <c r="AA105" i="8" s="1"/>
  <c r="Z106" i="8"/>
  <c r="AA106" i="8" s="1"/>
  <c r="Z107" i="8"/>
  <c r="AA107" i="8" s="1"/>
  <c r="Z108" i="8"/>
  <c r="AA108" i="8" s="1"/>
  <c r="Z109" i="8"/>
  <c r="AA109" i="8" s="1"/>
  <c r="Z110" i="8"/>
  <c r="Z111" i="8"/>
  <c r="Z112" i="8"/>
  <c r="AA112" i="8" s="1"/>
  <c r="Z113" i="8"/>
  <c r="Z114" i="8"/>
  <c r="AA114" i="8" s="1"/>
  <c r="Z115" i="8"/>
  <c r="AA115" i="8" s="1"/>
  <c r="Z116" i="8"/>
  <c r="AA116" i="8" s="1"/>
  <c r="Z117" i="8"/>
  <c r="AA117" i="8" s="1"/>
  <c r="Z118" i="8"/>
  <c r="AA118" i="8" s="1"/>
  <c r="Z119" i="8"/>
  <c r="AA119" i="8" s="1"/>
  <c r="Z120" i="8"/>
  <c r="AA120" i="8" s="1"/>
  <c r="Z121" i="8"/>
  <c r="AA121" i="8" s="1"/>
  <c r="Z122" i="8"/>
  <c r="Z123" i="8"/>
  <c r="AA123" i="8" s="1"/>
  <c r="Z124" i="8"/>
  <c r="AA124" i="8" s="1"/>
  <c r="Z125" i="8"/>
  <c r="Z126" i="8"/>
  <c r="AA126" i="8" s="1"/>
  <c r="Z127" i="8"/>
  <c r="AA127" i="8" s="1"/>
  <c r="Z128" i="8"/>
  <c r="AA128" i="8" s="1"/>
  <c r="Z129" i="8"/>
  <c r="AA129" i="8" s="1"/>
  <c r="Z130" i="8"/>
  <c r="AA130" i="8" s="1"/>
  <c r="Z131" i="8"/>
  <c r="AA131" i="8" s="1"/>
  <c r="Z132" i="8"/>
  <c r="AA132" i="8" s="1"/>
  <c r="Z133" i="8"/>
  <c r="AA133" i="8" s="1"/>
  <c r="Z134" i="8"/>
  <c r="Z135" i="8"/>
  <c r="AA135" i="8" s="1"/>
  <c r="Z136" i="8"/>
  <c r="AA136" i="8" s="1"/>
  <c r="Z137" i="8"/>
  <c r="AA137" i="8" s="1"/>
  <c r="Z138" i="8"/>
  <c r="AA138" i="8" s="1"/>
  <c r="Z139" i="8"/>
  <c r="AA139" i="8" s="1"/>
  <c r="Z140" i="8"/>
  <c r="AA140" i="8" s="1"/>
  <c r="Z141" i="8"/>
  <c r="AA141" i="8" s="1"/>
  <c r="Z142" i="8"/>
  <c r="AA142" i="8" s="1"/>
  <c r="Z143" i="8"/>
  <c r="AA143" i="8" s="1"/>
  <c r="Z144" i="8"/>
  <c r="AA144" i="8" s="1"/>
  <c r="Z145" i="8"/>
  <c r="AA145" i="8" s="1"/>
  <c r="Z146" i="8"/>
  <c r="Z147" i="8"/>
  <c r="Z148" i="8"/>
  <c r="AA148" i="8" s="1"/>
  <c r="Z149" i="8"/>
  <c r="AA149" i="8" s="1"/>
  <c r="Z150" i="8"/>
  <c r="AA150" i="8" s="1"/>
  <c r="Z151" i="8"/>
  <c r="AA151" i="8" s="1"/>
  <c r="Z152" i="8"/>
  <c r="AA152" i="8" s="1"/>
  <c r="Z153" i="8"/>
  <c r="AA153" i="8" s="1"/>
  <c r="Z154" i="8"/>
  <c r="AA154" i="8" s="1"/>
  <c r="Z155" i="8"/>
  <c r="AA155" i="8" s="1"/>
  <c r="Z156" i="8"/>
  <c r="AA156" i="8" s="1"/>
  <c r="Z157" i="8"/>
  <c r="AA157" i="8" s="1"/>
  <c r="Z158" i="8"/>
  <c r="Z159" i="8"/>
  <c r="AA159" i="8" s="1"/>
  <c r="Z160" i="8"/>
  <c r="AA160" i="8" s="1"/>
  <c r="Z161" i="8"/>
  <c r="AA161" i="8" s="1"/>
  <c r="Z162" i="8"/>
  <c r="AA162" i="8" s="1"/>
  <c r="Z163" i="8"/>
  <c r="AA163" i="8" s="1"/>
  <c r="Z164" i="8"/>
  <c r="AA164" i="8" s="1"/>
  <c r="Z165" i="8"/>
  <c r="AA165" i="8" s="1"/>
  <c r="Z166" i="8"/>
  <c r="AA166" i="8" s="1"/>
  <c r="Z167" i="8"/>
  <c r="AA167" i="8" s="1"/>
  <c r="Z168" i="8"/>
  <c r="Z169" i="8"/>
  <c r="AA169" i="8" s="1"/>
  <c r="Z170" i="8"/>
  <c r="AA170" i="8" s="1"/>
  <c r="Z171" i="8"/>
  <c r="AA171" i="8" s="1"/>
  <c r="Z172" i="8"/>
  <c r="AA172" i="8" s="1"/>
  <c r="Z173" i="8"/>
  <c r="AA173" i="8" s="1"/>
  <c r="Z174" i="8"/>
  <c r="AA174" i="8" s="1"/>
  <c r="Z175" i="8"/>
  <c r="AA175" i="8" s="1"/>
  <c r="Z176" i="8"/>
  <c r="AA176" i="8" s="1"/>
  <c r="Z177" i="8"/>
  <c r="AA177" i="8" s="1"/>
  <c r="Z178" i="8"/>
  <c r="AA178" i="8" s="1"/>
  <c r="Z179" i="8"/>
  <c r="AA179" i="8" s="1"/>
  <c r="Z180" i="8"/>
  <c r="AA180" i="8" s="1"/>
  <c r="Z181" i="8"/>
  <c r="AA181" i="8" s="1"/>
  <c r="Z182" i="8"/>
  <c r="Z183" i="8"/>
  <c r="AA183" i="8" s="1"/>
  <c r="Z184" i="8"/>
  <c r="AA184" i="8" s="1"/>
  <c r="Z185" i="8"/>
  <c r="AA185" i="8" s="1"/>
  <c r="Z186" i="8"/>
  <c r="AA186" i="8" s="1"/>
  <c r="Z187" i="8"/>
  <c r="AA187" i="8" s="1"/>
  <c r="Z188" i="8"/>
  <c r="AA188" i="8" s="1"/>
  <c r="Z189" i="8"/>
  <c r="AA189" i="8" s="1"/>
  <c r="Z190" i="8"/>
  <c r="AA190" i="8" s="1"/>
  <c r="Z191" i="8"/>
  <c r="AA191" i="8" s="1"/>
  <c r="Z192" i="8"/>
  <c r="AA192" i="8" s="1"/>
  <c r="Z193" i="8"/>
  <c r="AA193" i="8" s="1"/>
  <c r="Z194" i="8"/>
  <c r="Z195" i="8"/>
  <c r="AA195" i="8" s="1"/>
  <c r="Z196" i="8"/>
  <c r="AA196" i="8" s="1"/>
  <c r="Z197" i="8"/>
  <c r="AA197" i="8" s="1"/>
  <c r="Z198" i="8"/>
  <c r="AA198" i="8" s="1"/>
  <c r="Z199" i="8"/>
  <c r="AA199" i="8" s="1"/>
  <c r="Z200" i="8"/>
  <c r="AA200" i="8" s="1"/>
  <c r="Z201" i="8"/>
  <c r="AA201" i="8" s="1"/>
  <c r="Z202" i="8"/>
  <c r="AA202" i="8" s="1"/>
  <c r="Z203" i="8"/>
  <c r="AA203" i="8" s="1"/>
  <c r="Z204" i="8"/>
  <c r="AA204" i="8" s="1"/>
  <c r="Z205" i="8"/>
  <c r="AA205" i="8" s="1"/>
  <c r="Z206" i="8"/>
  <c r="Z207" i="8"/>
  <c r="AA207" i="8" s="1"/>
  <c r="Z208" i="8"/>
  <c r="AA208" i="8" s="1"/>
  <c r="Z209" i="8"/>
  <c r="AA209" i="8" s="1"/>
  <c r="Z210" i="8"/>
  <c r="AA210" i="8" s="1"/>
  <c r="Z211" i="8"/>
  <c r="AA211" i="8" s="1"/>
  <c r="Z212" i="8"/>
  <c r="AA212" i="8" s="1"/>
  <c r="Z213" i="8"/>
  <c r="AA213" i="8" s="1"/>
  <c r="Z214" i="8"/>
  <c r="AA214" i="8" s="1"/>
  <c r="Z215" i="8"/>
  <c r="AA215" i="8" s="1"/>
  <c r="Z216" i="8"/>
  <c r="AA216" i="8" s="1"/>
  <c r="Z217" i="8"/>
  <c r="Z218" i="8"/>
  <c r="AA218" i="8" s="1"/>
  <c r="Z219" i="8"/>
  <c r="AA219" i="8" s="1"/>
  <c r="Z220" i="8"/>
  <c r="AA220" i="8" s="1"/>
  <c r="Z221" i="8"/>
  <c r="Z222" i="8"/>
  <c r="AA222" i="8" s="1"/>
  <c r="Z223" i="8"/>
  <c r="AA223" i="8" s="1"/>
  <c r="Z224" i="8"/>
  <c r="AA224" i="8" s="1"/>
  <c r="Z225" i="8"/>
  <c r="AA225" i="8" s="1"/>
  <c r="Z226" i="8"/>
  <c r="AA226" i="8" s="1"/>
  <c r="Z227" i="8"/>
  <c r="AA227" i="8" s="1"/>
  <c r="Z228" i="8"/>
  <c r="AA228" i="8" s="1"/>
  <c r="Z229" i="8"/>
  <c r="AA229" i="8" s="1"/>
  <c r="Z230" i="8"/>
  <c r="AA230" i="8" s="1"/>
  <c r="Z231" i="8"/>
  <c r="AA231" i="8" s="1"/>
  <c r="Z232" i="8"/>
  <c r="AA232" i="8" s="1"/>
  <c r="Z233" i="8"/>
  <c r="Z234" i="8"/>
  <c r="AA234" i="8" s="1"/>
  <c r="Z235" i="8"/>
  <c r="AA235" i="8" s="1"/>
  <c r="Z236" i="8"/>
  <c r="AA236" i="8" s="1"/>
  <c r="Z237" i="8"/>
  <c r="AA237" i="8" s="1"/>
  <c r="Z238" i="8"/>
  <c r="AA238" i="8" s="1"/>
  <c r="Z239" i="8"/>
  <c r="AA239" i="8" s="1"/>
  <c r="Z240" i="8"/>
  <c r="AA240" i="8" s="1"/>
  <c r="Z241" i="8"/>
  <c r="AA241" i="8" s="1"/>
  <c r="Z242" i="8"/>
  <c r="AA242" i="8" s="1"/>
  <c r="Z243" i="8"/>
  <c r="AA243" i="8" s="1"/>
  <c r="Z244" i="8"/>
  <c r="AA244" i="8" s="1"/>
  <c r="Z245" i="8"/>
  <c r="AA245" i="8" s="1"/>
  <c r="Z246" i="8"/>
  <c r="AA246" i="8" s="1"/>
  <c r="Z247" i="8"/>
  <c r="AA247" i="8" s="1"/>
  <c r="Z248" i="8"/>
  <c r="AA248" i="8" s="1"/>
  <c r="Z249" i="8"/>
  <c r="AA249" i="8" s="1"/>
  <c r="Z250" i="8"/>
  <c r="AA250" i="8" s="1"/>
  <c r="Z251" i="8"/>
  <c r="AA251" i="8" s="1"/>
  <c r="Z252" i="8"/>
  <c r="AA252" i="8" s="1"/>
  <c r="Z253" i="8"/>
  <c r="Z254" i="8"/>
  <c r="AA254" i="8" s="1"/>
  <c r="Z255" i="8"/>
  <c r="AA255" i="8" s="1"/>
  <c r="Z256" i="8"/>
  <c r="AA256" i="8" s="1"/>
  <c r="Z257" i="8"/>
  <c r="AA257" i="8" s="1"/>
  <c r="Z258" i="8"/>
  <c r="AA258" i="8" s="1"/>
  <c r="Z259" i="8"/>
  <c r="AA259" i="8" s="1"/>
  <c r="Z260" i="8"/>
  <c r="AA260" i="8" s="1"/>
  <c r="Z261" i="8"/>
  <c r="AA261" i="8" s="1"/>
  <c r="Z262" i="8"/>
  <c r="AA262" i="8" s="1"/>
  <c r="Z263" i="8"/>
  <c r="AA263" i="8" s="1"/>
  <c r="Z264" i="8"/>
  <c r="Z265" i="8"/>
  <c r="AA265" i="8" s="1"/>
  <c r="Z266" i="8"/>
  <c r="AA266" i="8" s="1"/>
  <c r="Z267" i="8"/>
  <c r="AA267" i="8" s="1"/>
  <c r="Z268" i="8"/>
  <c r="AA268" i="8" s="1"/>
  <c r="Z269" i="8"/>
  <c r="AA269" i="8" s="1"/>
  <c r="Z270" i="8"/>
  <c r="AA270" i="8" s="1"/>
  <c r="Z271" i="8"/>
  <c r="AA271" i="8" s="1"/>
  <c r="Z272" i="8"/>
  <c r="AA272" i="8" s="1"/>
  <c r="Z273" i="8"/>
  <c r="AA273" i="8" s="1"/>
  <c r="Z274" i="8"/>
  <c r="AA274" i="8" s="1"/>
  <c r="Z275" i="8"/>
  <c r="AA275" i="8" s="1"/>
  <c r="Z276" i="8"/>
  <c r="AA276" i="8" s="1"/>
  <c r="Z277" i="8"/>
  <c r="AA277" i="8" s="1"/>
  <c r="Z278" i="8"/>
  <c r="AA278" i="8" s="1"/>
  <c r="Z279" i="8"/>
  <c r="AA279" i="8" s="1"/>
  <c r="Z280" i="8"/>
  <c r="AA280" i="8" s="1"/>
  <c r="Z281" i="8"/>
  <c r="AA281" i="8" s="1"/>
  <c r="Z282" i="8"/>
  <c r="AA282" i="8" s="1"/>
  <c r="Z283" i="8"/>
  <c r="AA283" i="8" s="1"/>
  <c r="Z284" i="8"/>
  <c r="AA284" i="8" s="1"/>
  <c r="Z285" i="8"/>
  <c r="AA285" i="8" s="1"/>
  <c r="Z286" i="8"/>
  <c r="AA286" i="8" s="1"/>
  <c r="Z287" i="8"/>
  <c r="AA287" i="8" s="1"/>
  <c r="Z288" i="8"/>
  <c r="AA288" i="8" s="1"/>
  <c r="Z289" i="8"/>
  <c r="AA289" i="8" s="1"/>
  <c r="Z290" i="8"/>
  <c r="AA290" i="8" s="1"/>
  <c r="Z291" i="8"/>
  <c r="AA291" i="8" s="1"/>
  <c r="Z292" i="8"/>
  <c r="AA292" i="8" s="1"/>
  <c r="Z293" i="8"/>
  <c r="AA293" i="8" s="1"/>
  <c r="Z294" i="8"/>
  <c r="AA294" i="8" s="1"/>
  <c r="Z295" i="8"/>
  <c r="AA295" i="8" s="1"/>
  <c r="Z296" i="8"/>
  <c r="AA296" i="8" s="1"/>
  <c r="Z297" i="8"/>
  <c r="AA297" i="8" s="1"/>
  <c r="Z298" i="8"/>
  <c r="AA298" i="8" s="1"/>
  <c r="Z299" i="8"/>
  <c r="AA299" i="8" s="1"/>
  <c r="Z300" i="8"/>
  <c r="Z301" i="8"/>
  <c r="AA301" i="8" s="1"/>
  <c r="Z302" i="8"/>
  <c r="AA302" i="8" s="1"/>
  <c r="Z303" i="8"/>
  <c r="AA303" i="8" s="1"/>
  <c r="Z304" i="8"/>
  <c r="AA304" i="8" s="1"/>
  <c r="Z305" i="8"/>
  <c r="AA305" i="8" s="1"/>
  <c r="Z306" i="8"/>
  <c r="AA306" i="8" s="1"/>
  <c r="Z307" i="8"/>
  <c r="AA307" i="8" s="1"/>
  <c r="Z308" i="8"/>
  <c r="AA308" i="8" s="1"/>
  <c r="Z309" i="8"/>
  <c r="AA309" i="8" s="1"/>
  <c r="Z310" i="8"/>
  <c r="AA310" i="8" s="1"/>
  <c r="Z311" i="8"/>
  <c r="AA311" i="8" s="1"/>
  <c r="Z312" i="8"/>
  <c r="AA312" i="8" s="1"/>
  <c r="Z313" i="8"/>
  <c r="Z314" i="8"/>
  <c r="AA314" i="8" s="1"/>
  <c r="Z315" i="8"/>
  <c r="AA315" i="8" s="1"/>
  <c r="Z316" i="8"/>
  <c r="AA316" i="8" s="1"/>
  <c r="Z317" i="8"/>
  <c r="AA317" i="8" s="1"/>
  <c r="Z318" i="8"/>
  <c r="AA318" i="8" s="1"/>
  <c r="Z319" i="8"/>
  <c r="AA319" i="8" s="1"/>
  <c r="Z320" i="8"/>
  <c r="AA320" i="8" s="1"/>
  <c r="Z321" i="8"/>
  <c r="AA321" i="8" s="1"/>
  <c r="Z322" i="8"/>
  <c r="AA322" i="8" s="1"/>
  <c r="Z323" i="8"/>
  <c r="AA323" i="8" s="1"/>
  <c r="Z324" i="8"/>
  <c r="AA324" i="8" s="1"/>
  <c r="Z325" i="8"/>
  <c r="AA325" i="8" s="1"/>
  <c r="Z326" i="8"/>
  <c r="AA326" i="8" s="1"/>
  <c r="Z327" i="8"/>
  <c r="AA327" i="8" s="1"/>
  <c r="Z328" i="8"/>
  <c r="AA328" i="8" s="1"/>
  <c r="Z329" i="8"/>
  <c r="AA329" i="8" s="1"/>
  <c r="Z330" i="8"/>
  <c r="AA330" i="8" s="1"/>
  <c r="Z331" i="8"/>
  <c r="AA331" i="8" s="1"/>
  <c r="Z332" i="8"/>
  <c r="AA332" i="8" s="1"/>
  <c r="Z333" i="8"/>
  <c r="AA333" i="8" s="1"/>
  <c r="Z334" i="8"/>
  <c r="AA334" i="8" s="1"/>
  <c r="Z335" i="8"/>
  <c r="AA335" i="8" s="1"/>
  <c r="Z336" i="8"/>
  <c r="AA336" i="8" s="1"/>
  <c r="Z337" i="8"/>
  <c r="AA337" i="8" s="1"/>
  <c r="Z338" i="8"/>
  <c r="AA338" i="8" s="1"/>
  <c r="Z339" i="8"/>
  <c r="AA339" i="8" s="1"/>
  <c r="Z340" i="8"/>
  <c r="AA340" i="8" s="1"/>
  <c r="Z341" i="8"/>
  <c r="AA341" i="8" s="1"/>
  <c r="Z342" i="8"/>
  <c r="AA342" i="8" s="1"/>
  <c r="Z343" i="8"/>
  <c r="AA343" i="8" s="1"/>
  <c r="Z344" i="8"/>
  <c r="AA344" i="8" s="1"/>
  <c r="Z345" i="8"/>
  <c r="AA345" i="8" s="1"/>
  <c r="Z346" i="8"/>
  <c r="AA346" i="8" s="1"/>
  <c r="Z347" i="8"/>
  <c r="AA347" i="8" s="1"/>
  <c r="Z348" i="8"/>
  <c r="AA348" i="8" s="1"/>
  <c r="Z349" i="8"/>
  <c r="AA349" i="8" s="1"/>
  <c r="Z350" i="8"/>
  <c r="AA350" i="8" s="1"/>
  <c r="Z351" i="8"/>
  <c r="AA351" i="8" s="1"/>
  <c r="Z352" i="8"/>
  <c r="AA352" i="8" s="1"/>
  <c r="Z353" i="8"/>
  <c r="AA353" i="8" s="1"/>
  <c r="Z354" i="8"/>
  <c r="AA354" i="8" s="1"/>
  <c r="Z355" i="8"/>
  <c r="AA355" i="8" s="1"/>
  <c r="Z356" i="8"/>
  <c r="AA356" i="8" s="1"/>
  <c r="Z357" i="8"/>
  <c r="AA357" i="8" s="1"/>
  <c r="Z358" i="8"/>
  <c r="AA358" i="8" s="1"/>
  <c r="Z359" i="8"/>
  <c r="AA359" i="8" s="1"/>
  <c r="Z360" i="8"/>
  <c r="AA360" i="8" s="1"/>
  <c r="Z361" i="8"/>
  <c r="AA361" i="8" s="1"/>
  <c r="Z362" i="8"/>
  <c r="AA362" i="8" s="1"/>
  <c r="Z363" i="8"/>
  <c r="AA363" i="8" s="1"/>
  <c r="Z364" i="8"/>
  <c r="AA364" i="8" s="1"/>
  <c r="Z365" i="8"/>
  <c r="AA365" i="8" s="1"/>
  <c r="Z366" i="8"/>
  <c r="AA366" i="8" s="1"/>
  <c r="Z367" i="8"/>
  <c r="AA367" i="8" s="1"/>
  <c r="Z368" i="8"/>
  <c r="AA368" i="8" s="1"/>
  <c r="Z369" i="8"/>
  <c r="AA369" i="8" s="1"/>
  <c r="Z370" i="8"/>
  <c r="AA370" i="8" s="1"/>
  <c r="Z371" i="8"/>
  <c r="AA371" i="8" s="1"/>
  <c r="AF490" i="10"/>
  <c r="AG490" i="10" s="1"/>
  <c r="AF491" i="10"/>
  <c r="AG491" i="10" s="1"/>
  <c r="AF492" i="10"/>
  <c r="AF493" i="10"/>
  <c r="AF494" i="10"/>
  <c r="AG494" i="10" s="1"/>
  <c r="AF495" i="10"/>
  <c r="AF496" i="10"/>
  <c r="AF497" i="10"/>
  <c r="AG497" i="10" s="1"/>
  <c r="AF498" i="10"/>
  <c r="AG498" i="10" s="1"/>
  <c r="AF499" i="10"/>
  <c r="AG499" i="10" s="1"/>
  <c r="AF500" i="10"/>
  <c r="AG500" i="10" s="1"/>
  <c r="AF501" i="10"/>
  <c r="AG501" i="10" s="1"/>
  <c r="AF502" i="10"/>
  <c r="AF503" i="10"/>
  <c r="AF504" i="10"/>
  <c r="AF505" i="10"/>
  <c r="AG505" i="10" s="1"/>
  <c r="AF506" i="10"/>
  <c r="AG506" i="10" s="1"/>
  <c r="AF507" i="10"/>
  <c r="AG507" i="10" s="1"/>
  <c r="AF508" i="10"/>
  <c r="AG508" i="10" s="1"/>
  <c r="AF3" i="10"/>
  <c r="AF4" i="10"/>
  <c r="AG4" i="10" s="1"/>
  <c r="AF5" i="10"/>
  <c r="AG5" i="10" s="1"/>
  <c r="AF6" i="10"/>
  <c r="AG6" i="10" s="1"/>
  <c r="AF7" i="10"/>
  <c r="AG7" i="10" s="1"/>
  <c r="AF8" i="10"/>
  <c r="AG8" i="10" s="1"/>
  <c r="AF9" i="10"/>
  <c r="AG9" i="10" s="1"/>
  <c r="AF10" i="10"/>
  <c r="AG10" i="10" s="1"/>
  <c r="AF11" i="10"/>
  <c r="AF12" i="10"/>
  <c r="AG12" i="10" s="1"/>
  <c r="AF13" i="10"/>
  <c r="AG13" i="10" s="1"/>
  <c r="AF14" i="10"/>
  <c r="AG14" i="10" s="1"/>
  <c r="AF15" i="10"/>
  <c r="AF16" i="10"/>
  <c r="AF17" i="10"/>
  <c r="AF18" i="10"/>
  <c r="AG18" i="10" s="1"/>
  <c r="AF19" i="10"/>
  <c r="AG19" i="10" s="1"/>
  <c r="AF20" i="10"/>
  <c r="AF21" i="10"/>
  <c r="AF22" i="10"/>
  <c r="AF23" i="10"/>
  <c r="AF24" i="10"/>
  <c r="AG24" i="10" s="1"/>
  <c r="AF25" i="10"/>
  <c r="AF26" i="10"/>
  <c r="AF27" i="10"/>
  <c r="AF28" i="10"/>
  <c r="AG28" i="10" s="1"/>
  <c r="AF29" i="10"/>
  <c r="AG29" i="10" s="1"/>
  <c r="AF30" i="10"/>
  <c r="AG30" i="10" s="1"/>
  <c r="AF31" i="10"/>
  <c r="AG31" i="10" s="1"/>
  <c r="AF32" i="10"/>
  <c r="AG32" i="10" s="1"/>
  <c r="AF33" i="10"/>
  <c r="AF34" i="10"/>
  <c r="AG34" i="10" s="1"/>
  <c r="AF35" i="10"/>
  <c r="AG35" i="10" s="1"/>
  <c r="AF36" i="10"/>
  <c r="AF37" i="10"/>
  <c r="AG37" i="10" s="1"/>
  <c r="AF38" i="10"/>
  <c r="AG38" i="10" s="1"/>
  <c r="AF39" i="10"/>
  <c r="AG39" i="10" s="1"/>
  <c r="AF40" i="10"/>
  <c r="AG40" i="10" s="1"/>
  <c r="AF41" i="10"/>
  <c r="AG41" i="10" s="1"/>
  <c r="AF42" i="10"/>
  <c r="AG42" i="10" s="1"/>
  <c r="AF43" i="10"/>
  <c r="AG43" i="10" s="1"/>
  <c r="AF44" i="10"/>
  <c r="AF45" i="10"/>
  <c r="AF46" i="10"/>
  <c r="AF47" i="10"/>
  <c r="AF48" i="10"/>
  <c r="AG48" i="10" s="1"/>
  <c r="AF49" i="10"/>
  <c r="AG49" i="10" s="1"/>
  <c r="AF50" i="10"/>
  <c r="AF51" i="10"/>
  <c r="AG51" i="10" s="1"/>
  <c r="AF52" i="10"/>
  <c r="AG52" i="10" s="1"/>
  <c r="AF53" i="10"/>
  <c r="AG53" i="10" s="1"/>
  <c r="AF54" i="10"/>
  <c r="AG54" i="10" s="1"/>
  <c r="AF55" i="10"/>
  <c r="AG55" i="10" s="1"/>
  <c r="AF56" i="10"/>
  <c r="AG56" i="10" s="1"/>
  <c r="AF57" i="10"/>
  <c r="AF58" i="10"/>
  <c r="AF59" i="10"/>
  <c r="AG59" i="10" s="1"/>
  <c r="AF60" i="10"/>
  <c r="AF61" i="10"/>
  <c r="AF62" i="10"/>
  <c r="AF63" i="10"/>
  <c r="AG63" i="10" s="1"/>
  <c r="AF64" i="10"/>
  <c r="AF65" i="10"/>
  <c r="AF66" i="10"/>
  <c r="AF67" i="10"/>
  <c r="AG67" i="10" s="1"/>
  <c r="AF68" i="10"/>
  <c r="AG68" i="10" s="1"/>
  <c r="AF69" i="10"/>
  <c r="AG69" i="10" s="1"/>
  <c r="AF70" i="10"/>
  <c r="AG70" i="10" s="1"/>
  <c r="AF71" i="10"/>
  <c r="AF72" i="10"/>
  <c r="AG72" i="10" s="1"/>
  <c r="AF73" i="10"/>
  <c r="AG73" i="10" s="1"/>
  <c r="AF74" i="10"/>
  <c r="AG74" i="10" s="1"/>
  <c r="AF75" i="10"/>
  <c r="AG75" i="10" s="1"/>
  <c r="AF76" i="10"/>
  <c r="AG76" i="10" s="1"/>
  <c r="AF77" i="10"/>
  <c r="AG77" i="10" s="1"/>
  <c r="AF78" i="10"/>
  <c r="AG78" i="10" s="1"/>
  <c r="AF79" i="10"/>
  <c r="AG79" i="10" s="1"/>
  <c r="AF80" i="10"/>
  <c r="AG80" i="10" s="1"/>
  <c r="AF81" i="10"/>
  <c r="AG81" i="10" s="1"/>
  <c r="AF82" i="10"/>
  <c r="AG82" i="10" s="1"/>
  <c r="AF83" i="10"/>
  <c r="AG83" i="10" s="1"/>
  <c r="AF84" i="10"/>
  <c r="AF85" i="10"/>
  <c r="AF86" i="10"/>
  <c r="AF87" i="10"/>
  <c r="AF88" i="10"/>
  <c r="AF89" i="10"/>
  <c r="AF90" i="10"/>
  <c r="AG90" i="10" s="1"/>
  <c r="AF91" i="10"/>
  <c r="AG91" i="10" s="1"/>
  <c r="AF92" i="10"/>
  <c r="AF93" i="10"/>
  <c r="AF94" i="10"/>
  <c r="AG94" i="10" s="1"/>
  <c r="AF95" i="10"/>
  <c r="AG95" i="10" s="1"/>
  <c r="AF96" i="10"/>
  <c r="AG96" i="10" s="1"/>
  <c r="AF97" i="10"/>
  <c r="AG97" i="10" s="1"/>
  <c r="AF98" i="10"/>
  <c r="AG98" i="10" s="1"/>
  <c r="AF99" i="10"/>
  <c r="AG99" i="10" s="1"/>
  <c r="AF100" i="10"/>
  <c r="AG100" i="10" s="1"/>
  <c r="AF101" i="10"/>
  <c r="AG101" i="10" s="1"/>
  <c r="AF102" i="10"/>
  <c r="AF103" i="10"/>
  <c r="AG103" i="10" s="1"/>
  <c r="AF104" i="10"/>
  <c r="AF105" i="10"/>
  <c r="AG105" i="10" s="1"/>
  <c r="AF106" i="10"/>
  <c r="AG106" i="10" s="1"/>
  <c r="AF107" i="10"/>
  <c r="AG107" i="10" s="1"/>
  <c r="AF108" i="10"/>
  <c r="AG108" i="10" s="1"/>
  <c r="AF109" i="10"/>
  <c r="AF110" i="10"/>
  <c r="AF111" i="10"/>
  <c r="AG111" i="10" s="1"/>
  <c r="AF112" i="10"/>
  <c r="AF113" i="10"/>
  <c r="AF114" i="10"/>
  <c r="AF115" i="10"/>
  <c r="AG115" i="10" s="1"/>
  <c r="AF116" i="10"/>
  <c r="AG116" i="10" s="1"/>
  <c r="AF117" i="10"/>
  <c r="AF118" i="10"/>
  <c r="AG118" i="10" s="1"/>
  <c r="AF119" i="10"/>
  <c r="AG119" i="10" s="1"/>
  <c r="AF120" i="10"/>
  <c r="AG120" i="10" s="1"/>
  <c r="AF121" i="10"/>
  <c r="AG121" i="10" s="1"/>
  <c r="AF122" i="10"/>
  <c r="AG122" i="10" s="1"/>
  <c r="AF123" i="10"/>
  <c r="AG123" i="10" s="1"/>
  <c r="AF124" i="10"/>
  <c r="AF125" i="10"/>
  <c r="AG125" i="10" s="1"/>
  <c r="AF126" i="10"/>
  <c r="AG126" i="10" s="1"/>
  <c r="AF127" i="10"/>
  <c r="AG127" i="10" s="1"/>
  <c r="AF128" i="10"/>
  <c r="AF129" i="10"/>
  <c r="AG129" i="10" s="1"/>
  <c r="AF130" i="10"/>
  <c r="AF131" i="10"/>
  <c r="AG131" i="10" s="1"/>
  <c r="AF132" i="10"/>
  <c r="AF133" i="10"/>
  <c r="AF134" i="10"/>
  <c r="AF135" i="10"/>
  <c r="AG135" i="10" s="1"/>
  <c r="AF136" i="10"/>
  <c r="AF137" i="10"/>
  <c r="AF138" i="10"/>
  <c r="AF139" i="10"/>
  <c r="AG139" i="10" s="1"/>
  <c r="AF140" i="10"/>
  <c r="AF141" i="10"/>
  <c r="AG141" i="10" s="1"/>
  <c r="AF142" i="10"/>
  <c r="AG142" i="10" s="1"/>
  <c r="AF143" i="10"/>
  <c r="AF144" i="10"/>
  <c r="AG144" i="10" s="1"/>
  <c r="AF145" i="10"/>
  <c r="AG145" i="10" s="1"/>
  <c r="AF146" i="10"/>
  <c r="AG146" i="10" s="1"/>
  <c r="AF147" i="10"/>
  <c r="AG147" i="10" s="1"/>
  <c r="AF148" i="10"/>
  <c r="AG148" i="10" s="1"/>
  <c r="AF149" i="10"/>
  <c r="AG149" i="10" s="1"/>
  <c r="AF150" i="10"/>
  <c r="AG150" i="10" s="1"/>
  <c r="AF151" i="10"/>
  <c r="AG151" i="10" s="1"/>
  <c r="AF152" i="10"/>
  <c r="AG152" i="10" s="1"/>
  <c r="AF153" i="10"/>
  <c r="AG153" i="10" s="1"/>
  <c r="AF154" i="10"/>
  <c r="AF155" i="10"/>
  <c r="AG155" i="10" s="1"/>
  <c r="AF156" i="10"/>
  <c r="AF157" i="10"/>
  <c r="AF158" i="10"/>
  <c r="AG158" i="10" s="1"/>
  <c r="AF159" i="10"/>
  <c r="AF160" i="10"/>
  <c r="AF161" i="10"/>
  <c r="AF162" i="10"/>
  <c r="AF163" i="10"/>
  <c r="AG163" i="10" s="1"/>
  <c r="AF164" i="10"/>
  <c r="AF165" i="10"/>
  <c r="AG165" i="10" s="1"/>
  <c r="AF166" i="10"/>
  <c r="AG166" i="10" s="1"/>
  <c r="AF167" i="10"/>
  <c r="AG167" i="10" s="1"/>
  <c r="AF168" i="10"/>
  <c r="AG168" i="10" s="1"/>
  <c r="AF169" i="10"/>
  <c r="AG169" i="10" s="1"/>
  <c r="AF170" i="10"/>
  <c r="AG170" i="10" s="1"/>
  <c r="AF171" i="10"/>
  <c r="AG171" i="10" s="1"/>
  <c r="AF172" i="10"/>
  <c r="AG172" i="10" s="1"/>
  <c r="AF173" i="10"/>
  <c r="AG173" i="10" s="1"/>
  <c r="AF174" i="10"/>
  <c r="AG174" i="10" s="1"/>
  <c r="AF175" i="10"/>
  <c r="AG175" i="10" s="1"/>
  <c r="AF176" i="10"/>
  <c r="AF177" i="10"/>
  <c r="AG177" i="10" s="1"/>
  <c r="AF178" i="10"/>
  <c r="AG178" i="10" s="1"/>
  <c r="AF179" i="10"/>
  <c r="AG179" i="10" s="1"/>
  <c r="AF180" i="10"/>
  <c r="AG180" i="10" s="1"/>
  <c r="AF181" i="10"/>
  <c r="AF182" i="10"/>
  <c r="AG182" i="10" s="1"/>
  <c r="AF183" i="10"/>
  <c r="AF184" i="10"/>
  <c r="AG184" i="10" s="1"/>
  <c r="AF185" i="10"/>
  <c r="AG185" i="10" s="1"/>
  <c r="AF186" i="10"/>
  <c r="AG186" i="10" s="1"/>
  <c r="AF187" i="10"/>
  <c r="AG187" i="10" s="1"/>
  <c r="AF188" i="10"/>
  <c r="AF189" i="10"/>
  <c r="AG189" i="10" s="1"/>
  <c r="AF190" i="10"/>
  <c r="AG190" i="10" s="1"/>
  <c r="AF191" i="10"/>
  <c r="AF192" i="10"/>
  <c r="AG192" i="10" s="1"/>
  <c r="AF193" i="10"/>
  <c r="AF194" i="10"/>
  <c r="AG194" i="10" s="1"/>
  <c r="AF195" i="10"/>
  <c r="AF196" i="10"/>
  <c r="AF197" i="10"/>
  <c r="AF198" i="10"/>
  <c r="AF199" i="10"/>
  <c r="AG199" i="10" s="1"/>
  <c r="AF200" i="10"/>
  <c r="AF201" i="10"/>
  <c r="AF202" i="10"/>
  <c r="AF203" i="10"/>
  <c r="AG203" i="10" s="1"/>
  <c r="AF204" i="10"/>
  <c r="AG204" i="10" s="1"/>
  <c r="AF205" i="10"/>
  <c r="AF206" i="10"/>
  <c r="AG206" i="10" s="1"/>
  <c r="AF207" i="10"/>
  <c r="AF208" i="10"/>
  <c r="AG208" i="10" s="1"/>
  <c r="AF209" i="10"/>
  <c r="AG209" i="10" s="1"/>
  <c r="AF210" i="10"/>
  <c r="AG210" i="10" s="1"/>
  <c r="AF211" i="10"/>
  <c r="AG211" i="10" s="1"/>
  <c r="AF213" i="10"/>
  <c r="AF214" i="10"/>
  <c r="AG214" i="10" s="1"/>
  <c r="AF215" i="10"/>
  <c r="AG215" i="10" s="1"/>
  <c r="AF216" i="10"/>
  <c r="AG216" i="10" s="1"/>
  <c r="AF217" i="10"/>
  <c r="AG217" i="10" s="1"/>
  <c r="AF218" i="10"/>
  <c r="AG218" i="10" s="1"/>
  <c r="AF219" i="10"/>
  <c r="AG219" i="10" s="1"/>
  <c r="AF220" i="10"/>
  <c r="AG220" i="10" s="1"/>
  <c r="AF221" i="10"/>
  <c r="AG221" i="10" s="1"/>
  <c r="AF222" i="10"/>
  <c r="AF223" i="10"/>
  <c r="AG223" i="10" s="1"/>
  <c r="AF224" i="10"/>
  <c r="AG224" i="10" s="1"/>
  <c r="AF225" i="10"/>
  <c r="AG225" i="10" s="1"/>
  <c r="AF226" i="10"/>
  <c r="AG226" i="10" s="1"/>
  <c r="AF227" i="10"/>
  <c r="AG227" i="10" s="1"/>
  <c r="AF228" i="10"/>
  <c r="AG228" i="10" s="1"/>
  <c r="AF229" i="10"/>
  <c r="AF230" i="10"/>
  <c r="AF231" i="10"/>
  <c r="AF232" i="10"/>
  <c r="AG232" i="10" s="1"/>
  <c r="AF233" i="10"/>
  <c r="AG233" i="10" s="1"/>
  <c r="AF234" i="10"/>
  <c r="AG234" i="10" s="1"/>
  <c r="AF235" i="10"/>
  <c r="AG235" i="10" s="1"/>
  <c r="AF236" i="10"/>
  <c r="AG236" i="10" s="1"/>
  <c r="AF237" i="10"/>
  <c r="AG237" i="10" s="1"/>
  <c r="AF238" i="10"/>
  <c r="AF239" i="10"/>
  <c r="AF240" i="10"/>
  <c r="AG240" i="10" s="1"/>
  <c r="AF241" i="10"/>
  <c r="AG241" i="10" s="1"/>
  <c r="AF242" i="10"/>
  <c r="AG242" i="10" s="1"/>
  <c r="AF243" i="10"/>
  <c r="AG243" i="10" s="1"/>
  <c r="AF244" i="10"/>
  <c r="AG244" i="10" s="1"/>
  <c r="AF245" i="10"/>
  <c r="AF246" i="10"/>
  <c r="AG246" i="10" s="1"/>
  <c r="AF247" i="10"/>
  <c r="AG247" i="10" s="1"/>
  <c r="AF248" i="10"/>
  <c r="AG248" i="10" s="1"/>
  <c r="AF249" i="10"/>
  <c r="AG249" i="10" s="1"/>
  <c r="AF250" i="10"/>
  <c r="AG250" i="10" s="1"/>
  <c r="AF251" i="10"/>
  <c r="AG251" i="10" s="1"/>
  <c r="AF252" i="10"/>
  <c r="AF253" i="10"/>
  <c r="AG253" i="10" s="1"/>
  <c r="AF254" i="10"/>
  <c r="AF255" i="10"/>
  <c r="AG255" i="10" s="1"/>
  <c r="AF256" i="10"/>
  <c r="AF257" i="10"/>
  <c r="AG257" i="10" s="1"/>
  <c r="AF258" i="10"/>
  <c r="AG258" i="10" s="1"/>
  <c r="AF259" i="10"/>
  <c r="AF260" i="10"/>
  <c r="AF261" i="10"/>
  <c r="AF262" i="10"/>
  <c r="AF263" i="10"/>
  <c r="AF264" i="10"/>
  <c r="AG264" i="10" s="1"/>
  <c r="AF265" i="10"/>
  <c r="AG265" i="10" s="1"/>
  <c r="AF266" i="10"/>
  <c r="AG266" i="10" s="1"/>
  <c r="AF267" i="10"/>
  <c r="AG267" i="10" s="1"/>
  <c r="AF268" i="10"/>
  <c r="AG268" i="10" s="1"/>
  <c r="AF269" i="10"/>
  <c r="AG269" i="10" s="1"/>
  <c r="AF270" i="10"/>
  <c r="AG270" i="10" s="1"/>
  <c r="AF271" i="10"/>
  <c r="AG271" i="10" s="1"/>
  <c r="AF272" i="10"/>
  <c r="AG272" i="10" s="1"/>
  <c r="AF273" i="10"/>
  <c r="AF274" i="10"/>
  <c r="AG274" i="10" s="1"/>
  <c r="AF275" i="10"/>
  <c r="AG275" i="10" s="1"/>
  <c r="AF276" i="10"/>
  <c r="AG276" i="10" s="1"/>
  <c r="AF277" i="10"/>
  <c r="AG277" i="10" s="1"/>
  <c r="AF278" i="10"/>
  <c r="AF279" i="10"/>
  <c r="AG279" i="10" s="1"/>
  <c r="AF280" i="10"/>
  <c r="AG280" i="10" s="1"/>
  <c r="AF281" i="10"/>
  <c r="AG281" i="10" s="1"/>
  <c r="AF282" i="10"/>
  <c r="AG282" i="10" s="1"/>
  <c r="AF283" i="10"/>
  <c r="AG283" i="10" s="1"/>
  <c r="AF284" i="10"/>
  <c r="AG284" i="10" s="1"/>
  <c r="AF285" i="10"/>
  <c r="AG285" i="10" s="1"/>
  <c r="AF286" i="10"/>
  <c r="AG286" i="10" s="1"/>
  <c r="AF287" i="10"/>
  <c r="AG287" i="10" s="1"/>
  <c r="AF288" i="10"/>
  <c r="AF289" i="10"/>
  <c r="AG289" i="10" s="1"/>
  <c r="AF290" i="10"/>
  <c r="AG290" i="10" s="1"/>
  <c r="AF291" i="10"/>
  <c r="AF292" i="10"/>
  <c r="AF293" i="10"/>
  <c r="AG293" i="10" s="1"/>
  <c r="AF294" i="10"/>
  <c r="AG294" i="10" s="1"/>
  <c r="AF295" i="10"/>
  <c r="AG295" i="10" s="1"/>
  <c r="AF296" i="10"/>
  <c r="AG296" i="10" s="1"/>
  <c r="AF297" i="10"/>
  <c r="AF298" i="10"/>
  <c r="AF299" i="10"/>
  <c r="AF300" i="10"/>
  <c r="AF301" i="10"/>
  <c r="AG301" i="10" s="1"/>
  <c r="AF302" i="10"/>
  <c r="AG302" i="10" s="1"/>
  <c r="AF303" i="10"/>
  <c r="AG303" i="10" s="1"/>
  <c r="AF304" i="10"/>
  <c r="AG304" i="10" s="1"/>
  <c r="AF305" i="10"/>
  <c r="AG305" i="10" s="1"/>
  <c r="AF306" i="10"/>
  <c r="AG306" i="10" s="1"/>
  <c r="AF307" i="10"/>
  <c r="AG307" i="10" s="1"/>
  <c r="AF308" i="10"/>
  <c r="AG308" i="10" s="1"/>
  <c r="AF309" i="10"/>
  <c r="AG309" i="10" s="1"/>
  <c r="AF310" i="10"/>
  <c r="AG310" i="10" s="1"/>
  <c r="AF311" i="10"/>
  <c r="AF312" i="10"/>
  <c r="AG312" i="10" s="1"/>
  <c r="AF313" i="10"/>
  <c r="AG313" i="10" s="1"/>
  <c r="AF314" i="10"/>
  <c r="AF315" i="10"/>
  <c r="AG315" i="10" s="1"/>
  <c r="AF316" i="10"/>
  <c r="AF317" i="10"/>
  <c r="AF318" i="10"/>
  <c r="AG318" i="10" s="1"/>
  <c r="AF319" i="10"/>
  <c r="AG319" i="10" s="1"/>
  <c r="AF320" i="10"/>
  <c r="AG320" i="10" s="1"/>
  <c r="AF321" i="10"/>
  <c r="AG321" i="10" s="1"/>
  <c r="AF322" i="10"/>
  <c r="AF323" i="10"/>
  <c r="AG323" i="10" s="1"/>
  <c r="AF324" i="10"/>
  <c r="AG324" i="10" s="1"/>
  <c r="AF325" i="10"/>
  <c r="AG325" i="10" s="1"/>
  <c r="AF326" i="10"/>
  <c r="AG326" i="10" s="1"/>
  <c r="AF327" i="10"/>
  <c r="AG327" i="10" s="1"/>
  <c r="AF328" i="10"/>
  <c r="AG328" i="10" s="1"/>
  <c r="AF329" i="10"/>
  <c r="AG329" i="10" s="1"/>
  <c r="AF330" i="10"/>
  <c r="AG330" i="10" s="1"/>
  <c r="AF331" i="10"/>
  <c r="AG331" i="10" s="1"/>
  <c r="AF332" i="10"/>
  <c r="AG332" i="10" s="1"/>
  <c r="AF333" i="10"/>
  <c r="AG333" i="10" s="1"/>
  <c r="AF334" i="10"/>
  <c r="AG334" i="10" s="1"/>
  <c r="AF335" i="10"/>
  <c r="AF336" i="10"/>
  <c r="AG336" i="10" s="1"/>
  <c r="AF337" i="10"/>
  <c r="AG337" i="10" s="1"/>
  <c r="AF338" i="10"/>
  <c r="AG338" i="10" s="1"/>
  <c r="AF339" i="10"/>
  <c r="AG339" i="10" s="1"/>
  <c r="AF340" i="10"/>
  <c r="AG340" i="10" s="1"/>
  <c r="AF341" i="10"/>
  <c r="AG341" i="10" s="1"/>
  <c r="AF342" i="10"/>
  <c r="AG342" i="10" s="1"/>
  <c r="AF343" i="10"/>
  <c r="AG343" i="10" s="1"/>
  <c r="AF344" i="10"/>
  <c r="AG344" i="10" s="1"/>
  <c r="AF345" i="10"/>
  <c r="AG345" i="10" s="1"/>
  <c r="AF346" i="10"/>
  <c r="AG346" i="10" s="1"/>
  <c r="AF347" i="10"/>
  <c r="AF348" i="10"/>
  <c r="AG348" i="10" s="1"/>
  <c r="AF349" i="10"/>
  <c r="AG349" i="10" s="1"/>
  <c r="AF350" i="10"/>
  <c r="AG350" i="10" s="1"/>
  <c r="AF351" i="10"/>
  <c r="AG351" i="10" s="1"/>
  <c r="AF352" i="10"/>
  <c r="AF353" i="10"/>
  <c r="AF354" i="10"/>
  <c r="AF355" i="10"/>
  <c r="AG355" i="10" s="1"/>
  <c r="AF356" i="10"/>
  <c r="AG356" i="10" s="1"/>
  <c r="AF357" i="10"/>
  <c r="AG357" i="10" s="1"/>
  <c r="AF358" i="10"/>
  <c r="AG358" i="10" s="1"/>
  <c r="AF359" i="10"/>
  <c r="AG359" i="10" s="1"/>
  <c r="AF360" i="10"/>
  <c r="AG360" i="10" s="1"/>
  <c r="AF361" i="10"/>
  <c r="AG361" i="10" s="1"/>
  <c r="AF362" i="10"/>
  <c r="AF363" i="10"/>
  <c r="AF364" i="10"/>
  <c r="AF365" i="10"/>
  <c r="AF366" i="10"/>
  <c r="AG366" i="10" s="1"/>
  <c r="AF367" i="10"/>
  <c r="AF368" i="10"/>
  <c r="AF369" i="10"/>
  <c r="AG369" i="10" s="1"/>
  <c r="AF370" i="10"/>
  <c r="AF371" i="10"/>
  <c r="AG371" i="10" s="1"/>
  <c r="AF372" i="10"/>
  <c r="AG372" i="10" s="1"/>
  <c r="AF373" i="10"/>
  <c r="AG373" i="10" s="1"/>
  <c r="AF374" i="10"/>
  <c r="AG374" i="10" s="1"/>
  <c r="AF375" i="10"/>
  <c r="AF376" i="10"/>
  <c r="AG376" i="10" s="1"/>
  <c r="AF377" i="10"/>
  <c r="AG377" i="10" s="1"/>
  <c r="AF378" i="10"/>
  <c r="AG378" i="10" s="1"/>
  <c r="AF379" i="10"/>
  <c r="AG379" i="10" s="1"/>
  <c r="AF380" i="10"/>
  <c r="AG380" i="10" s="1"/>
  <c r="AF381" i="10"/>
  <c r="AG381" i="10" s="1"/>
  <c r="AF382" i="10"/>
  <c r="AG382" i="10" s="1"/>
  <c r="AF383" i="10"/>
  <c r="AF384" i="10"/>
  <c r="AG384" i="10" s="1"/>
  <c r="AF385" i="10"/>
  <c r="AG385" i="10" s="1"/>
  <c r="AF386" i="10"/>
  <c r="AG386" i="10" s="1"/>
  <c r="AF387" i="10"/>
  <c r="AG387" i="10" s="1"/>
  <c r="AF388" i="10"/>
  <c r="AG388" i="10" s="1"/>
  <c r="AF389" i="10"/>
  <c r="AG389" i="10" s="1"/>
  <c r="AF390" i="10"/>
  <c r="AG390" i="10" s="1"/>
  <c r="AF391" i="10"/>
  <c r="AG391" i="10" s="1"/>
  <c r="AF392" i="10"/>
  <c r="AG392" i="10" s="1"/>
  <c r="AF393" i="10"/>
  <c r="AF394" i="10"/>
  <c r="AF395" i="10"/>
  <c r="AG395" i="10" s="1"/>
  <c r="AF396" i="10"/>
  <c r="AG396" i="10" s="1"/>
  <c r="AF397" i="10"/>
  <c r="AG397" i="10" s="1"/>
  <c r="AF398" i="10"/>
  <c r="AG398" i="10" s="1"/>
  <c r="AF399" i="10"/>
  <c r="AG399" i="10" s="1"/>
  <c r="AF400" i="10"/>
  <c r="AG400" i="10" s="1"/>
  <c r="AF401" i="10"/>
  <c r="AG401" i="10" s="1"/>
  <c r="AF402" i="10"/>
  <c r="AG402" i="10" s="1"/>
  <c r="AF403" i="10"/>
  <c r="AG403" i="10" s="1"/>
  <c r="AF404" i="10"/>
  <c r="AG404" i="10" s="1"/>
  <c r="AF405" i="10"/>
  <c r="AG405" i="10" s="1"/>
  <c r="AF406" i="10"/>
  <c r="AG406" i="10" s="1"/>
  <c r="AF407" i="10"/>
  <c r="AG407" i="10" s="1"/>
  <c r="AF408" i="10"/>
  <c r="AG408" i="10" s="1"/>
  <c r="AF409" i="10"/>
  <c r="AG409" i="10" s="1"/>
  <c r="AF410" i="10"/>
  <c r="AG410" i="10" s="1"/>
  <c r="AF411" i="10"/>
  <c r="AG411" i="10" s="1"/>
  <c r="AF412" i="10"/>
  <c r="AG412" i="10" s="1"/>
  <c r="AF413" i="10"/>
  <c r="AG413" i="10" s="1"/>
  <c r="AF414" i="10"/>
  <c r="AG414" i="10" s="1"/>
  <c r="AF415" i="10"/>
  <c r="AG415" i="10" s="1"/>
  <c r="AF416" i="10"/>
  <c r="AG416" i="10" s="1"/>
  <c r="AF417" i="10"/>
  <c r="AG417" i="10" s="1"/>
  <c r="AF418" i="10"/>
  <c r="AG418" i="10" s="1"/>
  <c r="AF419" i="10"/>
  <c r="AG419" i="10" s="1"/>
  <c r="AF420" i="10"/>
  <c r="AF421" i="10"/>
  <c r="AG421" i="10" s="1"/>
  <c r="AF422" i="10"/>
  <c r="AG422" i="10" s="1"/>
  <c r="AF423" i="10"/>
  <c r="AG423" i="10" s="1"/>
  <c r="AF424" i="10"/>
  <c r="AG424" i="10" s="1"/>
  <c r="AF425" i="10"/>
  <c r="AG425" i="10" s="1"/>
  <c r="AF426" i="10"/>
  <c r="AG426" i="10" s="1"/>
  <c r="AF427" i="10"/>
  <c r="AG427" i="10" s="1"/>
  <c r="AF428" i="10"/>
  <c r="AG428" i="10" s="1"/>
  <c r="AF429" i="10"/>
  <c r="AG429" i="10" s="1"/>
  <c r="AF430" i="10"/>
  <c r="AG430" i="10" s="1"/>
  <c r="AF431" i="10"/>
  <c r="AG431" i="10" s="1"/>
  <c r="AF432" i="10"/>
  <c r="AG432" i="10" s="1"/>
  <c r="AF433" i="10"/>
  <c r="AG433" i="10" s="1"/>
  <c r="AF434" i="10"/>
  <c r="AG434" i="10" s="1"/>
  <c r="AF435" i="10"/>
  <c r="AG435" i="10" s="1"/>
  <c r="AF436" i="10"/>
  <c r="AG436" i="10" s="1"/>
  <c r="AF437" i="10"/>
  <c r="AG437" i="10" s="1"/>
  <c r="AF438" i="10"/>
  <c r="AG438" i="10" s="1"/>
  <c r="AF439" i="10"/>
  <c r="AG439" i="10" s="1"/>
  <c r="AF440" i="10"/>
  <c r="AG440" i="10" s="1"/>
  <c r="AF441" i="10"/>
  <c r="AG441" i="10" s="1"/>
  <c r="AF442" i="10"/>
  <c r="AG442" i="10" s="1"/>
  <c r="AF443" i="10"/>
  <c r="AG443" i="10" s="1"/>
  <c r="AF444" i="10"/>
  <c r="AG444" i="10" s="1"/>
  <c r="AF445" i="10"/>
  <c r="AG445" i="10" s="1"/>
  <c r="AF446" i="10"/>
  <c r="AG446" i="10" s="1"/>
  <c r="AF447" i="10"/>
  <c r="AG447" i="10" s="1"/>
  <c r="AF448" i="10"/>
  <c r="AG448" i="10" s="1"/>
  <c r="AF449" i="10"/>
  <c r="AG449" i="10" s="1"/>
  <c r="AF450" i="10"/>
  <c r="AG450" i="10" s="1"/>
  <c r="AF451" i="10"/>
  <c r="AG451" i="10" s="1"/>
  <c r="AF452" i="10"/>
  <c r="AG452" i="10" s="1"/>
  <c r="AF453" i="10"/>
  <c r="AG453" i="10" s="1"/>
  <c r="AF454" i="10"/>
  <c r="AG454" i="10" s="1"/>
  <c r="AF455" i="10"/>
  <c r="AG455" i="10" s="1"/>
  <c r="AF456" i="10"/>
  <c r="AG456" i="10" s="1"/>
  <c r="AF457" i="10"/>
  <c r="AG457" i="10" s="1"/>
  <c r="AF458" i="10"/>
  <c r="AG458" i="10" s="1"/>
  <c r="AF459" i="10"/>
  <c r="AG459" i="10" s="1"/>
  <c r="AF460" i="10"/>
  <c r="AG460" i="10" s="1"/>
  <c r="AF461" i="10"/>
  <c r="AG461" i="10" s="1"/>
  <c r="AF462" i="10"/>
  <c r="AG462" i="10" s="1"/>
  <c r="AF463" i="10"/>
  <c r="AG463" i="10" s="1"/>
  <c r="AF464" i="10"/>
  <c r="AG464" i="10" s="1"/>
  <c r="AF465" i="10"/>
  <c r="AG465" i="10" s="1"/>
  <c r="AF466" i="10"/>
  <c r="AG466" i="10" s="1"/>
  <c r="AF467" i="10"/>
  <c r="AG467" i="10" s="1"/>
  <c r="AF468" i="10"/>
  <c r="AG468" i="10" s="1"/>
  <c r="AF469" i="10"/>
  <c r="AG469" i="10" s="1"/>
  <c r="AF470" i="10"/>
  <c r="AG470" i="10" s="1"/>
  <c r="AF471" i="10"/>
  <c r="AG471" i="10" s="1"/>
  <c r="AF472" i="10"/>
  <c r="AG472" i="10" s="1"/>
  <c r="AF473" i="10"/>
  <c r="AG473" i="10" s="1"/>
  <c r="AF474" i="10"/>
  <c r="AG474" i="10" s="1"/>
  <c r="AF475" i="10"/>
  <c r="AG475" i="10" s="1"/>
  <c r="AF476" i="10"/>
  <c r="AG476" i="10" s="1"/>
  <c r="AF477" i="10"/>
  <c r="AG477" i="10" s="1"/>
  <c r="AF478" i="10"/>
  <c r="AG478" i="10" s="1"/>
  <c r="AF479" i="10"/>
  <c r="AG479" i="10" s="1"/>
  <c r="AF480" i="10"/>
  <c r="AG480" i="10" s="1"/>
  <c r="AF481" i="10"/>
  <c r="AG481" i="10" s="1"/>
  <c r="AF482" i="10"/>
  <c r="AG482" i="10" s="1"/>
  <c r="AF483" i="10"/>
  <c r="AG483" i="10" s="1"/>
  <c r="AF484" i="10"/>
  <c r="AG484" i="10" s="1"/>
  <c r="AF485" i="10"/>
  <c r="AG485" i="10" s="1"/>
  <c r="AF486" i="10"/>
  <c r="AG486" i="10" s="1"/>
  <c r="AF487" i="10"/>
  <c r="AG487" i="10" s="1"/>
  <c r="AF488" i="10"/>
  <c r="AF489" i="10"/>
  <c r="AG489" i="10" s="1"/>
  <c r="AJ490" i="10"/>
  <c r="AJ491" i="10"/>
  <c r="AG492" i="10"/>
  <c r="AJ492" i="10"/>
  <c r="AG493" i="10"/>
  <c r="AJ493" i="10"/>
  <c r="AJ494" i="10"/>
  <c r="AG495" i="10"/>
  <c r="AJ495" i="10"/>
  <c r="AG496" i="10"/>
  <c r="AJ496" i="10"/>
  <c r="AJ497" i="10"/>
  <c r="AJ498" i="10"/>
  <c r="AJ499" i="10"/>
  <c r="AJ500" i="10"/>
  <c r="AJ501" i="10"/>
  <c r="AG502" i="10"/>
  <c r="AJ502" i="10"/>
  <c r="AG503" i="10"/>
  <c r="AJ503" i="10"/>
  <c r="AG504" i="10"/>
  <c r="AJ504" i="10"/>
  <c r="AJ505" i="10"/>
  <c r="AJ506" i="10"/>
  <c r="AJ507" i="10"/>
  <c r="AJ508" i="10"/>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J468" i="10"/>
  <c r="AJ469" i="10"/>
  <c r="AJ470" i="10"/>
  <c r="AJ471" i="10"/>
  <c r="AJ472" i="10"/>
  <c r="AJ473" i="10"/>
  <c r="AJ474" i="10"/>
  <c r="AJ475" i="10"/>
  <c r="AJ476" i="10"/>
  <c r="AJ477" i="10"/>
  <c r="AJ478" i="10"/>
  <c r="AJ479" i="10"/>
  <c r="AJ480" i="10"/>
  <c r="AJ481" i="10"/>
  <c r="AJ482" i="10"/>
  <c r="AJ483" i="10"/>
  <c r="AJ484" i="10"/>
  <c r="AJ485" i="10"/>
  <c r="AJ486" i="10"/>
  <c r="AJ487" i="10"/>
  <c r="AJ488" i="10"/>
  <c r="AJ489" i="10"/>
  <c r="AG11" i="10"/>
  <c r="AG20" i="10"/>
  <c r="AG21" i="10"/>
  <c r="AG22" i="10"/>
  <c r="AG23" i="10"/>
  <c r="AG25" i="10"/>
  <c r="AG26" i="10"/>
  <c r="AG27" i="10"/>
  <c r="AG33" i="10"/>
  <c r="AG44" i="10"/>
  <c r="AG45" i="10"/>
  <c r="AG46" i="10"/>
  <c r="AG47" i="10"/>
  <c r="AG50" i="10"/>
  <c r="AG57" i="10"/>
  <c r="AG58" i="10"/>
  <c r="AG60" i="10"/>
  <c r="AG61" i="10"/>
  <c r="AG62" i="10"/>
  <c r="AG64" i="10"/>
  <c r="AG65" i="10"/>
  <c r="AG66" i="10"/>
  <c r="AG71" i="10"/>
  <c r="AG84" i="10"/>
  <c r="AG85" i="10"/>
  <c r="AG86" i="10"/>
  <c r="AG87" i="10"/>
  <c r="AG88" i="10"/>
  <c r="AG89" i="10"/>
  <c r="AG92" i="10"/>
  <c r="AG93" i="10"/>
  <c r="AG104" i="10"/>
  <c r="AG109" i="10"/>
  <c r="AG110" i="10"/>
  <c r="AG112" i="10"/>
  <c r="AG113" i="10"/>
  <c r="AG114" i="10"/>
  <c r="AG117" i="10"/>
  <c r="AG128" i="10"/>
  <c r="AG130" i="10"/>
  <c r="AG132" i="10"/>
  <c r="AG133" i="10"/>
  <c r="AG134" i="10"/>
  <c r="AG136" i="10"/>
  <c r="AG137" i="10"/>
  <c r="AG140" i="10"/>
  <c r="AG143" i="10"/>
  <c r="AG154" i="10"/>
  <c r="AG156" i="10"/>
  <c r="AG157" i="10"/>
  <c r="AG159" i="10"/>
  <c r="AG160" i="10"/>
  <c r="AG161" i="10"/>
  <c r="AG162" i="10"/>
  <c r="AG164" i="10"/>
  <c r="AG176" i="10"/>
  <c r="AG188" i="10"/>
  <c r="AG191" i="10"/>
  <c r="AG196" i="10"/>
  <c r="AG197" i="10"/>
  <c r="AG201" i="10"/>
  <c r="AG207" i="10"/>
  <c r="AG212" i="10"/>
  <c r="AG213" i="10"/>
  <c r="AG229" i="10"/>
  <c r="AG230" i="10"/>
  <c r="AG231" i="10"/>
  <c r="AG238" i="10"/>
  <c r="AG239" i="10"/>
  <c r="AG245" i="10"/>
  <c r="AG252" i="10"/>
  <c r="AG261" i="10"/>
  <c r="AG262" i="10"/>
  <c r="AG273" i="10"/>
  <c r="AG278" i="10"/>
  <c r="AG288" i="10"/>
  <c r="AG291" i="10"/>
  <c r="AG292" i="10"/>
  <c r="AG297" i="10"/>
  <c r="AG298" i="10"/>
  <c r="AG299" i="10"/>
  <c r="AG300" i="10"/>
  <c r="AG311" i="10"/>
  <c r="AG314" i="10"/>
  <c r="AG316" i="10"/>
  <c r="AG317" i="10"/>
  <c r="AG322" i="10"/>
  <c r="AG335" i="10"/>
  <c r="AG347" i="10"/>
  <c r="AG352" i="10"/>
  <c r="AG353" i="10"/>
  <c r="AG370" i="10"/>
  <c r="AG375" i="10"/>
  <c r="AG383" i="10"/>
  <c r="AG420" i="10"/>
  <c r="AG3" i="10"/>
  <c r="AF3" i="9"/>
  <c r="AG4" i="9"/>
  <c r="AG5" i="9"/>
  <c r="AG6" i="9"/>
  <c r="AG7" i="9"/>
  <c r="AG8" i="9"/>
  <c r="AG9" i="9"/>
  <c r="AG10" i="9"/>
  <c r="AG11" i="9"/>
  <c r="AG12" i="9"/>
  <c r="AG13" i="9"/>
  <c r="AG14" i="9"/>
  <c r="AG15" i="9"/>
  <c r="AG16" i="9"/>
  <c r="AG17" i="9"/>
  <c r="AG18" i="9"/>
  <c r="AG19" i="9"/>
  <c r="AG20" i="9"/>
  <c r="AG21" i="9"/>
  <c r="AG22" i="9"/>
  <c r="AG23" i="9"/>
  <c r="AG24" i="9"/>
  <c r="AG25" i="9"/>
  <c r="AG26" i="9"/>
  <c r="AG27" i="9"/>
  <c r="AG28" i="9"/>
  <c r="AF29" i="9"/>
  <c r="AG29" i="9" s="1"/>
  <c r="AF30" i="9"/>
  <c r="AG30" i="9" s="1"/>
  <c r="AF31" i="9"/>
  <c r="AG31" i="9" s="1"/>
  <c r="AF32" i="9"/>
  <c r="AG32" i="9" s="1"/>
  <c r="AF33" i="9"/>
  <c r="AG33" i="9" s="1"/>
  <c r="AF34" i="9"/>
  <c r="AG34" i="9" s="1"/>
  <c r="AF35" i="9"/>
  <c r="AG35" i="9" s="1"/>
  <c r="AF36" i="9"/>
  <c r="AG36" i="9" s="1"/>
  <c r="AF37" i="9"/>
  <c r="AG37" i="9" s="1"/>
  <c r="AF38" i="9"/>
  <c r="AG38" i="9" s="1"/>
  <c r="AF39" i="9"/>
  <c r="AG39" i="9" s="1"/>
  <c r="AF40" i="9"/>
  <c r="AG40" i="9" s="1"/>
  <c r="AF41" i="9"/>
  <c r="AG41" i="9" s="1"/>
  <c r="AF42" i="9"/>
  <c r="AG42" i="9" s="1"/>
  <c r="AF43" i="9"/>
  <c r="AG43" i="9" s="1"/>
  <c r="AF44" i="9"/>
  <c r="AG44" i="9" s="1"/>
  <c r="AF45" i="9"/>
  <c r="AG45" i="9" s="1"/>
  <c r="AF46" i="9"/>
  <c r="AG46" i="9" s="1"/>
  <c r="AF47" i="9"/>
  <c r="AG47" i="9" s="1"/>
  <c r="AF48" i="9"/>
  <c r="AG48" i="9" s="1"/>
  <c r="AF49" i="9"/>
  <c r="AG49" i="9" s="1"/>
  <c r="AF50" i="9"/>
  <c r="AG50" i="9" s="1"/>
  <c r="AF51" i="9"/>
  <c r="AG51" i="9" s="1"/>
  <c r="AF52" i="9"/>
  <c r="AG52" i="9" s="1"/>
  <c r="AF53" i="9"/>
  <c r="AG53" i="9" s="1"/>
  <c r="AF54" i="9"/>
  <c r="AG54" i="9" s="1"/>
  <c r="AF55" i="9"/>
  <c r="AG55" i="9" s="1"/>
  <c r="AF56" i="9"/>
  <c r="AG56" i="9" s="1"/>
  <c r="AF57" i="9"/>
  <c r="AG57" i="9" s="1"/>
  <c r="AF58" i="9"/>
  <c r="AG58" i="9" s="1"/>
  <c r="AF59" i="9"/>
  <c r="AG59" i="9" s="1"/>
  <c r="AF60" i="9"/>
  <c r="AG60" i="9" s="1"/>
  <c r="AF61" i="9"/>
  <c r="AG61" i="9" s="1"/>
  <c r="AF62" i="9"/>
  <c r="AG62" i="9" s="1"/>
  <c r="AF63" i="9"/>
  <c r="AG63" i="9" s="1"/>
  <c r="AF64" i="9"/>
  <c r="AG64" i="9" s="1"/>
  <c r="AF65" i="9"/>
  <c r="AG65" i="9" s="1"/>
  <c r="AF66" i="9"/>
  <c r="AG66" i="9" s="1"/>
  <c r="AF67" i="9"/>
  <c r="AG67" i="9" s="1"/>
  <c r="AF68" i="9"/>
  <c r="AG68" i="9" s="1"/>
  <c r="AF69" i="9"/>
  <c r="AG69" i="9" s="1"/>
  <c r="AF70" i="9"/>
  <c r="AG70" i="9" s="1"/>
  <c r="AF71" i="9"/>
  <c r="AG71" i="9" s="1"/>
  <c r="AF72" i="9"/>
  <c r="AG72" i="9" s="1"/>
  <c r="AF73" i="9"/>
  <c r="AG73" i="9" s="1"/>
  <c r="AF74" i="9"/>
  <c r="AG74" i="9" s="1"/>
  <c r="AF75" i="9"/>
  <c r="AG75" i="9" s="1"/>
  <c r="AF76" i="9"/>
  <c r="AG76" i="9" s="1"/>
  <c r="AF77" i="9"/>
  <c r="AG77" i="9" s="1"/>
  <c r="AF78" i="9"/>
  <c r="AG78" i="9" s="1"/>
  <c r="AF79" i="9"/>
  <c r="AG79" i="9" s="1"/>
  <c r="AF80" i="9"/>
  <c r="AG80" i="9" s="1"/>
  <c r="AF81" i="9"/>
  <c r="AG81" i="9" s="1"/>
  <c r="AF82" i="9"/>
  <c r="AG82" i="9" s="1"/>
  <c r="AF83" i="9"/>
  <c r="AG83" i="9" s="1"/>
  <c r="AF84" i="9"/>
  <c r="AG84" i="9" s="1"/>
  <c r="AF85" i="9"/>
  <c r="AG85" i="9" s="1"/>
  <c r="AF86" i="9"/>
  <c r="AG86" i="9" s="1"/>
  <c r="AF87" i="9"/>
  <c r="AG87" i="9" s="1"/>
  <c r="AF88" i="9"/>
  <c r="AG88" i="9" s="1"/>
  <c r="AF89" i="9"/>
  <c r="AG89" i="9" s="1"/>
  <c r="AF90" i="9"/>
  <c r="AG90" i="9" s="1"/>
  <c r="AF91" i="9"/>
  <c r="AG91" i="9" s="1"/>
  <c r="AF92" i="9"/>
  <c r="AG92" i="9" s="1"/>
  <c r="AF93" i="9"/>
  <c r="AG93" i="9" s="1"/>
  <c r="AF94" i="9"/>
  <c r="AG94" i="9" s="1"/>
  <c r="AF95" i="9"/>
  <c r="AG95" i="9" s="1"/>
  <c r="AF96" i="9"/>
  <c r="AG96" i="9" s="1"/>
  <c r="AF97" i="9"/>
  <c r="AG97" i="9" s="1"/>
  <c r="AF98" i="9"/>
  <c r="AG98" i="9" s="1"/>
  <c r="AF99" i="9"/>
  <c r="AG99" i="9" s="1"/>
  <c r="AF100" i="9"/>
  <c r="AG100" i="9" s="1"/>
  <c r="AF101" i="9"/>
  <c r="AG101" i="9" s="1"/>
  <c r="AF102" i="9"/>
  <c r="AG102" i="9" s="1"/>
  <c r="AF103" i="9"/>
  <c r="AG103" i="9" s="1"/>
  <c r="AF104" i="9"/>
  <c r="AG104" i="9" s="1"/>
  <c r="AF105" i="9"/>
  <c r="AG105" i="9" s="1"/>
  <c r="AF106" i="9"/>
  <c r="AG106" i="9" s="1"/>
  <c r="AF107" i="9"/>
  <c r="AG107" i="9" s="1"/>
  <c r="AF108" i="9"/>
  <c r="AG108" i="9" s="1"/>
  <c r="AF109" i="9"/>
  <c r="AG109" i="9" s="1"/>
  <c r="AF110" i="9"/>
  <c r="AG110" i="9" s="1"/>
  <c r="AF111" i="9"/>
  <c r="AG111" i="9" s="1"/>
  <c r="AF112" i="9"/>
  <c r="AG112" i="9" s="1"/>
  <c r="AF113" i="9"/>
  <c r="AG113" i="9" s="1"/>
  <c r="AF114" i="9"/>
  <c r="AG114" i="9" s="1"/>
  <c r="AF115" i="9"/>
  <c r="AG115" i="9" s="1"/>
  <c r="AF116" i="9"/>
  <c r="AG116" i="9" s="1"/>
  <c r="AF117" i="9"/>
  <c r="AG117" i="9" s="1"/>
  <c r="AF118" i="9"/>
  <c r="AG118" i="9" s="1"/>
  <c r="AF119" i="9"/>
  <c r="AG119" i="9" s="1"/>
  <c r="AF120" i="9"/>
  <c r="AG120" i="9" s="1"/>
  <c r="AF121" i="9"/>
  <c r="AG121" i="9" s="1"/>
  <c r="AF122" i="9"/>
  <c r="AG122" i="9" s="1"/>
  <c r="AF123" i="9"/>
  <c r="AG123" i="9" s="1"/>
  <c r="AF124" i="9"/>
  <c r="AG124" i="9" s="1"/>
  <c r="AF125" i="9"/>
  <c r="AG125" i="9" s="1"/>
  <c r="AF126" i="9"/>
  <c r="AG126" i="9" s="1"/>
  <c r="AF127" i="9"/>
  <c r="AG127" i="9" s="1"/>
  <c r="AF128" i="9"/>
  <c r="AG128" i="9" s="1"/>
  <c r="AF129" i="9"/>
  <c r="AG129" i="9" s="1"/>
  <c r="AF130" i="9"/>
  <c r="AG130" i="9" s="1"/>
  <c r="AF131" i="9"/>
  <c r="AG131" i="9" s="1"/>
  <c r="AF132" i="9"/>
  <c r="AG132" i="9" s="1"/>
  <c r="AF133" i="9"/>
  <c r="AG133" i="9" s="1"/>
  <c r="AF134" i="9"/>
  <c r="AG134" i="9" s="1"/>
  <c r="AF135" i="9"/>
  <c r="AG135" i="9" s="1"/>
  <c r="AF136" i="9"/>
  <c r="AG136" i="9" s="1"/>
  <c r="AF137" i="9"/>
  <c r="AG137" i="9" s="1"/>
  <c r="AF138" i="9"/>
  <c r="AG138" i="9" s="1"/>
  <c r="AF139" i="9"/>
  <c r="AG139" i="9" s="1"/>
  <c r="AF140" i="9"/>
  <c r="AG140" i="9" s="1"/>
  <c r="AF141" i="9"/>
  <c r="AG141" i="9" s="1"/>
  <c r="AF142" i="9"/>
  <c r="AG142" i="9" s="1"/>
  <c r="AF143" i="9"/>
  <c r="AG143" i="9" s="1"/>
  <c r="AF144" i="9"/>
  <c r="AG144" i="9" s="1"/>
  <c r="AF145" i="9"/>
  <c r="AG145" i="9" s="1"/>
  <c r="AF146" i="9"/>
  <c r="AG146" i="9" s="1"/>
  <c r="AF147" i="9"/>
  <c r="AG147" i="9" s="1"/>
  <c r="AF148" i="9"/>
  <c r="AG148" i="9" s="1"/>
  <c r="AF149" i="9"/>
  <c r="AG149" i="9" s="1"/>
  <c r="AF150" i="9"/>
  <c r="AG150" i="9" s="1"/>
  <c r="AF151" i="9"/>
  <c r="AG151" i="9" s="1"/>
  <c r="AF152" i="9"/>
  <c r="AG152" i="9" s="1"/>
  <c r="AF153" i="9"/>
  <c r="AG153" i="9" s="1"/>
  <c r="AF154" i="9"/>
  <c r="AG154" i="9" s="1"/>
  <c r="AF155" i="9"/>
  <c r="AG155" i="9" s="1"/>
  <c r="AF156" i="9"/>
  <c r="AG156" i="9" s="1"/>
  <c r="AF157" i="9"/>
  <c r="AG157" i="9" s="1"/>
  <c r="AF158" i="9"/>
  <c r="AG158" i="9" s="1"/>
  <c r="AF159" i="9"/>
  <c r="AG159" i="9" s="1"/>
  <c r="AF160" i="9"/>
  <c r="AG160" i="9" s="1"/>
  <c r="AF161" i="9"/>
  <c r="AG161" i="9" s="1"/>
  <c r="AF162" i="9"/>
  <c r="AG162" i="9" s="1"/>
  <c r="AF163" i="9"/>
  <c r="AG163" i="9" s="1"/>
  <c r="AF164" i="9"/>
  <c r="AG164" i="9" s="1"/>
  <c r="AF165" i="9"/>
  <c r="AG165" i="9" s="1"/>
  <c r="AF166" i="9"/>
  <c r="AG166" i="9" s="1"/>
  <c r="AF167" i="9"/>
  <c r="AG167" i="9" s="1"/>
  <c r="AF168" i="9"/>
  <c r="AG168" i="9" s="1"/>
  <c r="AF169" i="9"/>
  <c r="AG169" i="9" s="1"/>
  <c r="AF170" i="9"/>
  <c r="AG170" i="9" s="1"/>
  <c r="AF171" i="9"/>
  <c r="AG171" i="9" s="1"/>
  <c r="AF172" i="9"/>
  <c r="AG172" i="9" s="1"/>
  <c r="AF173" i="9"/>
  <c r="AG173" i="9" s="1"/>
  <c r="AF174" i="9"/>
  <c r="AG174" i="9" s="1"/>
  <c r="AF175" i="9"/>
  <c r="AG175" i="9" s="1"/>
  <c r="AF176" i="9"/>
  <c r="AG176" i="9" s="1"/>
  <c r="AF177" i="9"/>
  <c r="AG177" i="9" s="1"/>
  <c r="AF178" i="9"/>
  <c r="AG178" i="9" s="1"/>
  <c r="AF179" i="9"/>
  <c r="AG179" i="9" s="1"/>
  <c r="AF180" i="9"/>
  <c r="AG180" i="9" s="1"/>
  <c r="AF181" i="9"/>
  <c r="AG181" i="9" s="1"/>
  <c r="AF182" i="9"/>
  <c r="AG182" i="9" s="1"/>
  <c r="AF183" i="9"/>
  <c r="AG183" i="9" s="1"/>
  <c r="AF184" i="9"/>
  <c r="AG184" i="9" s="1"/>
  <c r="AF185" i="9"/>
  <c r="AG185" i="9" s="1"/>
  <c r="AF186" i="9"/>
  <c r="AG186" i="9" s="1"/>
  <c r="AF187" i="9"/>
  <c r="AG187" i="9" s="1"/>
  <c r="AF188" i="9"/>
  <c r="AG188" i="9" s="1"/>
  <c r="AF189" i="9"/>
  <c r="AG189" i="9" s="1"/>
  <c r="AF190" i="9"/>
  <c r="AG190" i="9" s="1"/>
  <c r="AF191" i="9"/>
  <c r="AG191" i="9" s="1"/>
  <c r="AF192" i="9"/>
  <c r="AG192" i="9" s="1"/>
  <c r="AF193" i="9"/>
  <c r="AG193" i="9" s="1"/>
  <c r="AF194" i="9"/>
  <c r="AG194" i="9" s="1"/>
  <c r="AF195" i="9"/>
  <c r="AG195" i="9" s="1"/>
  <c r="AF196" i="9"/>
  <c r="AG196" i="9" s="1"/>
  <c r="AF197" i="9"/>
  <c r="AG197" i="9" s="1"/>
  <c r="AF198" i="9"/>
  <c r="AG198" i="9" s="1"/>
  <c r="AF199" i="9"/>
  <c r="AG199" i="9" s="1"/>
  <c r="AF200" i="9"/>
  <c r="AG200" i="9" s="1"/>
  <c r="AF201" i="9"/>
  <c r="AG201" i="9" s="1"/>
  <c r="AF202" i="9"/>
  <c r="AG202" i="9" s="1"/>
  <c r="AF203" i="9"/>
  <c r="AG203" i="9" s="1"/>
  <c r="AF204" i="9"/>
  <c r="AG204" i="9" s="1"/>
  <c r="AF205" i="9"/>
  <c r="AG205" i="9" s="1"/>
  <c r="AF206" i="9"/>
  <c r="AG206" i="9" s="1"/>
  <c r="AF207" i="9"/>
  <c r="AG207" i="9" s="1"/>
  <c r="AF208" i="9"/>
  <c r="AG208" i="9" s="1"/>
  <c r="AF209" i="9"/>
  <c r="AG209" i="9" s="1"/>
  <c r="AF210" i="9"/>
  <c r="AG210" i="9" s="1"/>
  <c r="AF211" i="9"/>
  <c r="AG211" i="9" s="1"/>
  <c r="AF212" i="9"/>
  <c r="AG212" i="9" s="1"/>
  <c r="AF213" i="9"/>
  <c r="AG213" i="9" s="1"/>
  <c r="AF214" i="9"/>
  <c r="AG214" i="9" s="1"/>
  <c r="AF215" i="9"/>
  <c r="AG215" i="9" s="1"/>
  <c r="AF216" i="9"/>
  <c r="AG216" i="9" s="1"/>
  <c r="AF217" i="9"/>
  <c r="AG217" i="9" s="1"/>
  <c r="AF218" i="9"/>
  <c r="AG218" i="9" s="1"/>
  <c r="AF219" i="9"/>
  <c r="AG219" i="9" s="1"/>
  <c r="AF220" i="9"/>
  <c r="AG220" i="9" s="1"/>
  <c r="AF221" i="9"/>
  <c r="AG221" i="9" s="1"/>
  <c r="AF222" i="9"/>
  <c r="AG222" i="9" s="1"/>
  <c r="AF223" i="9"/>
  <c r="AG223" i="9" s="1"/>
  <c r="AF224" i="9"/>
  <c r="AG224" i="9" s="1"/>
  <c r="AF225" i="9"/>
  <c r="AG225" i="9" s="1"/>
  <c r="AF226" i="9"/>
  <c r="AG226" i="9" s="1"/>
  <c r="AF227" i="9"/>
  <c r="AG227" i="9" s="1"/>
  <c r="AF228" i="9"/>
  <c r="AG228" i="9" s="1"/>
  <c r="AF229" i="9"/>
  <c r="AG229" i="9" s="1"/>
  <c r="AF230" i="9"/>
  <c r="AG230" i="9" s="1"/>
  <c r="AF231" i="9"/>
  <c r="AG231" i="9" s="1"/>
  <c r="AF232" i="9"/>
  <c r="AG232" i="9" s="1"/>
  <c r="AF233" i="9"/>
  <c r="AG233" i="9" s="1"/>
  <c r="AF234" i="9"/>
  <c r="AG234" i="9" s="1"/>
  <c r="AF235" i="9"/>
  <c r="AG235" i="9" s="1"/>
  <c r="AF236" i="9"/>
  <c r="AG236" i="9" s="1"/>
  <c r="AF237" i="9"/>
  <c r="AG237" i="9" s="1"/>
  <c r="AF238" i="9"/>
  <c r="AG238" i="9" s="1"/>
  <c r="AF239" i="9"/>
  <c r="AG239" i="9" s="1"/>
  <c r="AF240" i="9"/>
  <c r="AG240" i="9" s="1"/>
  <c r="AF241" i="9"/>
  <c r="AG241" i="9" s="1"/>
  <c r="AF242" i="9"/>
  <c r="AG242" i="9" s="1"/>
  <c r="AF243" i="9"/>
  <c r="AG243" i="9" s="1"/>
  <c r="AF244" i="9"/>
  <c r="AG244" i="9" s="1"/>
  <c r="AF245" i="9"/>
  <c r="AG245" i="9" s="1"/>
  <c r="AF246" i="9"/>
  <c r="AG246" i="9" s="1"/>
  <c r="AF247" i="9"/>
  <c r="AG247" i="9" s="1"/>
  <c r="AF248" i="9"/>
  <c r="AG248" i="9" s="1"/>
  <c r="AF249" i="9"/>
  <c r="AG249" i="9" s="1"/>
  <c r="AF250" i="9"/>
  <c r="AG250" i="9" s="1"/>
  <c r="AF251" i="9"/>
  <c r="AG251" i="9" s="1"/>
  <c r="AF252" i="9"/>
  <c r="AG252" i="9" s="1"/>
  <c r="AF253" i="9"/>
  <c r="AG253" i="9" s="1"/>
  <c r="AF254" i="9"/>
  <c r="AG254" i="9" s="1"/>
  <c r="AF255" i="9"/>
  <c r="AG255" i="9" s="1"/>
  <c r="AF256" i="9"/>
  <c r="AG256" i="9" s="1"/>
  <c r="AF257" i="9"/>
  <c r="AG257" i="9" s="1"/>
  <c r="AF258" i="9"/>
  <c r="AG258" i="9" s="1"/>
  <c r="AF259" i="9"/>
  <c r="AG259" i="9" s="1"/>
  <c r="AF260" i="9"/>
  <c r="AG260" i="9" s="1"/>
  <c r="AF261" i="9"/>
  <c r="AG261" i="9" s="1"/>
  <c r="AF262" i="9"/>
  <c r="AG262" i="9" s="1"/>
  <c r="AF263" i="9"/>
  <c r="AG263" i="9" s="1"/>
  <c r="AF264" i="9"/>
  <c r="AG264" i="9" s="1"/>
  <c r="AF265" i="9"/>
  <c r="AG265" i="9" s="1"/>
  <c r="AF266" i="9"/>
  <c r="AG266" i="9" s="1"/>
  <c r="AF267" i="9"/>
  <c r="AG267" i="9" s="1"/>
  <c r="AF268" i="9"/>
  <c r="AG268" i="9" s="1"/>
  <c r="AF269" i="9"/>
  <c r="AG269" i="9" s="1"/>
  <c r="AF270" i="9"/>
  <c r="AG270" i="9" s="1"/>
  <c r="AF271" i="9"/>
  <c r="AG271" i="9" s="1"/>
  <c r="AF272" i="9"/>
  <c r="AG272" i="9" s="1"/>
  <c r="AF273" i="9"/>
  <c r="AG273" i="9" s="1"/>
  <c r="AF274" i="9"/>
  <c r="AG274" i="9" s="1"/>
  <c r="AF275" i="9"/>
  <c r="AG275" i="9" s="1"/>
  <c r="AF276" i="9"/>
  <c r="AG276" i="9" s="1"/>
  <c r="AF277" i="9"/>
  <c r="AG277" i="9" s="1"/>
  <c r="AF278" i="9"/>
  <c r="AG278" i="9" s="1"/>
  <c r="AF279" i="9"/>
  <c r="AG279" i="9" s="1"/>
  <c r="AF280" i="9"/>
  <c r="AG280" i="9" s="1"/>
  <c r="AF281" i="9"/>
  <c r="AG281" i="9" s="1"/>
  <c r="AF282" i="9"/>
  <c r="AG282" i="9" s="1"/>
  <c r="AF283" i="9"/>
  <c r="AG283" i="9" s="1"/>
  <c r="AF284" i="9"/>
  <c r="AG284" i="9" s="1"/>
  <c r="AF285" i="9"/>
  <c r="AG285" i="9" s="1"/>
  <c r="AF286" i="9"/>
  <c r="AG286" i="9" s="1"/>
  <c r="AF287" i="9"/>
  <c r="AG287" i="9" s="1"/>
  <c r="AF288" i="9"/>
  <c r="AG288" i="9" s="1"/>
  <c r="AF289" i="9"/>
  <c r="AG289" i="9" s="1"/>
  <c r="AF290" i="9"/>
  <c r="AG290" i="9" s="1"/>
  <c r="AF291" i="9"/>
  <c r="AG291" i="9" s="1"/>
  <c r="AF292" i="9"/>
  <c r="AG292" i="9" s="1"/>
  <c r="AF293" i="9"/>
  <c r="AG293" i="9" s="1"/>
  <c r="AF294" i="9"/>
  <c r="AG294" i="9" s="1"/>
  <c r="AF295" i="9"/>
  <c r="AG295" i="9" s="1"/>
  <c r="AF296" i="9"/>
  <c r="AG296" i="9" s="1"/>
  <c r="AF297" i="9"/>
  <c r="AG297" i="9" s="1"/>
  <c r="AF298" i="9"/>
  <c r="AG298" i="9" s="1"/>
  <c r="AA4" i="8"/>
  <c r="AA6" i="8"/>
  <c r="AA9" i="8"/>
  <c r="AA12" i="8"/>
  <c r="AA35" i="8"/>
  <c r="AA36" i="8"/>
  <c r="AA60" i="8"/>
  <c r="AA61" i="8"/>
  <c r="AA72" i="8"/>
  <c r="AA75" i="8"/>
  <c r="AA78" i="8"/>
  <c r="AA84" i="8"/>
  <c r="AA96" i="8"/>
  <c r="AA110" i="8"/>
  <c r="AA113" i="8"/>
  <c r="AA122" i="8"/>
  <c r="AA125" i="8"/>
  <c r="AA134" i="8"/>
  <c r="AA146" i="8"/>
  <c r="AA147" i="8"/>
  <c r="AA158" i="8"/>
  <c r="AA168" i="8"/>
  <c r="AA182" i="8"/>
  <c r="AA194" i="8"/>
  <c r="AA206" i="8"/>
  <c r="AA217" i="8"/>
  <c r="AA221" i="8"/>
  <c r="AA233" i="8"/>
  <c r="AA253" i="8"/>
  <c r="AA264" i="8"/>
  <c r="AA300" i="8"/>
  <c r="AA313" i="8"/>
  <c r="AG3" i="9" l="1"/>
  <c r="AG3" i="11"/>
  <c r="AJ2" i="10" l="1"/>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 i="9"/>
  <c r="AI3" i="11"/>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 i="11"/>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2" i="8"/>
  <c r="Z2" i="8"/>
  <c r="AF2" i="9"/>
  <c r="AF2" i="10"/>
  <c r="AF2" i="11"/>
  <c r="AG2" i="10" l="1"/>
  <c r="AG2" i="9" l="1"/>
  <c r="AA2" i="8"/>
  <c r="AG2" i="11" l="1"/>
</calcChain>
</file>

<file path=xl/sharedStrings.xml><?xml version="1.0" encoding="utf-8"?>
<sst xmlns="http://schemas.openxmlformats.org/spreadsheetml/2006/main" count="32802" uniqueCount="2772">
  <si>
    <t>SÃO PAULO</t>
  </si>
  <si>
    <t>GOPOÚVA</t>
  </si>
  <si>
    <t>TEMPO DE EXECUÇÃO</t>
  </si>
  <si>
    <t>BAIXA DE MATERIAIS</t>
  </si>
  <si>
    <t>ÁGUA</t>
  </si>
  <si>
    <t>FACHADA</t>
  </si>
  <si>
    <t>SINALIZAÇÃO</t>
  </si>
  <si>
    <t>ENCERADO</t>
  </si>
  <si>
    <t>GEOMETRIA</t>
  </si>
  <si>
    <t>BERÇO DE AREIA</t>
  </si>
  <si>
    <t>ESTANQUEIDADE</t>
  </si>
  <si>
    <t>FINALIZAÇÃO</t>
  </si>
  <si>
    <t>EQUIPE</t>
  </si>
  <si>
    <t>ESGOTO</t>
  </si>
  <si>
    <t>NA</t>
  </si>
  <si>
    <t>ESCORAMENTO</t>
  </si>
  <si>
    <t>CAVALETE</t>
  </si>
  <si>
    <t>ANTES</t>
  </si>
  <si>
    <t>HIDRÔMETRO</t>
  </si>
  <si>
    <t>LEITURA</t>
  </si>
  <si>
    <t>REPOSIÇÃO</t>
  </si>
  <si>
    <t>IMPRIMAÇÃO</t>
  </si>
  <si>
    <t>TERMÔMETRO</t>
  </si>
  <si>
    <t>RASTELO</t>
  </si>
  <si>
    <t>PLACA VIBRATÓRIA</t>
  </si>
  <si>
    <t>LIGAÇÃO DE ÁGUA</t>
  </si>
  <si>
    <t>OUTROS SERVIÇOS DE ÁGUA</t>
  </si>
  <si>
    <t>RAMAL DE ÁGUA</t>
  </si>
  <si>
    <t>REDE DE ÁGUA</t>
  </si>
  <si>
    <t>VAZAMENTO DE ÁGUA</t>
  </si>
  <si>
    <t>ARREBENTADO DE REDE DE ÁGUA</t>
  </si>
  <si>
    <t>INCLUIR LIG DE ÁGUA EM CAV MÚLTIPLO S/V</t>
  </si>
  <si>
    <t>INTERLIGAR REDE DE ÁGUA</t>
  </si>
  <si>
    <t>LIGAÇÃO DE ÁGUA S/V</t>
  </si>
  <si>
    <t>NIVELAR CAIXA DE PARADA</t>
  </si>
  <si>
    <t>PROLONGAR REDE DE ÁGUA</t>
  </si>
  <si>
    <t>SONDAR RAMAL DE ÁGUA</t>
  </si>
  <si>
    <t>SONDAR REDE DE ÁGUA</t>
  </si>
  <si>
    <t>SUBSTITUIR LIGAÇÃO DE AGUA</t>
  </si>
  <si>
    <t>TRANSFORMAÇÃO LIG EXIST COM APROV RAMAL</t>
  </si>
  <si>
    <t>TRANSFORMAÇÃO LIG EXIST SEM APROV RAMAL</t>
  </si>
  <si>
    <t>TRANSFORMAÇÃO LIG NOVA COM APROV RAMAL</t>
  </si>
  <si>
    <t>TRANSFORMAÇÃO LIG NOVA SEM APROV RAMAL</t>
  </si>
  <si>
    <t>TROCAR RAMAL DE ÁGUA</t>
  </si>
  <si>
    <t>TROCAR RAMAL DE ÁGUA - VAZ NÃO VISIVEL</t>
  </si>
  <si>
    <t>TROCAR RAMAL DE ÁGUA PREVENTIVA</t>
  </si>
  <si>
    <t>VAZAMENTO DE ÁGUA COM INFILTRAÇÃO</t>
  </si>
  <si>
    <t>VAZAMENTO DE ÁGUA LEITO PAVIMENTADO</t>
  </si>
  <si>
    <t>VAZAMENTO DE ÁGUA LEITO TERRA</t>
  </si>
  <si>
    <t>VAZAMENTO DE ÁGUA NÃO VISÍVEL RAMAL</t>
  </si>
  <si>
    <t>VAZAMENTO DE ÁGUA NÃO VISÍVEL REDE</t>
  </si>
  <si>
    <t>VAZAMENTO DE ÁGUA NO PASSEIO</t>
  </si>
  <si>
    <t>CONSERTO DE ESGOTO</t>
  </si>
  <si>
    <t>OUTROS SERVIÇOS DE ESGOTO</t>
  </si>
  <si>
    <t>PI, PV, TL</t>
  </si>
  <si>
    <t>NIVELAR POÇO DE INSPEÇÃO/VISITA</t>
  </si>
  <si>
    <t>SONDAR REDE DE ESGOTO</t>
  </si>
  <si>
    <t>TROCAR RAMAL DE ESGOTO</t>
  </si>
  <si>
    <t>OUTROS SERVIÇOS DE CAVALETE</t>
  </si>
  <si>
    <t>CAVALETE QUEBRADO</t>
  </si>
  <si>
    <t>CAVALETE VAZANDO</t>
  </si>
  <si>
    <t>INSTALAR LACRE DIVERSOS</t>
  </si>
  <si>
    <t>READEQUAR CAVALETE</t>
  </si>
  <si>
    <t>REGISTRO DO CAVALETE QUEBRADO</t>
  </si>
  <si>
    <t>REGISTRO DO CAVALETE VAZANDO</t>
  </si>
  <si>
    <t>TROCAR CAVALETE (KIT)</t>
  </si>
  <si>
    <t>TROCAR CAVALETE POR UMA</t>
  </si>
  <si>
    <t>TROCAR PE DE CAVALETE PREVENTIVO</t>
  </si>
  <si>
    <t>REPOR ASFALTO</t>
  </si>
  <si>
    <t>REPOR ASFALTO INV</t>
  </si>
  <si>
    <t>REPOR CAPA ASFALTICA</t>
  </si>
  <si>
    <t>REPOR CAPA ASFALTICA INV</t>
  </si>
  <si>
    <t>Unidade Executante</t>
  </si>
  <si>
    <t>Número OS</t>
  </si>
  <si>
    <t>Descrição TSS</t>
  </si>
  <si>
    <t>Família</t>
  </si>
  <si>
    <t>Município</t>
  </si>
  <si>
    <t>Endereço</t>
  </si>
  <si>
    <t>Número</t>
  </si>
  <si>
    <t>Complemento</t>
  </si>
  <si>
    <t>Bairro</t>
  </si>
  <si>
    <t>Resultado</t>
  </si>
  <si>
    <t>Nota Execução/Não Execução</t>
  </si>
  <si>
    <t>Data Início Execução</t>
  </si>
  <si>
    <t>Data Fim Execução</t>
  </si>
  <si>
    <t>Observação Fachada</t>
  </si>
  <si>
    <t>Observação Sinalização</t>
  </si>
  <si>
    <t>Observação encerado</t>
  </si>
  <si>
    <t>Observação Geometria</t>
  </si>
  <si>
    <t>Observação Berço de Areia</t>
  </si>
  <si>
    <t>Observaçao Estanqueidade</t>
  </si>
  <si>
    <t>.COMPACTAÇÃO</t>
  </si>
  <si>
    <t>Observação Compactação</t>
  </si>
  <si>
    <t>Observação Finalização</t>
  </si>
  <si>
    <t>Tempo de execução</t>
  </si>
  <si>
    <t>Sequência de Fotos</t>
  </si>
  <si>
    <t>Observações</t>
  </si>
  <si>
    <t>Baixa de materias</t>
  </si>
  <si>
    <t>POLO</t>
  </si>
  <si>
    <t>MUNICÍPIO</t>
  </si>
  <si>
    <t>CARACTERÍSTICA DO SERVIÇO</t>
  </si>
  <si>
    <t>ONMG - DIV MANUT SERV OPE GOPOÚVA</t>
  </si>
  <si>
    <t>GUARULHOS</t>
  </si>
  <si>
    <t xml:space="preserve"> VIELA NUNES</t>
  </si>
  <si>
    <t>RECREIO SAO JORGE</t>
  </si>
  <si>
    <t>FOTOS NA REDE TAMBEM, APENAS REPOSIÇÃO DE CONCRETO, 3X1
VALA RASA 0,60</t>
  </si>
  <si>
    <t>01/04/2026</t>
  </si>
  <si>
    <t>CICERO XAVIER DA SILVA</t>
  </si>
  <si>
    <t>C</t>
  </si>
  <si>
    <t xml:space="preserve"> RUA IRUA</t>
  </si>
  <si>
    <t>C/1</t>
  </si>
  <si>
    <t>V BARROS</t>
  </si>
  <si>
    <t>executado rua troca de ramal . Na frente da caixa uma nao tinha rede de agua , a rede parava antes da residencia . por isso foi executado a troca do ramal alinhando o ramal em direcao a caixa uma .</t>
  </si>
  <si>
    <t>RENATO RAMOS MANCCINI</t>
  </si>
  <si>
    <t>NC</t>
  </si>
  <si>
    <t>C/2</t>
  </si>
  <si>
    <t xml:space="preserve"> RUA SAO SEBASTIAO DA BOA VISTA</t>
  </si>
  <si>
    <t> </t>
  </si>
  <si>
    <t>JD MARILENA</t>
  </si>
  <si>
    <t>SANDRO DE FREITAS GALINDO</t>
  </si>
  <si>
    <t xml:space="preserve"> RUA SANTO ANTONIO DA POSSE</t>
  </si>
  <si>
    <t>C/3</t>
  </si>
  <si>
    <t>JD BEIRUTE</t>
  </si>
  <si>
    <t>INCLUSÃO DE LIG DE AGUA EM CAV MULT S/V</t>
  </si>
  <si>
    <t xml:space="preserve">fotos na OS principal </t>
  </si>
  <si>
    <t xml:space="preserve"> AVENIDA NOVA TABOAO</t>
  </si>
  <si>
    <t>ANT200 C/1</t>
  </si>
  <si>
    <t>JD NOVA TABOAO</t>
  </si>
  <si>
    <t xml:space="preserve"> RUA DO ROSARIO</t>
  </si>
  <si>
    <t>V CAMARGO</t>
  </si>
  <si>
    <t>REPARO DE REDE DE AGUA NÃO VISIVEL</t>
  </si>
  <si>
    <t>CLAUDIO JOSE SILVA SANTOS</t>
  </si>
  <si>
    <t>LIGAÇÃO DE ÁGUA EM CAVALETE MULTIPLO</t>
  </si>
  <si>
    <t xml:space="preserve"> RUA SAO JOAO</t>
  </si>
  <si>
    <t>JD IRENE</t>
  </si>
  <si>
    <t>LIGAÇÃO DE AGUA EM CAVALETE MÚLTIPLO</t>
  </si>
  <si>
    <t xml:space="preserve">rua estreita </t>
  </si>
  <si>
    <t xml:space="preserve"> RUA GUARACY</t>
  </si>
  <si>
    <t>CASA 02</t>
  </si>
  <si>
    <t>JD PAULISTA</t>
  </si>
  <si>
    <t>ADEMAR JOSE VIANA</t>
  </si>
  <si>
    <t xml:space="preserve"> AVENIDA EMILIO RIBAS</t>
  </si>
  <si>
    <t>ANT. 420</t>
  </si>
  <si>
    <t>V TIJUCO</t>
  </si>
  <si>
    <t>JOSE LIMA SILVA</t>
  </si>
  <si>
    <t>CABUCU</t>
  </si>
  <si>
    <t>ADIMILSON SOUZA OLIVEIRA</t>
  </si>
  <si>
    <t xml:space="preserve"> RUA CORREGO DO BOM JESUS</t>
  </si>
  <si>
    <t>CASA 1</t>
  </si>
  <si>
    <t>TABOAO</t>
  </si>
  <si>
    <t>TROCA DE RAMAL DE AGUA PREVENTIVA</t>
  </si>
  <si>
    <t>EDSON COUTINHO DOS SANTOS</t>
  </si>
  <si>
    <t xml:space="preserve"> RUA METEORITO</t>
  </si>
  <si>
    <t>CASA 03</t>
  </si>
  <si>
    <t>PQ PRIMAVERA</t>
  </si>
  <si>
    <t>SONDAGEM DE REDE DE AGUA NÃO VISIVEL</t>
  </si>
  <si>
    <t xml:space="preserve"> RUA ALEGRE</t>
  </si>
  <si>
    <t>ANT. 35</t>
  </si>
  <si>
    <t>V SAO RAFAEL</t>
  </si>
  <si>
    <t>SUPRIMIDO RAMAL DE AGUA ABANDONADO</t>
  </si>
  <si>
    <t>JOAO MANOEL PEREIRA DOS SANTOS</t>
  </si>
  <si>
    <t xml:space="preserve"> RUA TAILANDIA</t>
  </si>
  <si>
    <t>JD SANTA CECILIA</t>
  </si>
  <si>
    <t>EDILSON BARRETO DA SILVA</t>
  </si>
  <si>
    <t>FALTA CARIMBO</t>
  </si>
  <si>
    <t>ANT180,C/1</t>
  </si>
  <si>
    <t>não consigo tira todas as fotos porque a rua esta  fresado prá colocar asfalto novo .e esta interditado</t>
  </si>
  <si>
    <t xml:space="preserve"> RUA VIVENCIA ESPIRITO SANTO</t>
  </si>
  <si>
    <t>APTO 3</t>
  </si>
  <si>
    <t>JD PALMIRA</t>
  </si>
  <si>
    <t>REPARO DE REDE DE AGUA</t>
  </si>
  <si>
    <t>HENRIQUE ANDRADE PEREIRA</t>
  </si>
  <si>
    <t>sem foto porque o servico foi aberto depois do executado</t>
  </si>
  <si>
    <t xml:space="preserve"> RUA CURIO</t>
  </si>
  <si>
    <t>CASA 01</t>
  </si>
  <si>
    <t>JD VALERIA</t>
  </si>
  <si>
    <t>SUPRIMIDO RAMAL AGUA ABAND NÃO VISIVEL</t>
  </si>
  <si>
    <t>CENTRO</t>
  </si>
  <si>
    <t xml:space="preserve"> RUA MONTE CARLO</t>
  </si>
  <si>
    <t>BELA VISTA</t>
  </si>
  <si>
    <t>JOSE PETRUCIO SANTOS FILHO</t>
  </si>
  <si>
    <t>ANT. 52</t>
  </si>
  <si>
    <t>Serviço executado sem fotos devido os aberta após execução do serviço e dentro da vala do INTEGRA TIETÊ com o acompanhamento do fiscal Elvi</t>
  </si>
  <si>
    <t xml:space="preserve"> RUA EUSONIA</t>
  </si>
  <si>
    <t>JD EUSONIA</t>
  </si>
  <si>
    <t>MURILO ALVES ROCHA</t>
  </si>
  <si>
    <t xml:space="preserve"> RUA SOLDADO ARLINDO SARDANHA</t>
  </si>
  <si>
    <t>ANT. 18</t>
  </si>
  <si>
    <t>TROCA DE RAMAL DE AGUA</t>
  </si>
  <si>
    <t xml:space="preserve"> RUA CONEGO VALADAO</t>
  </si>
  <si>
    <t>ANT. 1834</t>
  </si>
  <si>
    <t>GOPOUVA</t>
  </si>
  <si>
    <t>EDILSON DA SILVA DE ALMEIDA</t>
  </si>
  <si>
    <t>ANT. 5 C/1</t>
  </si>
  <si>
    <t>TROCA DE RAMAL DE AGUA NÃO VISIVEL</t>
  </si>
  <si>
    <t>serviço executado sem abertura do os
tirar as fotos no particular</t>
  </si>
  <si>
    <t>OS ABERTA POSTERIROMENTE A EXECUÇÃO DO SERVIÇO</t>
  </si>
  <si>
    <t xml:space="preserve"> RUA HUGO ZILLER</t>
  </si>
  <si>
    <t>ANT. 3</t>
  </si>
  <si>
    <t xml:space="preserve">nao foi possivel fotos devido OS ser aberta posteriormente, prioridade da sabesp, sem pavimento obras de esgoto no local </t>
  </si>
  <si>
    <t>OS ABERTA POSTERIORMENTE A EXECUÇÃO DO SERVIÇO</t>
  </si>
  <si>
    <t xml:space="preserve">nao foi possivel fotos devido OS ser aberta posteriormente, prioridade sabesp , sem reposição obras de esgoto no local </t>
  </si>
  <si>
    <t xml:space="preserve"> RUA JAIME TAVARES</t>
  </si>
  <si>
    <t>ANT.17 C/3</t>
  </si>
  <si>
    <t>PQ MIKAIL I</t>
  </si>
  <si>
    <t>FABIO SANTOS</t>
  </si>
  <si>
    <t xml:space="preserve"> RUA SAO DOMINGOS</t>
  </si>
  <si>
    <t>JD CRISTIN ALICE</t>
  </si>
  <si>
    <t>fotos na os anterior</t>
  </si>
  <si>
    <t>ROMARIO MARINHO SANTOS</t>
  </si>
  <si>
    <t>ANT200 C/2</t>
  </si>
  <si>
    <t xml:space="preserve"> RUA PALOMA</t>
  </si>
  <si>
    <t>PQ CONTINENTAL IV</t>
  </si>
  <si>
    <t xml:space="preserve">nao a fotos devudo a chuva,imovel em obra nao a reposicao nao fazer dcp devido a rede raza </t>
  </si>
  <si>
    <t>SF</t>
  </si>
  <si>
    <t xml:space="preserve"> AVENIDA AMALIA GOLLIN PAGNONCELLI</t>
  </si>
  <si>
    <t>JD ROSA DE FRANCA</t>
  </si>
  <si>
    <t>02/04/2026</t>
  </si>
  <si>
    <t xml:space="preserve"> RUA GUARUMOMIS</t>
  </si>
  <si>
    <t>A C/2</t>
  </si>
  <si>
    <t>JD PARAISO</t>
  </si>
  <si>
    <t>REPOSIÇÃO CONCRETO PASSEIO ADAJACNETE 1X1
REPOSIÇÃO CONCRETO TERÇO OPOSTO 1X1
FOTOS NA REDE</t>
  </si>
  <si>
    <t>A C/1</t>
  </si>
  <si>
    <t>A C/3</t>
  </si>
  <si>
    <t xml:space="preserve"> RUA ODORICO JOSE DE BIM</t>
  </si>
  <si>
    <t>obs : a vala ficou muito grande por isso nao colocamos asfalto frio mas carimbamos nas laterais da vala alertando que é provisorio .</t>
  </si>
  <si>
    <t xml:space="preserve"> RUA LOURDES AGOSTINHO</t>
  </si>
  <si>
    <t xml:space="preserve">rua sem saida </t>
  </si>
  <si>
    <t xml:space="preserve"> RUA CONCEICAO DO RIO VERDE</t>
  </si>
  <si>
    <t>V SITIO DOS MORROS</t>
  </si>
  <si>
    <t>SONDAGEM DE REDE DE AGUA</t>
  </si>
  <si>
    <t>ALISSON ARAUJO DA SILVA</t>
  </si>
  <si>
    <t>ANT . 57</t>
  </si>
  <si>
    <t xml:space="preserve"> RUA RIBEIRAO DO SUL</t>
  </si>
  <si>
    <t>.</t>
  </si>
  <si>
    <t>nao fazer dcp rede raza ,nao a reposicao devido asfalto esta marcado pra frezar</t>
  </si>
  <si>
    <t xml:space="preserve"> RUA MARQUES DE BECARIA CESARE BONESANA</t>
  </si>
  <si>
    <t>MONTE CARMELO</t>
  </si>
  <si>
    <t xml:space="preserve"> AVENIDA NOVA AMERICA</t>
  </si>
  <si>
    <t>ANT 1342</t>
  </si>
  <si>
    <t xml:space="preserve"> RUA DAS PAINEIRAS</t>
  </si>
  <si>
    <t>A</t>
  </si>
  <si>
    <t>JD SANTA EDWIRGES</t>
  </si>
  <si>
    <t>fotos anexadas na rede
passeio e rua está em obras, sem reposição</t>
  </si>
  <si>
    <t xml:space="preserve"> RUA ARACOIABA DA SERRA</t>
  </si>
  <si>
    <t>JD JOVAIA</t>
  </si>
  <si>
    <t xml:space="preserve"> RUA CLEMENTE FERREIRA</t>
  </si>
  <si>
    <t>JD V GALVAO</t>
  </si>
  <si>
    <t xml:space="preserve"> RUA EXISTENTE</t>
  </si>
  <si>
    <t>sem fotos area de mata
sem reposição terra</t>
  </si>
  <si>
    <t xml:space="preserve"> RUA ABATA</t>
  </si>
  <si>
    <t>ANT13A</t>
  </si>
  <si>
    <t>JD FLOR DA MONTANHA</t>
  </si>
  <si>
    <t>CARLOS HENRIQUE DO AMARAL</t>
  </si>
  <si>
    <t>REMANEJAR REDE DE ÁGUA</t>
  </si>
  <si>
    <t xml:space="preserve"> AVENIDA PEDRO DE SOUZA LOPES</t>
  </si>
  <si>
    <t>REMANEJADA REDE DE AGUA</t>
  </si>
  <si>
    <t xml:space="preserve"> VIELA DA BARRA</t>
  </si>
  <si>
    <t>ANT.109</t>
  </si>
  <si>
    <t xml:space="preserve"> RUA INACIO BITENCOURT</t>
  </si>
  <si>
    <t>CASA 04</t>
  </si>
  <si>
    <t>TRANQUILIDADE</t>
  </si>
  <si>
    <t>INTERLIGAÇÃO DE REDE DE AGUA</t>
  </si>
  <si>
    <t>serviço baixado sem foto devido à abertura da os após da execução do serviço
foi usar dois cotovelos de 90 75 PVC
sem reposição do vidro obra do integra</t>
  </si>
  <si>
    <t>V GALVAO</t>
  </si>
  <si>
    <t>serviço baixado sem foto de virada abertura da os após a execução de serviço
foi usado dois cotovelos de 90 de 75 para PVC
sem reposição do vidro obra do entrega no local</t>
  </si>
  <si>
    <t xml:space="preserve"> RUA ANA COELHO DA SILVEIRA</t>
  </si>
  <si>
    <t>JD IPANEMA</t>
  </si>
  <si>
    <t xml:space="preserve"> RUA ANTONIO CUSTODIO CASTRO</t>
  </si>
  <si>
    <t>SONDAGEM DE RAMAL DE AGUA</t>
  </si>
  <si>
    <t xml:space="preserve"> RUA GAGO COUTINHO</t>
  </si>
  <si>
    <t xml:space="preserve">trata se de troca de ramal,  nao foi possivel sequencia de fotos correta devido local em obras , passeio adjacente em obras responsabilidade do cliente , interferência de comgas no passeio adjacente </t>
  </si>
  <si>
    <t xml:space="preserve"> RUA QUILOMBO</t>
  </si>
  <si>
    <t>03/04/2026</t>
  </si>
  <si>
    <t>ROBERTO APARECIDO BARBOSA SANTOS</t>
  </si>
  <si>
    <t>As fotos estao na OS principal</t>
  </si>
  <si>
    <t xml:space="preserve"> RUA PAULO CASTALDELLI</t>
  </si>
  <si>
    <t>PQ CONTINENTAL I</t>
  </si>
  <si>
    <t>ANTIGO 134</t>
  </si>
  <si>
    <t>FOTO DA FOTO</t>
  </si>
  <si>
    <t xml:space="preserve"> RUA NOVA UNIAO</t>
  </si>
  <si>
    <t>CASA-02</t>
  </si>
  <si>
    <t>V UNIAO</t>
  </si>
  <si>
    <t xml:space="preserve"> RUA MARIA LUISA REIS MONTEIRO DOS</t>
  </si>
  <si>
    <t>ANT.18 C/1</t>
  </si>
  <si>
    <t xml:space="preserve">REPOSIÇÃO CIMENTADO, FOTOS NA REDE, ERRO DE SINCRONIZAÇÃO, EQUIPE SANDRO (SEBASTIÃO E MARCELO)
REALIZADO TROCA DO HD </t>
  </si>
  <si>
    <t>ANT.18 C/3</t>
  </si>
  <si>
    <t>REPOSIÇÃO CIMENTADO PASSEIO, FOTOS NA REDE, EQUIPE SANDRO (SEBASTIÃO E MARCELO)</t>
  </si>
  <si>
    <t>ANT.18 C/2</t>
  </si>
  <si>
    <t xml:space="preserve"> RUA RUBENS ALVES TAVARES</t>
  </si>
  <si>
    <t>ANT 52 C/2</t>
  </si>
  <si>
    <t>JD VALE DOS MACHADOS</t>
  </si>
  <si>
    <t xml:space="preserve">serviço executado sem foto devido se ária de </t>
  </si>
  <si>
    <t xml:space="preserve"> RUA CARANGUEIJO</t>
  </si>
  <si>
    <t>ANTIGO 6 A</t>
  </si>
  <si>
    <t xml:space="preserve"> RUA VEREADOR ALVARO DE MENDONCA FALCAO</t>
  </si>
  <si>
    <t>V ANDRADE</t>
  </si>
  <si>
    <t>GIVALDO COSTA DOS SANTOS</t>
  </si>
  <si>
    <t xml:space="preserve"> RUA MARIA FERREIRA CALSADO</t>
  </si>
  <si>
    <t xml:space="preserve"> RUA CLAUDINO BARBOSA</t>
  </si>
  <si>
    <t>FRENTEC/1A</t>
  </si>
  <si>
    <t>MACEDO</t>
  </si>
  <si>
    <t xml:space="preserve">foi executado uma troca de ramal de agua. </t>
  </si>
  <si>
    <t>SEM FOCO PROBLEMA GEOCALL</t>
  </si>
  <si>
    <t xml:space="preserve"> RUA LOUVEIRA</t>
  </si>
  <si>
    <t>ANTIGO 438</t>
  </si>
  <si>
    <t>Serviço baixado sem foto devido a área de risco</t>
  </si>
  <si>
    <t>JD CITY</t>
  </si>
  <si>
    <t>V BREMEN</t>
  </si>
  <si>
    <t>SUBSTITUIDA LIGAÇÃO DE AGUA</t>
  </si>
  <si>
    <t>04/04/2026</t>
  </si>
  <si>
    <t xml:space="preserve"> RUA CARLOS PEDRO FIRMO</t>
  </si>
  <si>
    <t xml:space="preserve">nao foi possivel requadra o passeio devido piso estourado </t>
  </si>
  <si>
    <t xml:space="preserve"> RUA CAVADAS</t>
  </si>
  <si>
    <t>V SAO JOAO</t>
  </si>
  <si>
    <t xml:space="preserve">passeio  em  obra </t>
  </si>
  <si>
    <t>05/04/2026</t>
  </si>
  <si>
    <t>MANOMETRO ZERADO</t>
  </si>
  <si>
    <t>C/7</t>
  </si>
  <si>
    <t>foto da execucao na O.S 2613858773</t>
  </si>
  <si>
    <t>C/6</t>
  </si>
  <si>
    <t>C/5</t>
  </si>
  <si>
    <t>C/4</t>
  </si>
  <si>
    <t>1-Troca ate o passeio,cliente n estava em casa e o cavalete é dentro da casa
2</t>
  </si>
  <si>
    <t>FALTA RÉGUA, TRENA E CARIMBO</t>
  </si>
  <si>
    <t xml:space="preserve"> RUA PROFESSOR JOSE MUNHOZ</t>
  </si>
  <si>
    <t>ANT63</t>
  </si>
  <si>
    <t>JD MUNHOZ</t>
  </si>
  <si>
    <t>SONDAGEM DE RAMAL DE AGUA NÃO VISIVEL</t>
  </si>
  <si>
    <t xml:space="preserve"> RUA ONZE</t>
  </si>
  <si>
    <t xml:space="preserve"> RUA ORIZONA</t>
  </si>
  <si>
    <t>ANT. 96</t>
  </si>
  <si>
    <t xml:space="preserve"> RUA SANTO ANTONIO</t>
  </si>
  <si>
    <t>ANT93</t>
  </si>
  <si>
    <t xml:space="preserve"> RUA SAO JOAO DA MATA</t>
  </si>
  <si>
    <t>ANT116 C/1</t>
  </si>
  <si>
    <t xml:space="preserve"> RUA CARLOS BOCAS</t>
  </si>
  <si>
    <t>JD ELIZABETH</t>
  </si>
  <si>
    <t xml:space="preserve"> RUA DORES DE INDAIA</t>
  </si>
  <si>
    <t>ANT. 13</t>
  </si>
  <si>
    <t>JD SANTA CLARA</t>
  </si>
  <si>
    <t xml:space="preserve">trocado ramal de agua ate o pé do cavalete,  asfotos estão na OS do vazamento </t>
  </si>
  <si>
    <t xml:space="preserve"> RUA RICARDO BIONDI</t>
  </si>
  <si>
    <t>V SAO RICARDO</t>
  </si>
  <si>
    <t xml:space="preserve"> AVENIDA ANTONIO CARLOS</t>
  </si>
  <si>
    <t>JD SAO JOAO BATISTA</t>
  </si>
  <si>
    <t xml:space="preserve">baixando sem foto devido ser área de risco , sem Reposição viela moradores. estão em reforma , material usado t de 75 , 3 metros pead  Cotovelo fêmea. </t>
  </si>
  <si>
    <t xml:space="preserve"> RUA VALPARAISO</t>
  </si>
  <si>
    <t>ANT. 16</t>
  </si>
  <si>
    <t>PICANCO</t>
  </si>
  <si>
    <t xml:space="preserve"> RUA MADAME CURIE</t>
  </si>
  <si>
    <t>C/1ANT1561</t>
  </si>
  <si>
    <t>JD DOURADO</t>
  </si>
  <si>
    <t xml:space="preserve"> RUA MATHIAS DE ALBUQUERQUE</t>
  </si>
  <si>
    <t>ANT. 2 C/1</t>
  </si>
  <si>
    <t xml:space="preserve">passeio em obra </t>
  </si>
  <si>
    <t>ANT. 2 C/3</t>
  </si>
  <si>
    <t>foto da execucao na O.S 2614130666</t>
  </si>
  <si>
    <t>ANT. 2 C/2</t>
  </si>
  <si>
    <t xml:space="preserve"> RUA PRUDENTE DE MORAIS</t>
  </si>
  <si>
    <t>ANT 18 C/1</t>
  </si>
  <si>
    <t>V MONTEIRO LOBATO</t>
  </si>
  <si>
    <t xml:space="preserve">sem foto da lona e do batedor porque nao fpi necessario quebra o passeio. sem foto da sinalizacao devido que nao deu para parar o caminhao np local </t>
  </si>
  <si>
    <t>ANT 18 C/2</t>
  </si>
  <si>
    <t>foto da execucao na O.S 2614162798</t>
  </si>
  <si>
    <t xml:space="preserve"> RUA CABO JOAO TERUEL FREGONI</t>
  </si>
  <si>
    <t>COM. 01</t>
  </si>
  <si>
    <t>PONTE GRANDE</t>
  </si>
  <si>
    <t>NIVELADA CAIXA DE PARADA</t>
  </si>
  <si>
    <t xml:space="preserve"> RUA TANCREDO DE ALMEIDA NEVES</t>
  </si>
  <si>
    <t>ITAPEGICA</t>
  </si>
  <si>
    <t xml:space="preserve"> RUA ENEDINA TORCHETTI</t>
  </si>
  <si>
    <t xml:space="preserve"> AVENIDA FRANCISCO MORATO</t>
  </si>
  <si>
    <t xml:space="preserve"> RUA LEOPOLDO SILINGARDI</t>
  </si>
  <si>
    <t>JD LAS VEGAS</t>
  </si>
  <si>
    <t>DESCOBRIR VÁLVULA DE REDE DE ÁGUA</t>
  </si>
  <si>
    <t>DESCOBERTA VALVULA DE REDE DE AGUA</t>
  </si>
  <si>
    <t>06/04/2026</t>
  </si>
  <si>
    <t xml:space="preserve"> AVENIDA SAULLE PAGNONCELLI</t>
  </si>
  <si>
    <t>ANT. 24</t>
  </si>
  <si>
    <t xml:space="preserve"> AVENIDA ALEXANDRE GRANDISOLI</t>
  </si>
  <si>
    <t>ANT12</t>
  </si>
  <si>
    <t>PQ CONTINENTAL II</t>
  </si>
  <si>
    <t xml:space="preserve">foi executado um reparo na rede </t>
  </si>
  <si>
    <t xml:space="preserve"> RUA JOSE DE MELO</t>
  </si>
  <si>
    <t>COM.  01</t>
  </si>
  <si>
    <t xml:space="preserve">SERVIÇO EXECUTADO PELA EQUIPE CAMINHÃO, (EDILSON E RENATO)
FOTOS NA REDE, REALIZADO TROCA DOS HD CASA 1 E 2
INSTALADO HD CASA 4 - 6
REALIZADO SUPRESSÃO RAMAL ANTERIOR, REPOSIÇÃO DE DUAS VALAS 1X1 CADA
REPOSIÇÃO PASSEIO CONCRETO 1 X1 </t>
  </si>
  <si>
    <t xml:space="preserve"> RUA VITOR COSTA</t>
  </si>
  <si>
    <t>COMERCIO 2</t>
  </si>
  <si>
    <t>PARAVENTI</t>
  </si>
  <si>
    <t xml:space="preserve">A26SG0102763 C/6
SERVIÇO EXECUTADO PELA EQUIPE CAMINHÃO, (EDILSON E RENATO)
FOTOS NA REDE, REALIZADO TROCA DOS HD CASA 1 E 2
INSTALADO HD CASA 4 - 6
REALIZADO SUPRESSÃO RAMAL ANTERIOR, REPOSIÇÃO DE DUAS VALAS 1X1 CADA
REPOSIÇÃO PASSEIO CONCRETO 1 X1 </t>
  </si>
  <si>
    <t>A26SG0102756 C/5
SERVIÇO EXECUTADO PELA EQUIPE CAMINHÃO, (EDILSON E RENATO)
FOTOS NA REDE, REALIZADO TROCA DOS HD CASA 1 E 2
INSTALADO HD CASA 4 - 6
REALIZADO SUPRESSÃO RAMAL ANTERIOR, REPOSIÇÃO DE DUAS VALAS 1X1 CADA
REPOSIÇÃO PASSEIO CONCRETO 1 X1
REALIZADO TROCA DO RAMAL</t>
  </si>
  <si>
    <t>ANT.22</t>
  </si>
  <si>
    <t xml:space="preserve"> RUA CAPIVARI</t>
  </si>
  <si>
    <t>obs fotos segue os 2613688156</t>
  </si>
  <si>
    <t xml:space="preserve"> ESTRADA DAS FURNAS</t>
  </si>
  <si>
    <t>passeio especial reposicao 1/1</t>
  </si>
  <si>
    <t xml:space="preserve">às de mais fotos foram tiradas na outra os número 2614127319 não tem reposição obra do esgoto no local </t>
  </si>
  <si>
    <t xml:space="preserve">não tem reposição e asfalto frio é obra de esgoto no local </t>
  </si>
  <si>
    <t xml:space="preserve"> RUA BRIGADEIRO LIMA E SILVA</t>
  </si>
  <si>
    <t>ANT. 231</t>
  </si>
  <si>
    <t>CASA3</t>
  </si>
  <si>
    <t xml:space="preserve"> RUA TERC SARGENTO ALCIDES DE OLIVEIRA</t>
  </si>
  <si>
    <t>V CAPITAO RABELO</t>
  </si>
  <si>
    <t>ANT 4</t>
  </si>
  <si>
    <t xml:space="preserve"> RUA ROBERTO CORREA VIANNA</t>
  </si>
  <si>
    <t>PQ CONTINENTAL V</t>
  </si>
  <si>
    <t>V SOROCABANA</t>
  </si>
  <si>
    <t xml:space="preserve"> AVENIDA WILSON CELESTINO</t>
  </si>
  <si>
    <t>CASA 3</t>
  </si>
  <si>
    <t xml:space="preserve"> RUA PADRE LUCIANO RONGE</t>
  </si>
  <si>
    <t>ANT. 88</t>
  </si>
  <si>
    <t>V DAS PALMEIRAS</t>
  </si>
  <si>
    <t xml:space="preserve"> AVENIDA SALGADO FILHO</t>
  </si>
  <si>
    <t>SALÃO 05</t>
  </si>
  <si>
    <t xml:space="preserve">fotos desaa os etao na os 2614397464
nao foi possivel fazer sinalizacao correta caminhao ficou nas vaga de estacionamento di predio onde foi executado o servico
usado 2 acoplamento de inox 50 x63 e 63x70 nao tem material no meu login para ser lancado </t>
  </si>
  <si>
    <t xml:space="preserve"> RUA DA GLORIA</t>
  </si>
  <si>
    <t>ANT155A</t>
  </si>
  <si>
    <t>V SAO JUDAS TADEU</t>
  </si>
  <si>
    <t>SERVIÇO EXECUTADO PELA EQUIPE CAMINHÃO, (EDILSON E RENATO)
FOTOS NA REDE, REALIZADO TROCA DOS HD CASA 1 E 2
INSTALADO HD CASA 4 - 6
REALIZADO SUPRESSÃO RAMAL ANTERIOR, REPOSIÇÃO DE DUAS VALAS 1X1 CADA
REPOSIÇÃO PASSEIO CONCRETO 1 X1
REALIZADO TROCA DO RAMAL</t>
  </si>
  <si>
    <t xml:space="preserve"> RUA SOLDADO ALEIXO HERCULANO MABA</t>
  </si>
  <si>
    <t>CASA  02</t>
  </si>
  <si>
    <t>07/04/2026</t>
  </si>
  <si>
    <t xml:space="preserve"> RUA TEIXEIRA SOARES</t>
  </si>
  <si>
    <t>JD DAS ACACIAS</t>
  </si>
  <si>
    <t xml:space="preserve"> RUA CANARIO</t>
  </si>
  <si>
    <t>JD SANTA INES</t>
  </si>
  <si>
    <t xml:space="preserve"> AVENIDA SILVESTRE PIRES DE FREITAS</t>
  </si>
  <si>
    <t xml:space="preserve">passeio terra </t>
  </si>
  <si>
    <t xml:space="preserve"> RUA IRMA DOROTY</t>
  </si>
  <si>
    <t>PQ MIKAIL I I</t>
  </si>
  <si>
    <t>rua de terra sem reposicao</t>
  </si>
  <si>
    <t xml:space="preserve"> RUA SANTA IZABEL DO IVAI</t>
  </si>
  <si>
    <t>JD CELIA</t>
  </si>
  <si>
    <t>foto da execucao na O.S 2613829768</t>
  </si>
  <si>
    <t xml:space="preserve"> RUA DOLOMITA</t>
  </si>
  <si>
    <t xml:space="preserve"> RUA FERRUCIO BIONDI</t>
  </si>
  <si>
    <t>ANT 16 C/1</t>
  </si>
  <si>
    <t>JD DORALY</t>
  </si>
  <si>
    <t xml:space="preserve">passeio em obra. </t>
  </si>
  <si>
    <t xml:space="preserve"> RUA AGNELLO TRAMA</t>
  </si>
  <si>
    <t xml:space="preserve"> AVENIDA MARIA GEBIN DE MORAES</t>
  </si>
  <si>
    <t>ANT320 C/1</t>
  </si>
  <si>
    <t>BAIXA INCORRETA E EMENDA</t>
  </si>
  <si>
    <t>ANT 16 C/2</t>
  </si>
  <si>
    <t>foto da execucao na O.S 2614166953</t>
  </si>
  <si>
    <t>ANT320 C/2</t>
  </si>
  <si>
    <t>foto da execucao na O.S 2614135155</t>
  </si>
  <si>
    <t xml:space="preserve"> RUA NETUNO</t>
  </si>
  <si>
    <t>ANT8CC</t>
  </si>
  <si>
    <t>JD SANTA MARIA</t>
  </si>
  <si>
    <t xml:space="preserve"> AVENIDA MILTON</t>
  </si>
  <si>
    <t>ROBERTO SOARES DE ALMEIDA</t>
  </si>
  <si>
    <t>ANTIGO 97</t>
  </si>
  <si>
    <t>não dar pra tirar mais fotos Chuva.rua alagada</t>
  </si>
  <si>
    <t>DETRITO NA VALA</t>
  </si>
  <si>
    <t>ANT96A</t>
  </si>
  <si>
    <t>demais fotos no  Os 558
#OS:2614489305</t>
  </si>
  <si>
    <t xml:space="preserve"> RUA ADELINA VIEIRA PORTO</t>
  </si>
  <si>
    <t>JD SANTA LIDIA</t>
  </si>
  <si>
    <t xml:space="preserve"> RUA ITORORO</t>
  </si>
  <si>
    <t>CC/1</t>
  </si>
  <si>
    <t xml:space="preserve"> AVENIDA MARTINS JUNIOR</t>
  </si>
  <si>
    <t>sem foto devido oss aberta depois da execusao</t>
  </si>
  <si>
    <t>ANT. 26</t>
  </si>
  <si>
    <t xml:space="preserve"> RUA FRANCISCO SERRANO</t>
  </si>
  <si>
    <t xml:space="preserve"> RUA BETUEL LOPES FERREIRA</t>
  </si>
  <si>
    <t>ANTIGO 4 A</t>
  </si>
  <si>
    <t>JD DONA MERI</t>
  </si>
  <si>
    <t>-</t>
  </si>
  <si>
    <t>demais fotos estão no #558
OS:2614489305</t>
  </si>
  <si>
    <t>ANT571C/2</t>
  </si>
  <si>
    <t xml:space="preserve"> VIELA OLGA MARTINS</t>
  </si>
  <si>
    <t>CID MARTINS</t>
  </si>
  <si>
    <t xml:space="preserve">sinalização incompleta motivo rua sem acesso ao caminhão sem foto do sapinho  rua sem acesso ao caminhão </t>
  </si>
  <si>
    <t>FALTA DAS PLACAS DE 50 E ESTREITAMENTO DE PISTA</t>
  </si>
  <si>
    <t xml:space="preserve"> RUA SANTA MARIA</t>
  </si>
  <si>
    <t xml:space="preserve"> RUA JAROSLAV HAJEK</t>
  </si>
  <si>
    <t>ANT. 84</t>
  </si>
  <si>
    <t>JD MOREIRA</t>
  </si>
  <si>
    <t>08/04/2026</t>
  </si>
  <si>
    <t xml:space="preserve"> RUA AGUA DOCE</t>
  </si>
  <si>
    <t>ANT58C/1E0</t>
  </si>
  <si>
    <t>JD SAO DOMINGOS</t>
  </si>
  <si>
    <t xml:space="preserve"> RUA IBIPITANGA</t>
  </si>
  <si>
    <t>ANT 242</t>
  </si>
  <si>
    <t>PQ CONTINENTAL III</t>
  </si>
  <si>
    <t xml:space="preserve"> RUA CAPELA DO ALTO</t>
  </si>
  <si>
    <t>C- 03</t>
  </si>
  <si>
    <t xml:space="preserve"> AVENIDA MARECHAL RONDON</t>
  </si>
  <si>
    <t xml:space="preserve"> RUA CENTER</t>
  </si>
  <si>
    <t>foto da execucao na O.S 2614135529</t>
  </si>
  <si>
    <t>FDS CASA 2</t>
  </si>
  <si>
    <t xml:space="preserve"> RUA JOAO ROBERTO MIRANDA</t>
  </si>
  <si>
    <t xml:space="preserve"> RUA HUNGRIA</t>
  </si>
  <si>
    <t xml:space="preserve"> AVENIDA NEUZA LUONGO</t>
  </si>
  <si>
    <t xml:space="preserve">passeio em obras </t>
  </si>
  <si>
    <t xml:space="preserve"> RUA TRAJANO DE MORAIS</t>
  </si>
  <si>
    <t>JD ITAPOA</t>
  </si>
  <si>
    <t xml:space="preserve"> RUA AGUAS DE LINDOIA</t>
  </si>
  <si>
    <t>V MARILDA</t>
  </si>
  <si>
    <t xml:space="preserve"> RUA SENADOR MODESTO GONCALVES</t>
  </si>
  <si>
    <t>fotos tiradas via whatsapp</t>
  </si>
  <si>
    <t xml:space="preserve"> RUA ITAPOGIPE</t>
  </si>
  <si>
    <t>A A CASA 2</t>
  </si>
  <si>
    <t>CECAP</t>
  </si>
  <si>
    <t xml:space="preserve"> RUA MANOEL DE SOUZA</t>
  </si>
  <si>
    <t>ANT. 8</t>
  </si>
  <si>
    <t>INSTALAR VÁLVULA DE REDE DE ÁGUA</t>
  </si>
  <si>
    <t xml:space="preserve"> RUA ROMELANDIA</t>
  </si>
  <si>
    <t>INSTALADA VALVULA DE REDE DE AGUA</t>
  </si>
  <si>
    <t>OS ABERTA APOS EXECUCAO - DDNTRO DO PVTL</t>
  </si>
  <si>
    <t>ANT.14</t>
  </si>
  <si>
    <t xml:space="preserve"> RUA CONSUL ORESTES CORREA</t>
  </si>
  <si>
    <t xml:space="preserve">foi executado um reparo na rede nao visível </t>
  </si>
  <si>
    <t xml:space="preserve"> RUA GABRIEL DELANE</t>
  </si>
  <si>
    <t>BOM CLIMA</t>
  </si>
  <si>
    <t>sem foto porque o servico foi aberto depois executado</t>
  </si>
  <si>
    <t>VAZAMENTO DE ÁGUA EM RAMAL ABANDONADO</t>
  </si>
  <si>
    <t xml:space="preserve"> RUA CINCO</t>
  </si>
  <si>
    <t>JD DOS CARDOSOS</t>
  </si>
  <si>
    <t xml:space="preserve"> RUA DOUTOR DOMINGOS PASCHOAL B GRACIANO</t>
  </si>
  <si>
    <t>ANT. 25</t>
  </si>
  <si>
    <t>JD NV IPANEMA</t>
  </si>
  <si>
    <t xml:space="preserve">fotos no vazamento </t>
  </si>
  <si>
    <t xml:space="preserve"> RUA NATAL DEL BUONI</t>
  </si>
  <si>
    <t>ANT53</t>
  </si>
  <si>
    <t>09/04/2026</t>
  </si>
  <si>
    <t>ANT. 737</t>
  </si>
  <si>
    <t xml:space="preserve"> TRAVESSA BOM JESUS DA LAPA</t>
  </si>
  <si>
    <t>ANT. 15</t>
  </si>
  <si>
    <t>V ROSALIA</t>
  </si>
  <si>
    <t>JD DO PAPAI</t>
  </si>
  <si>
    <t>CASA  - 02</t>
  </si>
  <si>
    <t xml:space="preserve"> RUA ANDROMEDA</t>
  </si>
  <si>
    <t xml:space="preserve"> PASSAGEM FRANCA</t>
  </si>
  <si>
    <t>JD NOVA GUARULHOS</t>
  </si>
  <si>
    <t xml:space="preserve"> RUA IPIRANGA</t>
  </si>
  <si>
    <t>ANT. 347</t>
  </si>
  <si>
    <t xml:space="preserve"> RUA BARBACENA</t>
  </si>
  <si>
    <t>ANT. 18 C</t>
  </si>
  <si>
    <t>repoaicao concreto 1/1</t>
  </si>
  <si>
    <t>c</t>
  </si>
  <si>
    <t xml:space="preserve"> RUA BENEDICTA DE ALMEIDA FRANCO</t>
  </si>
  <si>
    <t>ANT17</t>
  </si>
  <si>
    <t>V MOREIRA</t>
  </si>
  <si>
    <t xml:space="preserve"> RUA HELIA</t>
  </si>
  <si>
    <t xml:space="preserve"> ESTRADA EXISTENTE</t>
  </si>
  <si>
    <t>sem reposição terra</t>
  </si>
  <si>
    <t xml:space="preserve"> RUA AGUDOS DO SUL</t>
  </si>
  <si>
    <t>fotos tiradas na OS anterior</t>
  </si>
  <si>
    <t xml:space="preserve"> RUA SEBASTIAO CARLOS PANNOCCHIA</t>
  </si>
  <si>
    <t>ANT. 128</t>
  </si>
  <si>
    <t xml:space="preserve"> RUA DIONIZIO DIOGO DE FARIA</t>
  </si>
  <si>
    <t>ANT102</t>
  </si>
  <si>
    <t xml:space="preserve"> AVENIDA MONTEIRO LOBATO</t>
  </si>
  <si>
    <t>V MIRIAM</t>
  </si>
  <si>
    <t xml:space="preserve"> RUA SAO TOMAS DE AQUINO</t>
  </si>
  <si>
    <t>V MARICY</t>
  </si>
  <si>
    <t xml:space="preserve"> RUA SOLDADO ANTONIO MARTINS DE OLIVEIRA</t>
  </si>
  <si>
    <t>ANT. 122</t>
  </si>
  <si>
    <t xml:space="preserve">fotos dessa os estão na os de vazamento de água no leito pavimentado 2689970314
não tem reposição de p.a imóvel em obra </t>
  </si>
  <si>
    <t>fotos dessa os estão na os de vazamento de água no leito pavimentado 2689970314</t>
  </si>
  <si>
    <t>ANT 12 C/1</t>
  </si>
  <si>
    <t>foto na oss que cacelamos o cavalete</t>
  </si>
  <si>
    <t xml:space="preserve"> RUA INDEPENDENCIA</t>
  </si>
  <si>
    <t>V RENATA</t>
  </si>
  <si>
    <t xml:space="preserve"> RUA GERALDO HIGINO DE CARVALHO</t>
  </si>
  <si>
    <t>PQ FLAMENGO</t>
  </si>
  <si>
    <t>passeio reposicao concreto</t>
  </si>
  <si>
    <t>fotoa seguem os 2614848982</t>
  </si>
  <si>
    <t xml:space="preserve"> RUA PONTA DE PEDRAS</t>
  </si>
  <si>
    <t xml:space="preserve"> RUA ITAIOPOLIS</t>
  </si>
  <si>
    <t xml:space="preserve"> RUA ARTHUR RODRIGUES DE ALCANTARA</t>
  </si>
  <si>
    <t>ANT 123</t>
  </si>
  <si>
    <t>V PAULISTA</t>
  </si>
  <si>
    <t>V AUGUSTA</t>
  </si>
  <si>
    <t>10/04/2026</t>
  </si>
  <si>
    <t xml:space="preserve"> AVENIDA ROTARY</t>
  </si>
  <si>
    <t>V DAS BANDEIRAS</t>
  </si>
  <si>
    <t xml:space="preserve"> RUA ARTHUR GONCALVES FILHO</t>
  </si>
  <si>
    <t>JD ADRIANA I</t>
  </si>
  <si>
    <t xml:space="preserve"> RUA PEROLA</t>
  </si>
  <si>
    <t xml:space="preserve">nao foi possivel reguadra o passeio devido passeio quebrado </t>
  </si>
  <si>
    <t>JD SAO FRANCISCO</t>
  </si>
  <si>
    <t>11/04/2026</t>
  </si>
  <si>
    <t xml:space="preserve"> RUA NHAMBU</t>
  </si>
  <si>
    <t>ANT-04-A</t>
  </si>
  <si>
    <t xml:space="preserve"> RUA VICTALINA LEITE BALDUINO</t>
  </si>
  <si>
    <t xml:space="preserve">feito sondagem leito seco </t>
  </si>
  <si>
    <t xml:space="preserve"> RUA HUMBERTO BROCHINI</t>
  </si>
  <si>
    <t>ANT 71</t>
  </si>
  <si>
    <t>ANT 16 A</t>
  </si>
  <si>
    <t xml:space="preserve"> RUA SAO JOAO NEPOMUCENO</t>
  </si>
  <si>
    <t xml:space="preserve">Não foi possível concluir sequência de foto devido à rea de risco </t>
  </si>
  <si>
    <t xml:space="preserve"> RUA JAIME DOS SANTOS AUGUSTO</t>
  </si>
  <si>
    <t>COM 02</t>
  </si>
  <si>
    <t>EDSON EVANGELISTA CABRAL SOARES</t>
  </si>
  <si>
    <t>ANT 34</t>
  </si>
  <si>
    <t>JD BELVEDERE</t>
  </si>
  <si>
    <t>sem fotos prioridade prefeitura em obras
qem reposição terra</t>
  </si>
  <si>
    <t>PRIORIDADE</t>
  </si>
  <si>
    <t xml:space="preserve"> RUA DAS FLORES</t>
  </si>
  <si>
    <t>B</t>
  </si>
  <si>
    <t xml:space="preserve">fotos tiradas na OS anteiror </t>
  </si>
  <si>
    <t xml:space="preserve"> ESTRADA DO ELENCO</t>
  </si>
  <si>
    <t>ANT1142</t>
  </si>
  <si>
    <t xml:space="preserve">fotos na OS principal do serviço </t>
  </si>
  <si>
    <t>ATUAL</t>
  </si>
  <si>
    <t xml:space="preserve"> RUA MIRACEMA</t>
  </si>
  <si>
    <t>CASA 07</t>
  </si>
  <si>
    <t>foi executado uma troca de ramal de agua preventiva.
obs; as fotos esta na ficha 2615169249</t>
  </si>
  <si>
    <t xml:space="preserve"> AVENIDA ROUXINOL</t>
  </si>
  <si>
    <t>CHACARA CABUCU</t>
  </si>
  <si>
    <t xml:space="preserve"> RUA ENGENHEIRO CESAR POLILO</t>
  </si>
  <si>
    <t>ANT11A</t>
  </si>
  <si>
    <t xml:space="preserve"> RUA DOS COQUEIROS</t>
  </si>
  <si>
    <t xml:space="preserve"> RUA NARAIN SINGH LUSCHINI</t>
  </si>
  <si>
    <t xml:space="preserve"> RUA LISBOA</t>
  </si>
  <si>
    <t>ANT. 173</t>
  </si>
  <si>
    <t xml:space="preserve">foi executado um ccv </t>
  </si>
  <si>
    <t xml:space="preserve"> PASSAGEM ANO BOM</t>
  </si>
  <si>
    <t>ANT. 12</t>
  </si>
  <si>
    <t xml:space="preserve"> TRAVESSA JOAQUIM FREITAS</t>
  </si>
  <si>
    <t>Sem sinalização motivo rua sem o acesso ao caminhão</t>
  </si>
  <si>
    <t>FALTA FITA ZEBRADA E PLACA DE PEDESTRE</t>
  </si>
  <si>
    <t>V RIO</t>
  </si>
  <si>
    <t>serviço executado sem fotos devido serviço ser dentro da vala do INTEGRA TIETÊ</t>
  </si>
  <si>
    <t xml:space="preserve"> RUA RAYMUNDO PALMA</t>
  </si>
  <si>
    <t xml:space="preserve">sem foto porque o servico foi aberto depois do executado </t>
  </si>
  <si>
    <t xml:space="preserve"> AVENIDA PAPA PIO XII</t>
  </si>
  <si>
    <t>12/04/2026</t>
  </si>
  <si>
    <t xml:space="preserve"> AVENIDA TIRADENTES</t>
  </si>
  <si>
    <t xml:space="preserve"> RUA KIDA</t>
  </si>
  <si>
    <t xml:space="preserve"> RUA DANIELLE DO PRADO VALIM</t>
  </si>
  <si>
    <t>ANT5</t>
  </si>
  <si>
    <t>VAZAMENTO DE ÁGUA NÃO VISÍVEL CAVALETE</t>
  </si>
  <si>
    <t>TROCA DE PE DE CAVALETE NÃO VISIVEL</t>
  </si>
  <si>
    <t xml:space="preserve"> RUA INOCENCIA RUEDAS MORALES</t>
  </si>
  <si>
    <t>ANT 25</t>
  </si>
  <si>
    <t>JD MONTE ALTO</t>
  </si>
  <si>
    <t xml:space="preserve"> RUA NOSSA SENHORA MAE DOS HOMENS</t>
  </si>
  <si>
    <t>AP02</t>
  </si>
  <si>
    <t>fotos segue na os 2614440013</t>
  </si>
  <si>
    <t>fotos na os 2614440013</t>
  </si>
  <si>
    <t xml:space="preserve"> RUA PADRE JOAO ALVARES</t>
  </si>
  <si>
    <t xml:space="preserve"> RUA SARUTAIA</t>
  </si>
  <si>
    <t>JD SAO PAULO</t>
  </si>
  <si>
    <t xml:space="preserve">Não foi possível com policia conhecer foto devido à área de risco </t>
  </si>
  <si>
    <t xml:space="preserve"> AVENIDA BRIGADEIRO FARIA LIMA</t>
  </si>
  <si>
    <t>COCAIA</t>
  </si>
  <si>
    <t xml:space="preserve"> RUA MARIA DIAS HOG</t>
  </si>
  <si>
    <t>C/2ANT23</t>
  </si>
  <si>
    <t>13/04/2026</t>
  </si>
  <si>
    <t>13/04/2026 14:35</t>
  </si>
  <si>
    <t xml:space="preserve"> AVENIDA GUARULHOS</t>
  </si>
  <si>
    <t>ANT. 4145</t>
  </si>
  <si>
    <t>13/04/2026 15:06</t>
  </si>
  <si>
    <t xml:space="preserve"> RUA CABO JOAO MONTEIRO DA ROCHA</t>
  </si>
  <si>
    <t>ANT. 57</t>
  </si>
  <si>
    <t>13/04/2026 14:48</t>
  </si>
  <si>
    <t xml:space="preserve"> RUA CORONEL FREITAS</t>
  </si>
  <si>
    <t>JD TERESOPOLIS</t>
  </si>
  <si>
    <t xml:space="preserve"> RUA NELSON FUCHS</t>
  </si>
  <si>
    <t>JD ADRIANA I I</t>
  </si>
  <si>
    <t>13/04/2026 12:02</t>
  </si>
  <si>
    <t>13/04/2026 12:01</t>
  </si>
  <si>
    <t>JD ADRIANA</t>
  </si>
  <si>
    <t>nao foi possivel reguadra devido calcada estourada</t>
  </si>
  <si>
    <t>13/04/2026 13:50</t>
  </si>
  <si>
    <t xml:space="preserve"> RUA MATUTINA</t>
  </si>
  <si>
    <t>ANT. 4 C/2</t>
  </si>
  <si>
    <t>foto da execucao na O.S 2615161143</t>
  </si>
  <si>
    <t>13/04/2026 16:00</t>
  </si>
  <si>
    <t>ANT. 4 C/1</t>
  </si>
  <si>
    <t xml:space="preserve">sem foto do batedor e da lona devido que nao preciso quebrar o passeio. sem foto da sinalizancao devido que nao deu para parar o caminhao no local.  </t>
  </si>
  <si>
    <t>13/04/2026 15:58</t>
  </si>
  <si>
    <t>13/04/2026 12:08</t>
  </si>
  <si>
    <t>fotos na os pricipal</t>
  </si>
  <si>
    <t>13/04/2026 12:00</t>
  </si>
  <si>
    <t xml:space="preserve"> RUA MILTON ANTONIO DE MAGALHAES FI</t>
  </si>
  <si>
    <t>13/04/2026 10:43</t>
  </si>
  <si>
    <t xml:space="preserve"> RUA ENGENHEIRO PAULO FRONTIM</t>
  </si>
  <si>
    <t>13/04/2026 15:12</t>
  </si>
  <si>
    <t xml:space="preserve"> RUA LAURA JACQUES GARCIA</t>
  </si>
  <si>
    <t>passeio obra</t>
  </si>
  <si>
    <t>13/04/2026 11:44</t>
  </si>
  <si>
    <t xml:space="preserve"> RUA NOVE</t>
  </si>
  <si>
    <t>NV RECREIO SAO JORGE</t>
  </si>
  <si>
    <t>13/04/2026 17:31</t>
  </si>
  <si>
    <t>ANT 9  C/3</t>
  </si>
  <si>
    <t>fotos na os 2614845329</t>
  </si>
  <si>
    <t>13/04/2026 12:53</t>
  </si>
  <si>
    <t xml:space="preserve"> RUA PIRAPORA DO BOM JESUS</t>
  </si>
  <si>
    <t>13/04/2026 09:09</t>
  </si>
  <si>
    <t xml:space="preserve">nao foi possivel sequencia de fotos devido local de risco , passeio barro sem pavimento </t>
  </si>
  <si>
    <t>13/04/2026 17:00</t>
  </si>
  <si>
    <t xml:space="preserve"> RUA LAZARO DE ALMEIDA CAMPOS</t>
  </si>
  <si>
    <t>material utilizado 1 m de tubo de PVC de 75</t>
  </si>
  <si>
    <t>13/04/2026 16:44</t>
  </si>
  <si>
    <t xml:space="preserve"> RUA MIRANHAS</t>
  </si>
  <si>
    <t>ANT. 184</t>
  </si>
  <si>
    <t>PQ SANTO ANTONIO</t>
  </si>
  <si>
    <t>13/04/2026 16:15</t>
  </si>
  <si>
    <t xml:space="preserve"> RUA ANANIAS FERREIRA DE OLIVEIRA</t>
  </si>
  <si>
    <t>ANT-119</t>
  </si>
  <si>
    <t xml:space="preserve"> RUA NAIR</t>
  </si>
  <si>
    <t>JD EMA</t>
  </si>
  <si>
    <t xml:space="preserve">foi executado uma troca de ramal de agua preventiva.
obs: equipe de esgoto trabalhando no local. sem reposições, rua sera frezada. </t>
  </si>
  <si>
    <t>13/04/2026 16:26</t>
  </si>
  <si>
    <t xml:space="preserve">fotos na OS principal do serviço,  compaquitação manual devido vala rasa interferência esgoto </t>
  </si>
  <si>
    <t xml:space="preserve"> RUA IRACEMA UBIRAJARA CELESTE</t>
  </si>
  <si>
    <t>ANT. 93</t>
  </si>
  <si>
    <t>V PROGRESSO</t>
  </si>
  <si>
    <t>fotos dessa os estão na os de vazamento de água no leito pavimentado 2690367107</t>
  </si>
  <si>
    <t>13/04/2026 12:17</t>
  </si>
  <si>
    <t>13/04/2026 12:24</t>
  </si>
  <si>
    <t xml:space="preserve"> RUA FLOR DE PETUNIA</t>
  </si>
  <si>
    <t>ANT 28 C/2</t>
  </si>
  <si>
    <t>JD OKUYAMA</t>
  </si>
  <si>
    <t>13/04/2026 12:25</t>
  </si>
  <si>
    <t>13/04/2026 14:52</t>
  </si>
  <si>
    <t>ANT 19</t>
  </si>
  <si>
    <t>sem foto poeque o servico foi abereto depois executado</t>
  </si>
  <si>
    <t>13/04/2026 14:55</t>
  </si>
  <si>
    <t xml:space="preserve"> AVENIDA FLORINDA MARTINS BARBOSA</t>
  </si>
  <si>
    <t>ANT. 34</t>
  </si>
  <si>
    <t xml:space="preserve">não foi possível sequência de foto correta devido à demora da abertura da os </t>
  </si>
  <si>
    <t>13/04/2026 17:48</t>
  </si>
  <si>
    <t xml:space="preserve"> RUA HAVANA</t>
  </si>
  <si>
    <t>ANT 150</t>
  </si>
  <si>
    <t>13/04/2026 16:21</t>
  </si>
  <si>
    <t xml:space="preserve"> AVENIDA BENJAMIN HARRIS HUNNICUTT</t>
  </si>
  <si>
    <t xml:space="preserve">serviço baixada santópolis da Sabesp foi usado 1 t de 75 PVC </t>
  </si>
  <si>
    <t>14/04/2026</t>
  </si>
  <si>
    <t>14/04/2026 13:48</t>
  </si>
  <si>
    <t xml:space="preserve"> AVENIDA JOSE ANTONIO ZERAIBE</t>
  </si>
  <si>
    <t xml:space="preserve"> AVENIDA ARACAJU</t>
  </si>
  <si>
    <t>JD SANTA RITA</t>
  </si>
  <si>
    <t xml:space="preserve">FOTOS NO FIM DO DIA </t>
  </si>
  <si>
    <t>14/04/2026 06:30</t>
  </si>
  <si>
    <t>ANT 397</t>
  </si>
  <si>
    <t>14/04/2026 11:11</t>
  </si>
  <si>
    <t>ANT 62</t>
  </si>
  <si>
    <t xml:space="preserve"> RUA SOLDADO GUMERCINDO DA SILVA</t>
  </si>
  <si>
    <t>ANT41</t>
  </si>
  <si>
    <t xml:space="preserve"> RUA CAPITAO DANIEL GUEDES</t>
  </si>
  <si>
    <t>ANT. 38</t>
  </si>
  <si>
    <t xml:space="preserve">casa abandonada com cavalete quebrado e vazando muita agua </t>
  </si>
  <si>
    <t>14/04/2026 09:08</t>
  </si>
  <si>
    <t>ANT18C C/2</t>
  </si>
  <si>
    <t>foto da execucao 2615309869</t>
  </si>
  <si>
    <t>14/04/2026 09:41</t>
  </si>
  <si>
    <t>ANT18C/1</t>
  </si>
  <si>
    <t xml:space="preserve"> AVENIDA ALFREDO BARBOSA</t>
  </si>
  <si>
    <t xml:space="preserve">sem foto da lona e do batedor devido que nao preciso quebrar o passeio.  sem foto da sinalizacao devido que nao deu para parar o caminhao no local. </t>
  </si>
  <si>
    <t>14/04/2026 10:23</t>
  </si>
  <si>
    <t xml:space="preserve"> RUA ELISIO LAURIANO FERREIRA</t>
  </si>
  <si>
    <t xml:space="preserve"> RUA AJAX</t>
  </si>
  <si>
    <t>QUADRA C/1</t>
  </si>
  <si>
    <t>foto na os 2615308000</t>
  </si>
  <si>
    <t>14/04/2026 14:37</t>
  </si>
  <si>
    <t>QUADRA C/2</t>
  </si>
  <si>
    <t>14/04/2026 14:31</t>
  </si>
  <si>
    <t xml:space="preserve"> RUA ALEXANDRE MAURUS</t>
  </si>
  <si>
    <t>JD AMERICA</t>
  </si>
  <si>
    <t>14/04/2026 12:32</t>
  </si>
  <si>
    <t>RODRIGO PEREIRA VILAS BOAS</t>
  </si>
  <si>
    <t xml:space="preserve"> AVENIDA ODAIR SANTANELLI</t>
  </si>
  <si>
    <t>BL15AP31AC</t>
  </si>
  <si>
    <t>sem fotos os aberta apos servico executado</t>
  </si>
  <si>
    <t>14/04/2026 15:07</t>
  </si>
  <si>
    <t>RONALDO BISPO ROCHA</t>
  </si>
  <si>
    <t xml:space="preserve"> AVENIDA GILBERTO DINI</t>
  </si>
  <si>
    <t>ANT. 5</t>
  </si>
  <si>
    <t>sem fotos os aberta apos execucao do servico</t>
  </si>
  <si>
    <t>14/04/2026 15:01</t>
  </si>
  <si>
    <t>1 valvula de 200 frangi
1 t 5
1  metro de tubo 150 esgoto
servico sem fotos os aberta apos execucao do servico</t>
  </si>
  <si>
    <t>14/04/2026 12:50</t>
  </si>
  <si>
    <t>ANT. 107</t>
  </si>
  <si>
    <t>14/04/2026 13:35</t>
  </si>
  <si>
    <t>1 luva 250 eletrofusoa
1 reducao de 250/200
1 cotovelo de 200/90 graus
1 luva de 200 eletrofusao
1 colarinho 200
sem fotos os aberta apos execucao do servico</t>
  </si>
  <si>
    <t>14/04/2026 14:56</t>
  </si>
  <si>
    <t>1 valvula 200 frangi
1 t 5
1 metro de tubo 150 esgoto
os aberta apos execucao do servico</t>
  </si>
  <si>
    <t>14/04/2026 14:57</t>
  </si>
  <si>
    <t xml:space="preserve"> RUA EDUARDO JULIANI</t>
  </si>
  <si>
    <t>ANT100A</t>
  </si>
  <si>
    <t>JD VISTA ALEGRE</t>
  </si>
  <si>
    <t>ANT55 C/1</t>
  </si>
  <si>
    <t xml:space="preserve">trocado ramal de agua ate obpe do cavalete kit uma </t>
  </si>
  <si>
    <t>14/04/2026 16:17</t>
  </si>
  <si>
    <t xml:space="preserve"> RUA PROFESSOR PASCHOAL RIZZO</t>
  </si>
  <si>
    <t>ANT. 9</t>
  </si>
  <si>
    <t>JD GOPOUVA</t>
  </si>
  <si>
    <t>sem fotos os aberta apos execusao do servico</t>
  </si>
  <si>
    <t>14/04/2026 16:26</t>
  </si>
  <si>
    <t>ANT. 7</t>
  </si>
  <si>
    <t>14/04/2026 16:16</t>
  </si>
  <si>
    <t>sem fotos os aberta apos servixo executado</t>
  </si>
  <si>
    <t>14/04/2026 16:11</t>
  </si>
  <si>
    <t xml:space="preserve"> RUA PROFESSOR JOAO SARTOR</t>
  </si>
  <si>
    <t>14/04/2026 15:39</t>
  </si>
  <si>
    <t>JD EUGENIA</t>
  </si>
  <si>
    <t>14/04/2026 15:21</t>
  </si>
  <si>
    <t>sem fotos os aberta apos execusao do servico
1 valvula de 100 frangi
1 t 5
1 metro de tubo 150 esgoto</t>
  </si>
  <si>
    <t>14/04/2026 15:27</t>
  </si>
  <si>
    <t xml:space="preserve"> RUA RIO NOVO</t>
  </si>
  <si>
    <t xml:space="preserve"> RUA ESPANHOLA</t>
  </si>
  <si>
    <t>ANT. 238</t>
  </si>
  <si>
    <t>V ENDRES</t>
  </si>
  <si>
    <t>14/04/2026 11:57</t>
  </si>
  <si>
    <t xml:space="preserve"> RUA DOUTOR JOSE WALDIR CARRARA</t>
  </si>
  <si>
    <t>C/1ANT24</t>
  </si>
  <si>
    <t xml:space="preserve">as fotos estão na OS do vazamento </t>
  </si>
  <si>
    <t xml:space="preserve"> PRACA BARTHOLOMEU DE CARLOS</t>
  </si>
  <si>
    <t>V ZAMATARO</t>
  </si>
  <si>
    <t>fotos dessa os estão na os de vazamento de água no passeio 2690493632</t>
  </si>
  <si>
    <t>14/04/2026 12:29</t>
  </si>
  <si>
    <t xml:space="preserve"> AVENIDA ANTONIETA</t>
  </si>
  <si>
    <t>ANT. 604</t>
  </si>
  <si>
    <t>V ANTONIETA</t>
  </si>
  <si>
    <t>14/04/2026 13:28</t>
  </si>
  <si>
    <t xml:space="preserve"> RUA SAO FRANCISCO</t>
  </si>
  <si>
    <t>fotos na Os 2615614404, Reposição já aberta em outra OS</t>
  </si>
  <si>
    <t>14/04/2026 17:09</t>
  </si>
  <si>
    <t xml:space="preserve"> RUA ALBERTO ZACHARIAS</t>
  </si>
  <si>
    <t xml:space="preserve"> AVENIDA CAETANO ZAMATARO</t>
  </si>
  <si>
    <t>ANT. 102</t>
  </si>
  <si>
    <t>servico executado em obras do integra sabesp nao e nessecario usar compacatdor e tbem asfalto frio e teste de compactacao</t>
  </si>
  <si>
    <t>14/04/2026 16:56</t>
  </si>
  <si>
    <t xml:space="preserve"> RUA FRANCISCO ZANZINI</t>
  </si>
  <si>
    <t>14/04/2026 14:49</t>
  </si>
  <si>
    <t>V ALIANCA</t>
  </si>
  <si>
    <t>15/04/2026</t>
  </si>
  <si>
    <t>15/04/2026 14:20</t>
  </si>
  <si>
    <t xml:space="preserve"> VIELA PARTICULAR</t>
  </si>
  <si>
    <t>JD FRIZZO</t>
  </si>
  <si>
    <t xml:space="preserve">sem foto do sapinho devido viela e rede rasa no concreto </t>
  </si>
  <si>
    <t>15/04/2026 12:53</t>
  </si>
  <si>
    <t>15/04/2026 09:45</t>
  </si>
  <si>
    <t xml:space="preserve"> VIELA SARA</t>
  </si>
  <si>
    <t xml:space="preserve">Casa 1 ja estava na caixa uma </t>
  </si>
  <si>
    <t xml:space="preserve"> RUA DOS ESTAGIARIOS</t>
  </si>
  <si>
    <t>feita aproveitamento na direcao da caixinha azul</t>
  </si>
  <si>
    <t>15/04/2026 09:59</t>
  </si>
  <si>
    <t>foto da execucao na O.S 2615320067</t>
  </si>
  <si>
    <t>15/04/2026 12:57</t>
  </si>
  <si>
    <t xml:space="preserve"> RUA ANHUMAS</t>
  </si>
  <si>
    <t>ANT 17</t>
  </si>
  <si>
    <t>V SAO JOAO BATISTA</t>
  </si>
  <si>
    <t>15/04/2026 15:26</t>
  </si>
  <si>
    <t>15/04/2026 12:32</t>
  </si>
  <si>
    <t xml:space="preserve"> RUA EXCELSIOR</t>
  </si>
  <si>
    <t xml:space="preserve"> RUA GRANITO</t>
  </si>
  <si>
    <t xml:space="preserve"> RUA HEITOR DOS PRAZERES</t>
  </si>
  <si>
    <t>ANT 18</t>
  </si>
  <si>
    <t xml:space="preserve"> RUA DOUTOR VITORIO MARTINS</t>
  </si>
  <si>
    <t>15/04/2026 09:40</t>
  </si>
  <si>
    <t xml:space="preserve"> RUA INGLATERRA</t>
  </si>
  <si>
    <t>15/04/2026 16:26</t>
  </si>
  <si>
    <t>15/04/2026 10:43</t>
  </si>
  <si>
    <t xml:space="preserve"> VIELA ARACA</t>
  </si>
  <si>
    <t xml:space="preserve">nao foi possivel tira sequencia de fotos correta porem area de risco </t>
  </si>
  <si>
    <t>15/04/2026 10:14</t>
  </si>
  <si>
    <t xml:space="preserve"> RUA JOSE REVOREDO</t>
  </si>
  <si>
    <t>BARRSTAISA</t>
  </si>
  <si>
    <t>serviço baixado sem foto devido prioridade da Sabesp foi usado 1 metro de tubo de esgoto de 150 e uma T5 completado</t>
  </si>
  <si>
    <t>15/04/2026 12:23</t>
  </si>
  <si>
    <t>PRITORIDADE</t>
  </si>
  <si>
    <t xml:space="preserve">interferência congas </t>
  </si>
  <si>
    <t>15/04/2026 16:10</t>
  </si>
  <si>
    <t xml:space="preserve"> RUA POUSO ALEGRE</t>
  </si>
  <si>
    <t>15/04/2026 10:26</t>
  </si>
  <si>
    <t xml:space="preserve"> RUA MARIA APARECIDA DE ALMEIDA MOU</t>
  </si>
  <si>
    <t>ANT. 40</t>
  </si>
  <si>
    <t>JD ALIANCA</t>
  </si>
  <si>
    <t>15/04/2026 15:07</t>
  </si>
  <si>
    <t>ANT. 30</t>
  </si>
  <si>
    <t xml:space="preserve"> RUA FRANCISCO ANTONIO DE MIRANDA</t>
  </si>
  <si>
    <t>10 APS</t>
  </si>
  <si>
    <t xml:space="preserve">fotos dessa os estão na os de vazamento de água não visível em ramal 2615745781
não fazer teste de compactação rede com menos de 60cm de profundidade
não tem reposição de p.a cliente fará a reposição </t>
  </si>
  <si>
    <t>15/04/2026 13:04</t>
  </si>
  <si>
    <t xml:space="preserve"> RUA CATUIPE</t>
  </si>
  <si>
    <t>ANT. 3 C/2</t>
  </si>
  <si>
    <t>CID BRASIL</t>
  </si>
  <si>
    <t>foto da execucao na O.S 2615524005</t>
  </si>
  <si>
    <t>15/04/2026 15:49</t>
  </si>
  <si>
    <t>ANT. 3 C/1</t>
  </si>
  <si>
    <t xml:space="preserve">sem foto da lona e do batedor devido que nao preciso quebrar o passeio. sem foto da sinalizacao devido que nao deu para parar o caminhao no local.  passeio em obra </t>
  </si>
  <si>
    <t>15/04/2026 15:46</t>
  </si>
  <si>
    <t xml:space="preserve"> RUA JESUINO PIRES DE FREITAS</t>
  </si>
  <si>
    <t>ANT. 7 C/1</t>
  </si>
  <si>
    <t>V CAMBARA</t>
  </si>
  <si>
    <t>15/04/2026 16:27</t>
  </si>
  <si>
    <t>ANT. 7 C/4</t>
  </si>
  <si>
    <t>fotos na OS 2615521319</t>
  </si>
  <si>
    <t>15/04/2026 16:14</t>
  </si>
  <si>
    <t>ANT. 7 C/2</t>
  </si>
  <si>
    <t>15/04/2026 16:18</t>
  </si>
  <si>
    <t>ANT. 7 C/3</t>
  </si>
  <si>
    <t>15/04/2026 16:16</t>
  </si>
  <si>
    <t>ANT. 2</t>
  </si>
  <si>
    <t>16/04/2026</t>
  </si>
  <si>
    <t>ANT 17 C/1</t>
  </si>
  <si>
    <t>16/04/2026 17:48</t>
  </si>
  <si>
    <t xml:space="preserve">excutado uma troca de ramal  pois o ramal antigo estava na mesma posicao da caixa  . obs: foi feito um arebentado no lugar do ferrolo pois o mesmo estava vazando , onde a equipe teve que colocar uma tripartida e fazer um novo furo na rede pra abastecer a residencia </t>
  </si>
  <si>
    <t>16/04/2026 18:17</t>
  </si>
  <si>
    <t>ANT.18 C/4</t>
  </si>
  <si>
    <t>16/04/2026 17:54</t>
  </si>
  <si>
    <t>16/04/2026 17:57</t>
  </si>
  <si>
    <t>16/04/2026 18:09</t>
  </si>
  <si>
    <t xml:space="preserve"> RUA BENEDITO MIRANDA</t>
  </si>
  <si>
    <t>ANT.Nº C/1</t>
  </si>
  <si>
    <t>reposicao concreto</t>
  </si>
  <si>
    <t>16/04/2026 11:08</t>
  </si>
  <si>
    <t xml:space="preserve"> RUA DOUTOR ROBERTO DOMINGOS JOAO ROSIA</t>
  </si>
  <si>
    <t xml:space="preserve"> RUA SANTINA</t>
  </si>
  <si>
    <t>16/04/2026 10:11</t>
  </si>
  <si>
    <t>16/04/2026 10:06</t>
  </si>
  <si>
    <t>ANT-23 C/4</t>
  </si>
  <si>
    <t>fotos na os 2615522069</t>
  </si>
  <si>
    <t>16/04/2026 14:08</t>
  </si>
  <si>
    <t>ANT-23 C/3</t>
  </si>
  <si>
    <t>fotos na os 2615522069
5522069</t>
  </si>
  <si>
    <t>16/04/2026 14:05</t>
  </si>
  <si>
    <t>ANT 110 A</t>
  </si>
  <si>
    <t>16/04/2026 14:58</t>
  </si>
  <si>
    <t>ANT 11 C/2</t>
  </si>
  <si>
    <t>fotos na oa 2615537608</t>
  </si>
  <si>
    <t>16/04/2026 15:02</t>
  </si>
  <si>
    <t>ANT. 8 A</t>
  </si>
  <si>
    <t xml:space="preserve"> AVENIDA RIO DE JANEIRO</t>
  </si>
  <si>
    <t xml:space="preserve"> AVENIDA DOUTOR TIMOTEO PENTEADO</t>
  </si>
  <si>
    <t>ANT. 4299</t>
  </si>
  <si>
    <t>16/04/2026 10:14</t>
  </si>
  <si>
    <t xml:space="preserve"> RUA JOSE NILSON FERRETTI</t>
  </si>
  <si>
    <t>ANT. 137</t>
  </si>
  <si>
    <t>16/04/2026 13:44</t>
  </si>
  <si>
    <t xml:space="preserve"> RUA HERMENEGILDO CAMPANATTI</t>
  </si>
  <si>
    <t xml:space="preserve"> RUA QUATRO DE SETEMBRO</t>
  </si>
  <si>
    <t>PQ RENATO MAIA</t>
  </si>
  <si>
    <t>16/04/2026 09:53</t>
  </si>
  <si>
    <t>ANTIGO 14</t>
  </si>
  <si>
    <t>16/04/2026 11:46</t>
  </si>
  <si>
    <t>ANT. 6 A</t>
  </si>
  <si>
    <t>16/04/2026 09:10</t>
  </si>
  <si>
    <t>Serviço executado sem fotos devido OS aberta após execução do serviço</t>
  </si>
  <si>
    <t>16/04/2026 09:54</t>
  </si>
  <si>
    <t>16/04/2026 10:03</t>
  </si>
  <si>
    <t>16/04/2026 10:02</t>
  </si>
  <si>
    <t xml:space="preserve"> RUA TIBET</t>
  </si>
  <si>
    <t>ANT204FDS</t>
  </si>
  <si>
    <t>16/04/2026 11:13</t>
  </si>
  <si>
    <t>serviço baixado sem foto devido a demora da abertura da os
foi usado uma válvula de 90 franqueada e dois colarinho de 90
duas luvas de pad de 90 de solda de eletrofusão
foi usado 1 cotovelo de 90
foi usado um metro de tubo de esgoto 150 e uma T5 concretada</t>
  </si>
  <si>
    <t>16/04/2026 19:00</t>
  </si>
  <si>
    <t xml:space="preserve"> RUA SEIS</t>
  </si>
  <si>
    <t>os baixada sem foto devido à demora da abertura da OS sem reposição devido se leito terra</t>
  </si>
  <si>
    <t>16/04/2026 19:18</t>
  </si>
  <si>
    <t xml:space="preserve"> RUA ROSA</t>
  </si>
  <si>
    <t>os baixada sem foto de vida demora da abertura da os sem reposição rua de terra
duas luvas de 110 de pad</t>
  </si>
  <si>
    <t>16/04/2026 21:20</t>
  </si>
  <si>
    <t>16/04/2026 19:06</t>
  </si>
  <si>
    <t>os baixada sem foto devida a demora da abertura da OS sem reposição devido ser leite terra
foi usado 1 cotovelo de 90 de eletrofusão e 110</t>
  </si>
  <si>
    <t>16/04/2026 19:31</t>
  </si>
  <si>
    <t xml:space="preserve"> RUA SETE</t>
  </si>
  <si>
    <t>os baixada sem foto de vida demora da abertura da OS
foi usado 1 método de 150 de esgoto e duas T5 concretada
sem reposição rua de terra
duas luvas de 110 de piad de eletrofusão</t>
  </si>
  <si>
    <t>16/04/2026 21:26</t>
  </si>
  <si>
    <t>os baixada sem foto devido a demora da abertura da os
sem reposição do vidro sem leite terra
foi usado 1 metro de tubo de 150 de esgoto e 3 T5 concretada</t>
  </si>
  <si>
    <t>16/04/2026 19:25</t>
  </si>
  <si>
    <t>JD SAO GERALDO</t>
  </si>
  <si>
    <t xml:space="preserve"> RUA MONSENHOR PAULO</t>
  </si>
  <si>
    <t>ANT. 675</t>
  </si>
  <si>
    <t xml:space="preserve">prioridade as fotos foram enviadas via WhatsApp </t>
  </si>
  <si>
    <t>16/04/2026 13:32</t>
  </si>
  <si>
    <t xml:space="preserve"> RUA VINTE DE MAIO</t>
  </si>
  <si>
    <t xml:space="preserve">trocado ramal de agua ate o pé do cavalete ,  os aberta após execução sem fotos , </t>
  </si>
  <si>
    <t>16/04/2026 09:55</t>
  </si>
  <si>
    <t>16/04/2026 16:08</t>
  </si>
  <si>
    <t xml:space="preserve"> RUA QUATORZE</t>
  </si>
  <si>
    <t>ANT.45 C/1</t>
  </si>
  <si>
    <t xml:space="preserve">não foi possível concluir sequência de fotos correto devido área de risco no local </t>
  </si>
  <si>
    <t>C/1ANT208</t>
  </si>
  <si>
    <t>16/04/2026 16:12</t>
  </si>
  <si>
    <t>16/04/2026 16:33</t>
  </si>
  <si>
    <t xml:space="preserve"> RUA DEUS DO SOL</t>
  </si>
  <si>
    <t>ANT 23</t>
  </si>
  <si>
    <t xml:space="preserve"> RUA FREIRE DE ANDRADE</t>
  </si>
  <si>
    <t>17/04/2026</t>
  </si>
  <si>
    <t xml:space="preserve"> RUA CONDESSA AMALIA</t>
  </si>
  <si>
    <t>JD SANTA MENA</t>
  </si>
  <si>
    <t>foto da execucao na O.S 2616229863</t>
  </si>
  <si>
    <t>17/04/2026 12:09</t>
  </si>
  <si>
    <t xml:space="preserve">sem foto da lona e do batedor devido que nao preciso quebrar o passeio. sem foto da sinalizacao devido que nao deu para parar o caminhao no local.  </t>
  </si>
  <si>
    <t>17/04/2026 12:07</t>
  </si>
  <si>
    <t>ANTIGO 56</t>
  </si>
  <si>
    <t>17/04/2026 11:02</t>
  </si>
  <si>
    <t xml:space="preserve"> ESTRADA CONCEICAO DO BANANAL</t>
  </si>
  <si>
    <t>fotos na os 2615549102</t>
  </si>
  <si>
    <t>17/04/2026 13:47</t>
  </si>
  <si>
    <t xml:space="preserve">foi feita uma ligacao nova sem aproveitamento de ramal
passeio em obras </t>
  </si>
  <si>
    <t>17/04/2026 13:41</t>
  </si>
  <si>
    <t>17/04/2026 13:40</t>
  </si>
  <si>
    <t>C/8</t>
  </si>
  <si>
    <t>17/04/2026 13:50</t>
  </si>
  <si>
    <t>17/04/2026 12:02</t>
  </si>
  <si>
    <t>17/04/2026 14:58</t>
  </si>
  <si>
    <t xml:space="preserve"> RUA DONA OLINDA DE ALBUQUERQUE</t>
  </si>
  <si>
    <t>17/04/2026 09:34</t>
  </si>
  <si>
    <t xml:space="preserve"> RUA DONA ALVIZA</t>
  </si>
  <si>
    <t>ANT15</t>
  </si>
  <si>
    <t>17/04/2026 11:28</t>
  </si>
  <si>
    <t xml:space="preserve"> RUA DOUTOR JOSE MAURICIO DE OLIVEIRA</t>
  </si>
  <si>
    <t>17/04/2026 14:19</t>
  </si>
  <si>
    <t xml:space="preserve"> ESTRADA DO ZIRCONIO</t>
  </si>
  <si>
    <t>fotos na os 2615533667 junto com a ligacao nova da residencia .(obs os pra reposicao ja foi aberta .)</t>
  </si>
  <si>
    <t>17/04/2026 11:16</t>
  </si>
  <si>
    <t xml:space="preserve"> AVENIDA SILVIO BARBOSA DA SILVEIRA</t>
  </si>
  <si>
    <t>AAC/1</t>
  </si>
  <si>
    <t xml:space="preserve">feita sondagem trata se de vazamento de esgoto </t>
  </si>
  <si>
    <t>17/04/2026 14:17</t>
  </si>
  <si>
    <t xml:space="preserve"> RUA SOLDADO PRIM RODRIGUES CANNES</t>
  </si>
  <si>
    <t xml:space="preserve"> RUA BASTOS</t>
  </si>
  <si>
    <t>ANT5A C/1</t>
  </si>
  <si>
    <t>17/04/2026 12:05</t>
  </si>
  <si>
    <t xml:space="preserve"> AVENIDA BARBER GREENE</t>
  </si>
  <si>
    <t>ANT. 1482</t>
  </si>
  <si>
    <t>17/04/2026 15:30</t>
  </si>
  <si>
    <t xml:space="preserve"> RUA JULIO PENA</t>
  </si>
  <si>
    <t>ANT16C/1</t>
  </si>
  <si>
    <t>fotos enviadas via whattsapp</t>
  </si>
  <si>
    <t>17/04/2026 15:32</t>
  </si>
  <si>
    <t xml:space="preserve"> RUA SAO GERALDO</t>
  </si>
  <si>
    <t>ANT.10</t>
  </si>
  <si>
    <t>17/04/2026 13:24</t>
  </si>
  <si>
    <t xml:space="preserve"> RUA SALVADOR GAETA</t>
  </si>
  <si>
    <t>ANT. 399</t>
  </si>
  <si>
    <t xml:space="preserve"> TRAVESSA SAO BORJA</t>
  </si>
  <si>
    <t>servoco executado no numero 35</t>
  </si>
  <si>
    <t>18/04/2026</t>
  </si>
  <si>
    <t>18/04/2026 11:37</t>
  </si>
  <si>
    <t>ANT13AC/1</t>
  </si>
  <si>
    <t>ANT.121</t>
  </si>
  <si>
    <t>fotos dessa OS junto con q OS 2616411748</t>
  </si>
  <si>
    <t>18/04/2026 14:24</t>
  </si>
  <si>
    <t xml:space="preserve"> RUA SANTA IZABEL</t>
  </si>
  <si>
    <t>ANT 720</t>
  </si>
  <si>
    <t>18/04/2026 11:07</t>
  </si>
  <si>
    <t xml:space="preserve"> RUA SAO SEBASTIAO DO TOCANTINS</t>
  </si>
  <si>
    <t>ANT13A C/1</t>
  </si>
  <si>
    <t>V IMACULADA</t>
  </si>
  <si>
    <t xml:space="preserve">o hidro ja estava na caixa uma . so trocado o kit e incluido a casa 2 </t>
  </si>
  <si>
    <t>18/04/2026 10:15</t>
  </si>
  <si>
    <t>18/04/2026 10:19</t>
  </si>
  <si>
    <t>ANT 2</t>
  </si>
  <si>
    <t>18/04/2026 10:07</t>
  </si>
  <si>
    <t xml:space="preserve"> RUA SANTA HELENA</t>
  </si>
  <si>
    <t>18/04/2026 13:54</t>
  </si>
  <si>
    <t>ENTRADAPRI</t>
  </si>
  <si>
    <t xml:space="preserve"> AVENIDA OTAVIO BRAGA DE MESQUITA</t>
  </si>
  <si>
    <t>19/04/2026</t>
  </si>
  <si>
    <t>19/04/2026 11:05</t>
  </si>
  <si>
    <t>CASA 2</t>
  </si>
  <si>
    <t xml:space="preserve"> RUA MARIA LUIZA PERICO</t>
  </si>
  <si>
    <t>JD ACACIO</t>
  </si>
  <si>
    <t>CASA- 02</t>
  </si>
  <si>
    <t xml:space="preserve">serviço executado sem fotos devido à de risco </t>
  </si>
  <si>
    <t>19/04/2026 11:30</t>
  </si>
  <si>
    <t xml:space="preserve"> RUA IBIRAREMA</t>
  </si>
  <si>
    <t>C/1ANT1A</t>
  </si>
  <si>
    <t xml:space="preserve">Restante das fotos via whatsapp </t>
  </si>
  <si>
    <t>19/04/2026 11:24</t>
  </si>
  <si>
    <t>NV RECREIO</t>
  </si>
  <si>
    <t>19/04/2026 10:28</t>
  </si>
  <si>
    <t>V FLORIDA</t>
  </si>
  <si>
    <t xml:space="preserve">não tem fotos porque o caminhão não chega até o local da sinalização e às demais fotos não tem reposição rua de terra e devido à de risco </t>
  </si>
  <si>
    <t>19/04/2026 15:38</t>
  </si>
  <si>
    <t>troca de ramal feita no número 24</t>
  </si>
  <si>
    <t>19/04/2026 10:57</t>
  </si>
  <si>
    <t xml:space="preserve"> RUA RIO DE JANEIRO</t>
  </si>
  <si>
    <t>ANT 359</t>
  </si>
  <si>
    <t>fotos dessa os estão na os de vazamento de água no leito pavimentado 2616543038</t>
  </si>
  <si>
    <t>19/04/2026 12:52</t>
  </si>
  <si>
    <t>19/04/2026 12:57</t>
  </si>
  <si>
    <t>ANT 667</t>
  </si>
  <si>
    <t>JD GUARULHOS</t>
  </si>
  <si>
    <t>fotos dessa os estão na os de vazamento no passeio 2616545277</t>
  </si>
  <si>
    <t>19/04/2026 15:16</t>
  </si>
  <si>
    <t xml:space="preserve"> RUA MARRET</t>
  </si>
  <si>
    <t>ANT. 272</t>
  </si>
  <si>
    <t>20/04/2026</t>
  </si>
  <si>
    <t>20/04/2026 10:44</t>
  </si>
  <si>
    <t xml:space="preserve"> RUA ARI DE CARVALHO</t>
  </si>
  <si>
    <t>V VERA MARIA</t>
  </si>
  <si>
    <t>20/04/2026 09:50</t>
  </si>
  <si>
    <t>fotos dessa os estão na os de vazamento de água não visível em rede 2616390566</t>
  </si>
  <si>
    <t>20/04/2026 09:58</t>
  </si>
  <si>
    <t>20/04/2026 13:40</t>
  </si>
  <si>
    <t xml:space="preserve"> RUA RAIMUNDO ALMEIDA DE ARAUJO</t>
  </si>
  <si>
    <t xml:space="preserve"> RUA FRAIBURGO</t>
  </si>
  <si>
    <t xml:space="preserve"> AVENIDA VEREADOR ANTONIO GROTKOWSKI</t>
  </si>
  <si>
    <t xml:space="preserve"> RUA JAIR FERREIRA PINTO</t>
  </si>
  <si>
    <t>JD ZIMBARDI</t>
  </si>
  <si>
    <t>obs: sem foto do compactado manual devido a inteferencia no buraco do passeio .orientado a programacao o ocorrido .somente cimentado o local abaixo da caixa uma.
 buraca 0.40 x040</t>
  </si>
  <si>
    <t>20/04/2026 16:20</t>
  </si>
  <si>
    <t xml:space="preserve"> RUA BENEDITO DE JESUS</t>
  </si>
  <si>
    <t>20/04/2026 12:13</t>
  </si>
  <si>
    <t xml:space="preserve"> RUA ALBERTO SIGUEYUKI HAMAOKA</t>
  </si>
  <si>
    <t xml:space="preserve">foi executado uma troca de ramal de agua preventiva </t>
  </si>
  <si>
    <t>20/04/2026 17:51</t>
  </si>
  <si>
    <t xml:space="preserve"> RUA AUGUSTA BARBOSA</t>
  </si>
  <si>
    <t>20/04/2026 15:01</t>
  </si>
  <si>
    <t>20/04/2026 12:29</t>
  </si>
  <si>
    <t xml:space="preserve"> RUA VERI</t>
  </si>
  <si>
    <t>A CASA 01</t>
  </si>
  <si>
    <t>20/04/2026 12:30</t>
  </si>
  <si>
    <t xml:space="preserve"> RUA DONA INES MARTINS</t>
  </si>
  <si>
    <t>ANT. 23</t>
  </si>
  <si>
    <t>20/04/2026 16:06</t>
  </si>
  <si>
    <t>20/04/2026 12:50</t>
  </si>
  <si>
    <t>ANT. 120</t>
  </si>
  <si>
    <t>TORRES TIBAGY</t>
  </si>
  <si>
    <t xml:space="preserve"> RUA CACILDA ABREU</t>
  </si>
  <si>
    <t>foi executado uma troca de ramal de agua.
imóvel 112</t>
  </si>
  <si>
    <t>20/04/2026 14:18</t>
  </si>
  <si>
    <t xml:space="preserve"> RUA DORES R PEDRAS</t>
  </si>
  <si>
    <t>JD SANTA EMILIA</t>
  </si>
  <si>
    <t xml:space="preserve">as fotos foram enviadas via WhatsApp </t>
  </si>
  <si>
    <t>20/04/2026 18:46</t>
  </si>
  <si>
    <t xml:space="preserve"> AVENIDA ITALO BRASILEIRO PIVA</t>
  </si>
  <si>
    <t xml:space="preserve">servico executado na rua maria olimpia da silva 54.  fotos enviadas via whattsapp. nao bater D.C.P. devido rede rasa. </t>
  </si>
  <si>
    <t>20/04/2026 15:37</t>
  </si>
  <si>
    <t xml:space="preserve"> AVENIDA DOUTOR CARLOS DE CAMPOS</t>
  </si>
  <si>
    <t>ANT. 131</t>
  </si>
  <si>
    <t>20/04/2026 15:49</t>
  </si>
  <si>
    <t>JD LEDA</t>
  </si>
  <si>
    <t xml:space="preserve"> VIELA DAS FLORES</t>
  </si>
  <si>
    <t>ANT8</t>
  </si>
  <si>
    <t>sem foto devido areiA de risco  obss comunidade</t>
  </si>
  <si>
    <t>20/04/2026 16:51</t>
  </si>
  <si>
    <t xml:space="preserve">foi executado sondagem  porém não foi realizado o vazamento água vindo por baixo do asfalto necessário pitometria </t>
  </si>
  <si>
    <t>20/04/2026 18:11</t>
  </si>
  <si>
    <t>21/04/2026</t>
  </si>
  <si>
    <t>21/04/2026 14:18</t>
  </si>
  <si>
    <t>FDSC/2</t>
  </si>
  <si>
    <t>21/04/2026 12:01</t>
  </si>
  <si>
    <t>ANT 14</t>
  </si>
  <si>
    <t>ANTIGO C/2</t>
  </si>
  <si>
    <t>21/04/2026 14:09</t>
  </si>
  <si>
    <t xml:space="preserve"> RUA SOLDADO ANTONIO COELHO SILVEIRA</t>
  </si>
  <si>
    <t xml:space="preserve"> RUA SANTA RITA DO SAPUCAI</t>
  </si>
  <si>
    <t>CASA  1</t>
  </si>
  <si>
    <t>21/04/2026 15:37</t>
  </si>
  <si>
    <t>ANTIGO 8</t>
  </si>
  <si>
    <t>21/04/2026 14:03</t>
  </si>
  <si>
    <t xml:space="preserve"> RUA PAULO AFONSO</t>
  </si>
  <si>
    <t>ANT142B</t>
  </si>
  <si>
    <t>fotos na OS 2616344963</t>
  </si>
  <si>
    <t>21/04/2026 13:22</t>
  </si>
  <si>
    <t>21/04/2026 13:25</t>
  </si>
  <si>
    <t>21/04/2026 13:29</t>
  </si>
  <si>
    <t>21/04/2026 13:33</t>
  </si>
  <si>
    <t>21/04/2026 13:36</t>
  </si>
  <si>
    <t>21/04/2026 13:39</t>
  </si>
  <si>
    <t>ANT.   C/2</t>
  </si>
  <si>
    <t>foto da execucao na O.S 2616241316</t>
  </si>
  <si>
    <t>21/04/2026 12:41</t>
  </si>
  <si>
    <t xml:space="preserve"> RUA ARY BARROSO</t>
  </si>
  <si>
    <t>JD PINHAL</t>
  </si>
  <si>
    <t>ANT.   C/1</t>
  </si>
  <si>
    <t>ANT. 19</t>
  </si>
  <si>
    <t>JD ALVORADA</t>
  </si>
  <si>
    <t xml:space="preserve"> RUA TOCANTINOPOLIS</t>
  </si>
  <si>
    <t>JD IPORANGA</t>
  </si>
  <si>
    <t xml:space="preserve">não tem reposição  serviço executado sem fotos após a execução </t>
  </si>
  <si>
    <t>21/04/2026 11:50</t>
  </si>
  <si>
    <t>V SILVEIRA</t>
  </si>
  <si>
    <t>ANT 119</t>
  </si>
  <si>
    <t>21/04/2026 14:45</t>
  </si>
  <si>
    <t xml:space="preserve"> RUA ALVARES FLORENCE</t>
  </si>
  <si>
    <t>JD BETEL</t>
  </si>
  <si>
    <t xml:space="preserve">foi executado uma troca de ramal de agua </t>
  </si>
  <si>
    <t>21/04/2026 12:49</t>
  </si>
  <si>
    <t>ANT 28</t>
  </si>
  <si>
    <t>serviço foi executado sem abertura do os demais fotos estão on#125
Os 2616746622</t>
  </si>
  <si>
    <t>21/04/2026 15:45</t>
  </si>
  <si>
    <t>ANT. 252</t>
  </si>
  <si>
    <t>PASSAR RAMAL DE ÁGUA PARA NOVA REDE</t>
  </si>
  <si>
    <t xml:space="preserve"> RUA ANTONIO LISBOA GARCIA</t>
  </si>
  <si>
    <t>PASSADO RAMAL DE AGUA PARA NOVA REDE</t>
  </si>
  <si>
    <t>22/04/2026</t>
  </si>
  <si>
    <t>ANT. 10</t>
  </si>
  <si>
    <t xml:space="preserve">os baixada sem foto devida a demora da abertura da os </t>
  </si>
  <si>
    <t>22/04/2026 19:30</t>
  </si>
  <si>
    <t>ANT45</t>
  </si>
  <si>
    <t>ANT 7 A</t>
  </si>
  <si>
    <t>22/04/2026 19:53</t>
  </si>
  <si>
    <t xml:space="preserve">os  baixada sem foto de vida a demora da abertura da os </t>
  </si>
  <si>
    <t>22/04/2026 19:50</t>
  </si>
  <si>
    <t xml:space="preserve"> RUA CONEGO EZEQUIAS</t>
  </si>
  <si>
    <t xml:space="preserve"> RUA CAMILA MARTINS DOS SANTOS</t>
  </si>
  <si>
    <t>ANT. 29</t>
  </si>
  <si>
    <t xml:space="preserve">baixando sem foto devido rua estreita sem saída  , caminhão deixado no final da rua devido transito local . </t>
  </si>
  <si>
    <t>22/04/2026 13:38</t>
  </si>
  <si>
    <t xml:space="preserve"> RUA BAHIA</t>
  </si>
  <si>
    <t>22/04/2026 11:30</t>
  </si>
  <si>
    <t xml:space="preserve"> RUA SAO MAURICIO</t>
  </si>
  <si>
    <t>22/04/2026 10:24</t>
  </si>
  <si>
    <t xml:space="preserve"> RUA IMONCLAR E LAZARI</t>
  </si>
  <si>
    <t>JD SILVIA</t>
  </si>
  <si>
    <t>foi feito aproveitamento de ramal pois o mesmo era pad azul</t>
  </si>
  <si>
    <t>22/04/2026 09:30</t>
  </si>
  <si>
    <t xml:space="preserve"> RUA JOSE ANTONIO MARCELLO</t>
  </si>
  <si>
    <t xml:space="preserve">oi possível concluir sequências de foto devido à obra no local não há reposição de asfalto devido obra no local a troca foi feita até o passeio devido ao cliente não tá em casa como é o acompanhamento do fiscal André </t>
  </si>
  <si>
    <t>22/04/2026 13:09</t>
  </si>
  <si>
    <t>C/1ANT139</t>
  </si>
  <si>
    <t xml:space="preserve"> foi possível concluir sequências de foto devido à obra no local não há reposição de asfalto devido obra no local a troca foi feita até o passeio devido ao cliente não tá em casa </t>
  </si>
  <si>
    <t>22/04/2026 12:47</t>
  </si>
  <si>
    <t>22/04/2026 18:09</t>
  </si>
  <si>
    <t xml:space="preserve"> AVENIDA COMENDADOR WILSON TALARICO</t>
  </si>
  <si>
    <t>ANTIGO138</t>
  </si>
  <si>
    <t>22/04/2026 15:54</t>
  </si>
  <si>
    <t xml:space="preserve"> RUA ISAURA</t>
  </si>
  <si>
    <t>reposição sera execultada pela comgas que ainda está em obra no local</t>
  </si>
  <si>
    <t>22/04/2026 11:53</t>
  </si>
  <si>
    <t xml:space="preserve"> RUA PARAUNA</t>
  </si>
  <si>
    <t>ANT: 21</t>
  </si>
  <si>
    <t>22/04/2026 12:18</t>
  </si>
  <si>
    <t>APTO-21</t>
  </si>
  <si>
    <t>22/04/2026 11:51</t>
  </si>
  <si>
    <t xml:space="preserve"> RUA VERA</t>
  </si>
  <si>
    <t>22/04/2026 16:11</t>
  </si>
  <si>
    <t xml:space="preserve"> RUA DO CAMPO DA PAZ</t>
  </si>
  <si>
    <t xml:space="preserve"> RUA FRANK GUEDES</t>
  </si>
  <si>
    <t>ANT. 17</t>
  </si>
  <si>
    <t xml:space="preserve"> RUA SERGIO REIS DE OLIVEIRA</t>
  </si>
  <si>
    <t>ANT. 48-A</t>
  </si>
  <si>
    <t>22/04/2026 16:01</t>
  </si>
  <si>
    <t xml:space="preserve"> RUA DUQUE DE CAXIAS</t>
  </si>
  <si>
    <t>22/04/2026 10:39</t>
  </si>
  <si>
    <t xml:space="preserve">às fotos foram tiradas na outra os número 2616857102 não tem reposição obra da prefeitura no local </t>
  </si>
  <si>
    <t>22/04/2026 16:41</t>
  </si>
  <si>
    <t>não tem reposição obra da prefeitura  às fotos foram tiradas na outra os número 2616857102</t>
  </si>
  <si>
    <t>22/04/2026 16:27</t>
  </si>
  <si>
    <t xml:space="preserve"> AVENIDA ESPERANCA</t>
  </si>
  <si>
    <t>fotos dessa os estão na os de vazamento de água não visível em ramal 2616615906</t>
  </si>
  <si>
    <t>22/04/2026 12:41</t>
  </si>
  <si>
    <t>22/04/2026 14:50</t>
  </si>
  <si>
    <t xml:space="preserve"> RUA JOAO SIMAO</t>
  </si>
  <si>
    <t>ANT: 18</t>
  </si>
  <si>
    <t>fotos na os anterior n 120</t>
  </si>
  <si>
    <t>22/04/2026 16:09</t>
  </si>
  <si>
    <t>22/04/2026 17:25</t>
  </si>
  <si>
    <t xml:space="preserve"> RUA SEG SARGENTO ORLANDO RANDI</t>
  </si>
  <si>
    <t>24/04/2026</t>
  </si>
  <si>
    <t xml:space="preserve"> RUA JAGUARIBE</t>
  </si>
  <si>
    <t>ANT. 104</t>
  </si>
  <si>
    <t>V TIBAGY</t>
  </si>
  <si>
    <t>24/04/2026 13:41</t>
  </si>
  <si>
    <t>24/04/2026 10:28</t>
  </si>
  <si>
    <t xml:space="preserve">sem fotos O.S. aberta posteriormente </t>
  </si>
  <si>
    <t>24/04/2026 10:08</t>
  </si>
  <si>
    <t>24/04/2026 10:17</t>
  </si>
  <si>
    <t xml:space="preserve"> RUA TERC SARGENTO FRANCISCO DE PAULA LOPES</t>
  </si>
  <si>
    <t>24/04/2026 10:49</t>
  </si>
  <si>
    <t xml:space="preserve"> RUA SOPHIA FANTAZZINI CHECCHINATO</t>
  </si>
  <si>
    <t>ANT14C/1</t>
  </si>
  <si>
    <t>JD TOSCANA</t>
  </si>
  <si>
    <t xml:space="preserve"> RUA HERMENEGILDO ORSI</t>
  </si>
  <si>
    <t>C/1ANT20B</t>
  </si>
  <si>
    <t>24/04/2026 10:07</t>
  </si>
  <si>
    <t xml:space="preserve"> ESTRADA DOS MORAES</t>
  </si>
  <si>
    <t>ANTIGO 155</t>
  </si>
  <si>
    <t>24/04/2026 12:03</t>
  </si>
  <si>
    <t xml:space="preserve"> RUA HAROLDO LOBO</t>
  </si>
  <si>
    <t>ANT51AA</t>
  </si>
  <si>
    <t>24/04/2026 15:00</t>
  </si>
  <si>
    <t xml:space="preserve"> RUA SAMUEL REIS DE OLIVEIRA</t>
  </si>
  <si>
    <t>ANT. 100</t>
  </si>
  <si>
    <t xml:space="preserve"> RUA ARARA</t>
  </si>
  <si>
    <t>24/04/2026 14:37</t>
  </si>
  <si>
    <t xml:space="preserve"> AVENIDA MANOEL ISIDORO MARTINS</t>
  </si>
  <si>
    <t>sem foto Os aberta após a execução.</t>
  </si>
  <si>
    <t>24/04/2026 12:48</t>
  </si>
  <si>
    <t>OS ABERTA POSTERIORMEWNTE A EXECUÇÃO DO SERVIÇO</t>
  </si>
  <si>
    <t>CLARIT 153</t>
  </si>
  <si>
    <t>26/04/2026</t>
  </si>
  <si>
    <t>26/04/2026 14:17</t>
  </si>
  <si>
    <t>OS ABERTA POSTERIORMENTE A EXECUÇÃO DO SERIÇO</t>
  </si>
  <si>
    <t xml:space="preserve"> RUA ANTONIO GOMES</t>
  </si>
  <si>
    <t>V SANTO ANTONIO</t>
  </si>
  <si>
    <t>26/04/2026 14:26</t>
  </si>
  <si>
    <t>26/04/2026 14:28</t>
  </si>
  <si>
    <t>JD TESTAI</t>
  </si>
  <si>
    <t>PROLONGAMENTO DE REDE DE AGUA</t>
  </si>
  <si>
    <t xml:space="preserve"> RUA EDSON DE SOUZA</t>
  </si>
  <si>
    <t xml:space="preserve"> RUA ANTONIO FREITAS</t>
  </si>
  <si>
    <t>ANT. 5 C/2</t>
  </si>
  <si>
    <t>foto da execucao na O.S 2616891150</t>
  </si>
  <si>
    <t>24/04/2026 11:48</t>
  </si>
  <si>
    <t xml:space="preserve">os baixada sem foto devido a demora da abertura da os </t>
  </si>
  <si>
    <t xml:space="preserve"> RUA ARATIBA</t>
  </si>
  <si>
    <t>ANT 01</t>
  </si>
  <si>
    <t xml:space="preserve"> RUA ARGENTINA</t>
  </si>
  <si>
    <t>ANT. 258</t>
  </si>
  <si>
    <t xml:space="preserve">sem foto Os aberta após a execução </t>
  </si>
  <si>
    <t>24/04/2026 12:53</t>
  </si>
  <si>
    <t>24/04/2026 13:50</t>
  </si>
  <si>
    <t>24/04/2026 15:19</t>
  </si>
  <si>
    <t>24/04/2026 14:58</t>
  </si>
  <si>
    <t>V VICENTINA</t>
  </si>
  <si>
    <t xml:space="preserve"> RUA FREI INOCENCIO</t>
  </si>
  <si>
    <t xml:space="preserve">foi aproveitado o ramal antigo que estava na msm direcao e o ramal ja era nova azul </t>
  </si>
  <si>
    <t>24/04/2026 09:25</t>
  </si>
  <si>
    <t>passeio terra obras</t>
  </si>
  <si>
    <t>24/04/2026 10:54</t>
  </si>
  <si>
    <t xml:space="preserve">sem foto Os aberta após a execução. utilizado pead de 110 </t>
  </si>
  <si>
    <t>24/04/2026 14:55</t>
  </si>
  <si>
    <t>24/04/2026 14:39</t>
  </si>
  <si>
    <t xml:space="preserve"> RUA DIREITOS HUMANOS</t>
  </si>
  <si>
    <t>ANT 43</t>
  </si>
  <si>
    <t>sem foto Os aberta após a execução, rede 315 pad</t>
  </si>
  <si>
    <t>24/04/2026 14:00</t>
  </si>
  <si>
    <t>C/2ANT55</t>
  </si>
  <si>
    <t>24/04/2026 18:23</t>
  </si>
  <si>
    <t>24/04/2026 18:32</t>
  </si>
  <si>
    <t xml:space="preserve">OS baixada sem foto devido a demora da abertura da os </t>
  </si>
  <si>
    <t xml:space="preserve">os baixada sem foto devido a demora da abertura da os sim </t>
  </si>
  <si>
    <t>24/04/2026 18:36</t>
  </si>
  <si>
    <t>CASA- 03</t>
  </si>
  <si>
    <t>24/04/2026 15:01</t>
  </si>
  <si>
    <t>24/04/2026 14:38</t>
  </si>
  <si>
    <t>24/04/2026 14:43</t>
  </si>
  <si>
    <t>24/04/2026 15:07</t>
  </si>
  <si>
    <t>24/04/2026 13:56</t>
  </si>
  <si>
    <t>ANT41C/7</t>
  </si>
  <si>
    <t xml:space="preserve">os baixada sem foto devido a demora da os </t>
  </si>
  <si>
    <t>24/04/2026 18:28</t>
  </si>
  <si>
    <t>ANT. 55</t>
  </si>
  <si>
    <t>24/04/2026 14:24</t>
  </si>
  <si>
    <t>24/04/2026 18:18</t>
  </si>
  <si>
    <t xml:space="preserve"> RUA PREFEITO RINALDO POLI</t>
  </si>
  <si>
    <t>24/04/2026 12:11</t>
  </si>
  <si>
    <t>ANT-8 A A</t>
  </si>
  <si>
    <t>24/04/2026 14:32</t>
  </si>
  <si>
    <t xml:space="preserve"> RUA UM</t>
  </si>
  <si>
    <t>JD KIDA</t>
  </si>
  <si>
    <t>24/04/2026 09:22</t>
  </si>
  <si>
    <t xml:space="preserve"> RUA ANTONIO AVELINO NEVES</t>
  </si>
  <si>
    <t>24/04/2026 08:45</t>
  </si>
  <si>
    <t xml:space="preserve"> RUA SANTO EUGENIO</t>
  </si>
  <si>
    <t>COM- 02</t>
  </si>
  <si>
    <t>foto da execucao na O.S 2617152480</t>
  </si>
  <si>
    <t xml:space="preserve"> RUA JOSE LAZARO ZANETTI</t>
  </si>
  <si>
    <t>ANT. 217</t>
  </si>
  <si>
    <t xml:space="preserve">1-Nao foi possivel sequencias de fotos correta devido obras no local,o vazamento nao é no pavimento é em local fechado
2-vazamento em local fechado,nao foi preciso sinalizaçao </t>
  </si>
  <si>
    <t>24/04/2026 17:13</t>
  </si>
  <si>
    <t>C/01</t>
  </si>
  <si>
    <t>ANT. 4082</t>
  </si>
  <si>
    <t>fotos dessa os estão na os de vazamento de água no passeio 2691368752</t>
  </si>
  <si>
    <t>24/04/2026 12:35</t>
  </si>
  <si>
    <t>fotos dessa os estão na os de vazamento de água no passeio 1691368752</t>
  </si>
  <si>
    <t>24/04/2026 12:31</t>
  </si>
  <si>
    <t xml:space="preserve"> RUA MACHADO DE ASSIS</t>
  </si>
  <si>
    <t>24/04/2026 13:12</t>
  </si>
  <si>
    <t>26/04/2026 13:50</t>
  </si>
  <si>
    <t>srm fotos os aberta apos execucao do servico</t>
  </si>
  <si>
    <t>26/04/2026 14:45</t>
  </si>
  <si>
    <t>ANT. 164</t>
  </si>
  <si>
    <t>26/04/2026 15:01</t>
  </si>
  <si>
    <t>ANT. 1 C/1</t>
  </si>
  <si>
    <t>25/04/2026</t>
  </si>
  <si>
    <t xml:space="preserve"> RUA SEBASTIAO DOS SANTOS</t>
  </si>
  <si>
    <t>foto da execucao na O.S 2614198020</t>
  </si>
  <si>
    <t>25/04/2026 12:59</t>
  </si>
  <si>
    <t>NÃO FOI POSSSIVEL VISUALIZAR O MANOMETRO E EQUIPAMENTO DANIFICADO</t>
  </si>
  <si>
    <t>fotp da execucao na O.S 2614198020</t>
  </si>
  <si>
    <t>25/04/2026 12:53</t>
  </si>
  <si>
    <t>ANT. 1 C/2</t>
  </si>
  <si>
    <t xml:space="preserve">sem foto da lona e do batedor devido que nao preciso quebra o passeio. sem foto da sinalizacao de que nao deu para parar o caminho no local . sem foto do numero do hidro da casa 1. devido que esta apagado.  </t>
  </si>
  <si>
    <t>25/04/2026 14:42</t>
  </si>
  <si>
    <t>foto da execucao na O.S 2616899097</t>
  </si>
  <si>
    <t>25/04/2026 14:46</t>
  </si>
  <si>
    <t>25/04/2026 14:44</t>
  </si>
  <si>
    <t>24/04/2026 11:31</t>
  </si>
  <si>
    <t xml:space="preserve"> RUA JOSE DA LUZ</t>
  </si>
  <si>
    <t>ANT. 44</t>
  </si>
  <si>
    <t>ANT 39 D</t>
  </si>
  <si>
    <t>25/04/2026 12:08</t>
  </si>
  <si>
    <t>ANT.30 A</t>
  </si>
  <si>
    <t>25/04/2026 12:29</t>
  </si>
  <si>
    <t>SITIO CABUCU</t>
  </si>
  <si>
    <t>25/04/2026 14:05</t>
  </si>
  <si>
    <t xml:space="preserve"> RUA LUIZ MOREIRA</t>
  </si>
  <si>
    <t>25/04/2026 08:59</t>
  </si>
  <si>
    <t xml:space="preserve"> RUA ALABAMA</t>
  </si>
  <si>
    <t>ANT. 234</t>
  </si>
  <si>
    <t>JD ALMEIDA PRADO</t>
  </si>
  <si>
    <t>ANT. 43</t>
  </si>
  <si>
    <t>25/04/2026 09:02</t>
  </si>
  <si>
    <t xml:space="preserve"> RUA ANTON PHILIPS</t>
  </si>
  <si>
    <t>sem foto erro de planejamento</t>
  </si>
  <si>
    <t>25/04/2026 08:45</t>
  </si>
  <si>
    <t>25/04/2026 12:39</t>
  </si>
  <si>
    <t xml:space="preserve"> RUA AGUAS VERMELHAS</t>
  </si>
  <si>
    <t>ANT-70</t>
  </si>
  <si>
    <t>25/04/2026 16:44</t>
  </si>
  <si>
    <t xml:space="preserve"> RUA DOMINGOS MAGNO</t>
  </si>
  <si>
    <t xml:space="preserve"> executado uma sondagem rede passei au posto profudidade 120 rede 150 seramica repusicao broquete executado 01 por 01
FOTOS OS PRINCIPAL</t>
  </si>
  <si>
    <t>25/04/2026 07:02</t>
  </si>
  <si>
    <t>GILVAN FERREIRA DOS SANTOS</t>
  </si>
  <si>
    <t xml:space="preserve"> RUA PANAIR</t>
  </si>
  <si>
    <t xml:space="preserve">anexos faltando devido , erro de sincronização.   restante via wattsap </t>
  </si>
  <si>
    <t>26/04/2026 13:52</t>
  </si>
  <si>
    <t xml:space="preserve"> RUA OURO VERDE</t>
  </si>
  <si>
    <t>ANT 132</t>
  </si>
  <si>
    <t xml:space="preserve"> RUA DONA OLGA</t>
  </si>
  <si>
    <t>ANT. 429</t>
  </si>
  <si>
    <t>26/04/2026 10:07</t>
  </si>
  <si>
    <t xml:space="preserve"> RUA BRAS CUBAS</t>
  </si>
  <si>
    <t>ANT. 111</t>
  </si>
  <si>
    <t>V LANZARA</t>
  </si>
  <si>
    <t>26/04/2026 13:29</t>
  </si>
  <si>
    <t xml:space="preserve"> RUA FATIMA DO SUL</t>
  </si>
  <si>
    <t>ANT.Nº-95</t>
  </si>
  <si>
    <t>26/04/2026 10:36</t>
  </si>
  <si>
    <t xml:space="preserve"> RUA GEREMIAS JOAQUIM PEREIRA</t>
  </si>
  <si>
    <t>27/04/2026</t>
  </si>
  <si>
    <t>27/04/2026 09:37</t>
  </si>
  <si>
    <t xml:space="preserve"> RUA JACOMO JACOBUCCI</t>
  </si>
  <si>
    <t>ANT 12 B</t>
  </si>
  <si>
    <t>JD RIZZO</t>
  </si>
  <si>
    <t>27/04/2026 09:20</t>
  </si>
  <si>
    <t>27/04/2026 09:27</t>
  </si>
  <si>
    <t xml:space="preserve"> RUA GILBERTO FREIRE</t>
  </si>
  <si>
    <t>REPARO DE VALVULA REDE AGUA NÃO VISIVEL</t>
  </si>
  <si>
    <t>27/04/2026 11:15</t>
  </si>
  <si>
    <t>CASA  04</t>
  </si>
  <si>
    <t xml:space="preserve">não tem reposição obra do esgoto no local não tem teste de  pompastacao e na vala do esgoto </t>
  </si>
  <si>
    <t>27/04/2026 14:21</t>
  </si>
  <si>
    <t xml:space="preserve">às fotos foram tiradas na outra os número 2617524246 não tem reposição obra do esgoto no local </t>
  </si>
  <si>
    <t>27/04/2026 14:29</t>
  </si>
  <si>
    <t>ANT 51  F</t>
  </si>
  <si>
    <t>ANT 41</t>
  </si>
  <si>
    <t xml:space="preserve">não coloquei tinta e asfalto frio a rua já tá raspada amanhã já vai recapia </t>
  </si>
  <si>
    <t>27/04/2026 15:53</t>
  </si>
  <si>
    <t xml:space="preserve"> AVENIDA CARILAU CERRI</t>
  </si>
  <si>
    <t>JD DIVINOLANDIA</t>
  </si>
  <si>
    <t>27/04/2026 10:17</t>
  </si>
  <si>
    <t>ANT21</t>
  </si>
  <si>
    <t xml:space="preserve">ramal na mesma direcao  somente trocado o ramal </t>
  </si>
  <si>
    <t>27/04/2026 16:04</t>
  </si>
  <si>
    <t xml:space="preserve"> RUA VEGA</t>
  </si>
  <si>
    <t>27/04/2026 16:14</t>
  </si>
  <si>
    <t xml:space="preserve"> RUA ANTONIO CARLOS</t>
  </si>
  <si>
    <t>ANT30A C/1</t>
  </si>
  <si>
    <t>sem foto Da sinalização motivo rua sem acesso ao caminhão</t>
  </si>
  <si>
    <t>27/04/2026 10:13</t>
  </si>
  <si>
    <t>ANT30A C/2</t>
  </si>
  <si>
    <t>27/04/2026 10:00</t>
  </si>
  <si>
    <t>CASA 05</t>
  </si>
  <si>
    <t>fotos na OS 2617109700</t>
  </si>
  <si>
    <t>27/04/2026 12:15</t>
  </si>
  <si>
    <t>CASA 06</t>
  </si>
  <si>
    <t>27/04/2026 12:20</t>
  </si>
  <si>
    <t>27/04/2026 16:10</t>
  </si>
  <si>
    <t xml:space="preserve"> RUA PROFESSOR CANDIDO LEMOS RAMOS</t>
  </si>
  <si>
    <t>ANT. 36</t>
  </si>
  <si>
    <t>V ESTHER</t>
  </si>
  <si>
    <t xml:space="preserve"> yygyÿyyyv77yygyyygygyyyvyy7y7yg77yyy7yyyyyyyygy7yyyyygÿyvyyyy. ggv vg v7v</t>
  </si>
  <si>
    <t>27/04/2026 12:12</t>
  </si>
  <si>
    <t xml:space="preserve"> VIELA SIMONE COSTA</t>
  </si>
  <si>
    <t>ANT9C/2</t>
  </si>
  <si>
    <t xml:space="preserve">sem fotos área de risco </t>
  </si>
  <si>
    <t>27/04/2026 13:06</t>
  </si>
  <si>
    <t xml:space="preserve"> RUA GUARANI</t>
  </si>
  <si>
    <t>ANT. 351</t>
  </si>
  <si>
    <t>27/04/2026 11:58</t>
  </si>
  <si>
    <t xml:space="preserve">às fotos foram tiradas na outra os 267524246 não tem reposição obra do esgoto no local </t>
  </si>
  <si>
    <t>27/04/2026 14:26</t>
  </si>
  <si>
    <t xml:space="preserve"> RUA JORDANO BAZANA</t>
  </si>
  <si>
    <t>ANTIGO C/1</t>
  </si>
  <si>
    <t xml:space="preserve">foto da execucao via whattsapp </t>
  </si>
  <si>
    <t>27/04/2026 16:50</t>
  </si>
  <si>
    <t>foto enviadas via Whattsapp</t>
  </si>
  <si>
    <t>27/04/2026 16:54</t>
  </si>
  <si>
    <t xml:space="preserve"> RUA SOLDADO ABILIO FERNANDES DOS SANTOS</t>
  </si>
  <si>
    <t>fotos dessa os estão na os de vazamento de água não visível em rede 2617536782</t>
  </si>
  <si>
    <t>27/04/2026 13:03</t>
  </si>
  <si>
    <t xml:space="preserve">FOTOS NA BAIXA DO VAZAMENTO </t>
  </si>
  <si>
    <t>27/04/2026 08:45</t>
  </si>
  <si>
    <t>COM1ANT199</t>
  </si>
  <si>
    <t>serviço executado no número 195 fotos dessa os estão na os de vazamento de água no leito pavimentado 2617536782</t>
  </si>
  <si>
    <t>27/04/2026 16:33</t>
  </si>
  <si>
    <t>fotos tiradas após execução do serv</t>
  </si>
  <si>
    <t>27/04/2026 16:57</t>
  </si>
  <si>
    <t>27/04/2026 15:30</t>
  </si>
  <si>
    <t xml:space="preserve"> RUA JOAO BERTELLI</t>
  </si>
  <si>
    <t>27/04/2026 17:25</t>
  </si>
  <si>
    <t>sem foto porque o servico foi aberto depois de executado</t>
  </si>
  <si>
    <t>27/04/2026 18:01</t>
  </si>
  <si>
    <t>28/04/2026</t>
  </si>
  <si>
    <t xml:space="preserve"> RUA VILA LOBOS</t>
  </si>
  <si>
    <t>28/04/2026 15:51</t>
  </si>
  <si>
    <t xml:space="preserve">nao foi possivel fotos devido área de risco,  troca do ramal de agua ate o pé do cavalete , local em obras sem pavimento </t>
  </si>
  <si>
    <t>28/04/2026 10:00</t>
  </si>
  <si>
    <t xml:space="preserve"> RUA ILHA DAS FLORES</t>
  </si>
  <si>
    <t>C/1ANT50</t>
  </si>
  <si>
    <t>28/04/2026 10:02</t>
  </si>
  <si>
    <t xml:space="preserve"> AVENIDA BOM CLIMA</t>
  </si>
  <si>
    <t>COMÉRCIO 1</t>
  </si>
  <si>
    <t>28/04/2026 13:30</t>
  </si>
  <si>
    <t xml:space="preserve"> RUA PRINCESA IZABEL</t>
  </si>
  <si>
    <t>ANT 467</t>
  </si>
  <si>
    <t>28/04/2026 10:55</t>
  </si>
  <si>
    <t xml:space="preserve"> RUA NOSSA SENHORA LOURDES</t>
  </si>
  <si>
    <t>Não foi possível concluir sequência de foto correto devido estreitamente no local</t>
  </si>
  <si>
    <t>28/04/2026 10:37</t>
  </si>
  <si>
    <t xml:space="preserve"> RUA PALMINOPOLIS</t>
  </si>
  <si>
    <t>ANT.62</t>
  </si>
  <si>
    <t>28/04/2026 12:19</t>
  </si>
  <si>
    <t xml:space="preserve"> RUA TAQUARITUBA</t>
  </si>
  <si>
    <t>28/04/2026 15:42</t>
  </si>
  <si>
    <t>ANT115ALTO</t>
  </si>
  <si>
    <t xml:space="preserve">os baixada sem foto devido a abertura da os </t>
  </si>
  <si>
    <t>28/04/2026 09:14</t>
  </si>
  <si>
    <t>B C/1</t>
  </si>
  <si>
    <t xml:space="preserve"> RUA SALDANHA MARINHO</t>
  </si>
  <si>
    <t>foto da execucao na O.S 26172993759</t>
  </si>
  <si>
    <t>28/04/2026 15:14</t>
  </si>
  <si>
    <t xml:space="preserve">sem foto da sinanalizacao devido que nao deu para parar o caminhao no local. sem foto da lona devido que nao preciso quebrar o passeio em obra  </t>
  </si>
  <si>
    <t>28/04/2026 15:15</t>
  </si>
  <si>
    <t xml:space="preserve"> RUA JOAO ARTONI</t>
  </si>
  <si>
    <t xml:space="preserve">executado uma troca de ramal .o ferrolho da ligacao estava ma mesma direcao da caixa uma . </t>
  </si>
  <si>
    <t>28/04/2026 14:02</t>
  </si>
  <si>
    <t>28/04/2026 14:10</t>
  </si>
  <si>
    <t xml:space="preserve"> RUA SANTA CECILIA PAVAO</t>
  </si>
  <si>
    <t>obs : esse serviço é a casa 1 da residencia . por favor corrigir  na os .   algumas fotos do hidro talves esteja ruim pra visualizar devido ao local escuro.</t>
  </si>
  <si>
    <t>28/04/2026 18:40</t>
  </si>
  <si>
    <t>28/04/2026 18:20</t>
  </si>
  <si>
    <t>28/04/2026 18:18</t>
  </si>
  <si>
    <t>28/04/2026 18:16</t>
  </si>
  <si>
    <t>28/04/2026 18:13</t>
  </si>
  <si>
    <t>28/04/2026 14:17</t>
  </si>
  <si>
    <t>28/04/2026 14:13</t>
  </si>
  <si>
    <t xml:space="preserve"> RUA ASTEROIDE</t>
  </si>
  <si>
    <t>ANT.25</t>
  </si>
  <si>
    <t xml:space="preserve"> RUA VICENTE DE MORAES</t>
  </si>
  <si>
    <t>ANT 3B</t>
  </si>
  <si>
    <t>28/04/2026 11:15</t>
  </si>
  <si>
    <t xml:space="preserve"> RUA MINEIRA</t>
  </si>
  <si>
    <t>fotos dessa os estão na os de vazamento de água no passeio 2691701970</t>
  </si>
  <si>
    <t>28/04/2026 12:10</t>
  </si>
  <si>
    <t xml:space="preserve"> RUA DEZESSEIS</t>
  </si>
  <si>
    <t xml:space="preserve">Não foi possível concluir se a coisa de foto correta não colocamos assofio porque a empresa está em falta </t>
  </si>
  <si>
    <t xml:space="preserve"> RUA MARIA APARECIDA</t>
  </si>
  <si>
    <t>C/1ANT11</t>
  </si>
  <si>
    <t>verificado local  porem nada consta esta  saindo uma agua em cano de agua fluvias do clinte  porem orintei cham predwiro para verifica para ela</t>
  </si>
  <si>
    <t>28/04/2026 15:55</t>
  </si>
  <si>
    <t xml:space="preserve"> RUA GERALDO JOSE DE MOURA</t>
  </si>
  <si>
    <t>observação fotos do serviço estão na OS 2617599733</t>
  </si>
  <si>
    <t>29/04/2026</t>
  </si>
  <si>
    <t>29/04/2026 07:40</t>
  </si>
  <si>
    <t>29/04/2026 07:44</t>
  </si>
  <si>
    <t>29/04/2026 16:36</t>
  </si>
  <si>
    <t>ANT31AC/1</t>
  </si>
  <si>
    <t>29/04/2026 14:32</t>
  </si>
  <si>
    <t xml:space="preserve"> VIELA JUNHO</t>
  </si>
  <si>
    <t>foi executado um reparo na rede de agua nao visível
obs; as fotos esta na ficha 2617728475</t>
  </si>
  <si>
    <t>29/04/2026 15:04</t>
  </si>
  <si>
    <t xml:space="preserve">não tem reposição de p.a leito terra </t>
  </si>
  <si>
    <t>29/04/2026 16:00</t>
  </si>
  <si>
    <t xml:space="preserve">não tem reposição obra do esgoto no local </t>
  </si>
  <si>
    <t>29/04/2026 18:48</t>
  </si>
  <si>
    <t xml:space="preserve"> RUA DAS OLIVEIRAS</t>
  </si>
  <si>
    <t>29/04/2026 14:20</t>
  </si>
  <si>
    <t xml:space="preserve"> RUA ENDRES</t>
  </si>
  <si>
    <t>LIG PRINC</t>
  </si>
  <si>
    <t>29/04/2026 09:55</t>
  </si>
  <si>
    <t>PLACA DE HOMENS TRABALHANDO A 50M NO LUGAR INCORRETO</t>
  </si>
  <si>
    <t>NÃO FOI POSSIVEL IDENTIFICAR O BERÇO DENTRO DA VALA</t>
  </si>
  <si>
    <t xml:space="preserve"> RUA DIVINO DE LOURENCO</t>
  </si>
  <si>
    <t>29/04/2026 16:46</t>
  </si>
  <si>
    <t xml:space="preserve"> RUA AMABILE SENTANIM</t>
  </si>
  <si>
    <t xml:space="preserve"> RUA MARIA GODINHO</t>
  </si>
  <si>
    <t>ANT. 1</t>
  </si>
  <si>
    <t>29/04/2026 10:50</t>
  </si>
  <si>
    <t xml:space="preserve"> RUA PAULO RAMOS DOS SANTOS</t>
  </si>
  <si>
    <t xml:space="preserve">sem foto do sapinho devido rede muito rasa.  nao bater  D.C.P.  devido rede rasa. passeio em obra </t>
  </si>
  <si>
    <t>29/04/2026 13:34</t>
  </si>
  <si>
    <t>29/04/2026 10:04</t>
  </si>
  <si>
    <t>29/04/2026 14:41</t>
  </si>
  <si>
    <t xml:space="preserve">ja estava na caixa uma </t>
  </si>
  <si>
    <t>29/04/2026 08:32</t>
  </si>
  <si>
    <t>V DAS MALVINAS</t>
  </si>
  <si>
    <t>29/04/2026 11:00</t>
  </si>
  <si>
    <t xml:space="preserve"> RUA INTERNA SETE</t>
  </si>
  <si>
    <t>obs rede com 48 centimetros.nao fazer bcp</t>
  </si>
  <si>
    <t>29/04/2026 15:22</t>
  </si>
  <si>
    <t>ANT 51</t>
  </si>
  <si>
    <t>Não foi possível concluir sequências de foto correto devido chuva intensa no local com a compreensão do fiscal André</t>
  </si>
  <si>
    <t>29/04/2026 17:02</t>
  </si>
  <si>
    <t>ANT19BC/1</t>
  </si>
  <si>
    <t>sem fotos os aberta apos execucao do servico
vazamento executado na rua orlando biagi angu 30</t>
  </si>
  <si>
    <t>29/04/2026 15:58</t>
  </si>
  <si>
    <t xml:space="preserve"> RUA NIVALDO ROMERO</t>
  </si>
  <si>
    <t>FATIMA</t>
  </si>
  <si>
    <t>fotos na os anterior feito as troca 219 e 213 ramal. A mesma vala</t>
  </si>
  <si>
    <t>29/04/2026 10:36</t>
  </si>
  <si>
    <t>fotos na os do n 219</t>
  </si>
  <si>
    <t>29/04/2026 14:39</t>
  </si>
  <si>
    <t>29/04/2026 11:09</t>
  </si>
  <si>
    <t xml:space="preserve"> RUA MARTINS FONTES</t>
  </si>
  <si>
    <t>sem fotos os aberta apos execucao do servico
sem etapa de roposicao servico feito na vala de prolongamento de esgoto</t>
  </si>
  <si>
    <t>29/04/2026 15:10</t>
  </si>
  <si>
    <t>OS ABERTA POSTERIORMENTE A EXZECUÇÃO DO SERVIÇO</t>
  </si>
  <si>
    <t xml:space="preserve"> RUA BENEDITO CLIMERIO DE SANTANA</t>
  </si>
  <si>
    <t>VARZEA DO PALACIO</t>
  </si>
  <si>
    <t>29/04/2026 17:24</t>
  </si>
  <si>
    <t>ANT. 20</t>
  </si>
  <si>
    <t xml:space="preserve"> RUA CAETANO DE ANDREA</t>
  </si>
  <si>
    <t>ANT. 45</t>
  </si>
  <si>
    <t>29/04/2026 14:19</t>
  </si>
  <si>
    <t>29/04/2026 16:28</t>
  </si>
  <si>
    <t>Não foi possível com polícia conhecer de foto devido a chuva intensa no local com o acompanhamento do fiscal André</t>
  </si>
  <si>
    <t>30/04/2026</t>
  </si>
  <si>
    <t>30/04/2026 09:03</t>
  </si>
  <si>
    <t>Não foi possível concluir sequências de foto devido à chuva intensa no local com acompanhamento do fiscal André</t>
  </si>
  <si>
    <t>30/04/2026 08:59</t>
  </si>
  <si>
    <t>ANT. 56</t>
  </si>
  <si>
    <t xml:space="preserve"> RUA LACTEA</t>
  </si>
  <si>
    <t>30/04/2026 08:30</t>
  </si>
  <si>
    <t>PQ DAS LARANJEIRAS</t>
  </si>
  <si>
    <t xml:space="preserve"> RUA FELIPE MARCONDES RUBIO</t>
  </si>
  <si>
    <t>foi reutilizado a mesma peça</t>
  </si>
  <si>
    <t>30/04/2026 12:24</t>
  </si>
  <si>
    <t xml:space="preserve">foi executado uma troca de ramal de agua preventiva. </t>
  </si>
  <si>
    <t>30/04/2026 10:55</t>
  </si>
  <si>
    <t xml:space="preserve"> RUA PROCOPIO FERREIRA</t>
  </si>
  <si>
    <t>CASA  01</t>
  </si>
  <si>
    <t xml:space="preserve">não foi possível concluir sequência de fotos correto porém o celular travou quando fui finalizar </t>
  </si>
  <si>
    <t>30/04/2026 16:20</t>
  </si>
  <si>
    <t xml:space="preserve"> RUA JUIZ DE FORA</t>
  </si>
  <si>
    <t>30/04/2026 10:33</t>
  </si>
  <si>
    <t xml:space="preserve"> RUA SAO TIAGO</t>
  </si>
  <si>
    <t>JD COCAIA</t>
  </si>
  <si>
    <t>30/04/2026 10:08</t>
  </si>
  <si>
    <t>fotos na OS 2617947553</t>
  </si>
  <si>
    <t>30/04/2026 10:09</t>
  </si>
  <si>
    <t xml:space="preserve"> RUA SAO BENEDITO</t>
  </si>
  <si>
    <t>JD DOS AFONSOS</t>
  </si>
  <si>
    <t>30/04/2026 09:19</t>
  </si>
  <si>
    <t>30/04/2026 13:31</t>
  </si>
  <si>
    <t xml:space="preserve"> RUA COMENDADOR GOMES</t>
  </si>
  <si>
    <t>30/04/2026 13:19</t>
  </si>
  <si>
    <t>casa b C/1</t>
  </si>
  <si>
    <t>fotos na os 2617306556</t>
  </si>
  <si>
    <t>30/04/2026 14:23</t>
  </si>
  <si>
    <t>feiti aprovetamento de ramal.fotos inconpletas obras no local</t>
  </si>
  <si>
    <t>30/04/2026 15:47</t>
  </si>
  <si>
    <t>30/04/2026 15:34</t>
  </si>
  <si>
    <t xml:space="preserve"> RUA BARTOLOMEU BUENO DA SILVA</t>
  </si>
  <si>
    <t>ESPLAN DAS BANDEIRAS</t>
  </si>
  <si>
    <t xml:space="preserve"> RUA MATO GROSSO</t>
  </si>
  <si>
    <t>CASA 4</t>
  </si>
  <si>
    <t>30/04/2026 11:39</t>
  </si>
  <si>
    <t>30/04/2026 12:05</t>
  </si>
  <si>
    <t xml:space="preserve"> RUA PIRAI DO SUL</t>
  </si>
  <si>
    <t>30/04/2026 15:38</t>
  </si>
  <si>
    <t xml:space="preserve"> RUA SOLDADO JOSE LEITE DA SILVA</t>
  </si>
  <si>
    <t>30/04/2026 16:04</t>
  </si>
  <si>
    <t>ANT. 168</t>
  </si>
  <si>
    <t>30/04/2026 16:35</t>
  </si>
  <si>
    <t xml:space="preserve"> RUA VEREADOR ALFREDO PAIVA</t>
  </si>
  <si>
    <t>porém fotos tiradas na OS</t>
  </si>
  <si>
    <t>30/04/2026 12:39</t>
  </si>
  <si>
    <t xml:space="preserve">não tem reposição obra no local </t>
  </si>
  <si>
    <t>30/04/2026 11:41</t>
  </si>
  <si>
    <t>30/04/2026 13:53</t>
  </si>
  <si>
    <t>ANT 13</t>
  </si>
  <si>
    <t>JD SCYNTILA</t>
  </si>
  <si>
    <t>ANT. 265</t>
  </si>
  <si>
    <t>troca de ramal feita,porém ficou suprimido na calçada.cliente ausente ...precisa fazer o pé do cavalete</t>
  </si>
  <si>
    <t>30/04/2026 15:45</t>
  </si>
  <si>
    <t>Equipe</t>
  </si>
  <si>
    <t>Observação Escoramento</t>
  </si>
  <si>
    <t>FINALIZADO</t>
  </si>
  <si>
    <t xml:space="preserve">Observação Finalizado </t>
  </si>
  <si>
    <t>SEQUÊNCIA DE FOTOS</t>
  </si>
  <si>
    <t xml:space="preserve"> RUA ENGENHEIRO ALBERT LEIMER</t>
  </si>
  <si>
    <t>TROCA DE RAMAL DE ESGOTO</t>
  </si>
  <si>
    <t>JOAO RIBEIRO PEREIRA</t>
  </si>
  <si>
    <t xml:space="preserve"> RUA CORINA</t>
  </si>
  <si>
    <t>ANT.N°-36</t>
  </si>
  <si>
    <t>NIVELADO POÇO DE VISITA</t>
  </si>
  <si>
    <t>ANDRE PEREIRA DE FREITAS</t>
  </si>
  <si>
    <t>ANT. 76</t>
  </si>
  <si>
    <t>ANT. 1040</t>
  </si>
  <si>
    <t xml:space="preserve"> VIELA SEIS</t>
  </si>
  <si>
    <t>CICERO BELO DE SANTANA</t>
  </si>
  <si>
    <t xml:space="preserve"> RUA CROQUETA</t>
  </si>
  <si>
    <t>ANT13C/2</t>
  </si>
  <si>
    <t xml:space="preserve"> AVENIDA LARANJAL PAULISTA</t>
  </si>
  <si>
    <t>obs as fotos estao no wshapp.</t>
  </si>
  <si>
    <t>ANT 47</t>
  </si>
  <si>
    <t>obs serviço execultado na rua Narciso Gomea De Oliveira esquina do farol piscante da Av jamil joao Zarif.as fotos estao via wshapp.</t>
  </si>
  <si>
    <t xml:space="preserve"> RUA AUGUSTA DOS SANTOS AUGUSTO</t>
  </si>
  <si>
    <t>AC/1</t>
  </si>
  <si>
    <t xml:space="preserve"> RUA SAO BERNARDO</t>
  </si>
  <si>
    <t>ANTIGO 77</t>
  </si>
  <si>
    <t>SONDAGEM DE REDE DE ESGOTO</t>
  </si>
  <si>
    <t>FOTOS NA OS, ERRO DE PLANEJAMENTO, EXECUTADO UMA RECOSNTRUÇÃO DO PI E TROCA DO TAMPÃO
PRODUNDIDADE 1.10 REPOSIÇÃO ALFALTO 1 X 3</t>
  </si>
  <si>
    <t xml:space="preserve"> RUA SOLDADO CLITO ANTONIO DE ARAUJO</t>
  </si>
  <si>
    <t>ANT17C/1</t>
  </si>
  <si>
    <t xml:space="preserve"> AVENIDA SANTANA</t>
  </si>
  <si>
    <t>ANT-13 B B</t>
  </si>
  <si>
    <t>TROCA DE TAMPÃO DE POÇO DE INSPEÇÃO</t>
  </si>
  <si>
    <t>REALIZADO TROCA DO TAMPÃO COM LAJE, FOTOS NA OS, REPOSIÇÃO CAPA ASFALTICA 1,5 X 1,5</t>
  </si>
  <si>
    <t>FALTA TRENA,  RÉGUA E CARIMBO</t>
  </si>
  <si>
    <t>RECONSTRUIR POÇO DE INSPEÇÃO</t>
  </si>
  <si>
    <t>RECONSTRUIDO POÇO DE INSPEÇÃO</t>
  </si>
  <si>
    <t>FOTOS NA OS PRINCIPAL, ERRO DE PLANEJAMENTO, EXECUTADO UMA RECOSNTRUÇÃO DO PI E TROCA DO TAMPÃO
PRODUNDIDADE 1.10 REPOSIÇÃO ALFALTO 1 X 3</t>
  </si>
  <si>
    <t>TROCAR TAMPÃO DE POÇO DE INSPEÇÃO/VISITA</t>
  </si>
  <si>
    <t xml:space="preserve"> RUA PARATI</t>
  </si>
  <si>
    <t>ANT 194</t>
  </si>
  <si>
    <t xml:space="preserve"> RUA OTAVIO NUNES DA SILVA</t>
  </si>
  <si>
    <t>ANT. 382</t>
  </si>
  <si>
    <t xml:space="preserve"> RUA JAMIL JOAO ZARIF</t>
  </si>
  <si>
    <t>NIVELADO POÇO DE INSPEÇÃO</t>
  </si>
  <si>
    <t xml:space="preserve">foi  colocado uma laje </t>
  </si>
  <si>
    <t xml:space="preserve"> RUA SÃO SEBASTIAO</t>
  </si>
  <si>
    <t>ANT150AA</t>
  </si>
  <si>
    <t>V SIRENA</t>
  </si>
  <si>
    <t xml:space="preserve"> RUA SAO JOAQUIM</t>
  </si>
  <si>
    <t>ANTIGO 496</t>
  </si>
  <si>
    <t>PASSAR RAMAL DE ESGOTO PARA NOVA REDE</t>
  </si>
  <si>
    <t>ANT 884</t>
  </si>
  <si>
    <t>PASSADO RAMAL DE ESGOTO PARA NOVA REDE</t>
  </si>
  <si>
    <t>"Sem reposição ex na vala do remanejamento.
Obs; Fotos na OS:2610331303
Eq: Jovane"</t>
  </si>
  <si>
    <t>JOVANE DOS SANTOS MARTINS</t>
  </si>
  <si>
    <t>"Sem reposição ex na vala do remanejamento.
Obs; Fotos na OS:2612565561.
Eq: Gabriel."</t>
  </si>
  <si>
    <t>FERNANDO CRUZ DE OLIVEIRA</t>
  </si>
  <si>
    <t>ANT38C1</t>
  </si>
  <si>
    <t>"Sem reposição ex na vala do remanejamento.
Obs: Fotos na OS:2612565561.
Eq: Gabriel"</t>
  </si>
  <si>
    <t>ANTIGO 138</t>
  </si>
  <si>
    <t>ANT 266</t>
  </si>
  <si>
    <t>ANT 452</t>
  </si>
  <si>
    <t>ANT 54</t>
  </si>
  <si>
    <t>"Sem reposição ex na vala do remanejamento.
Obs; Fotos na OS:269201658
Eq: Gabriel"</t>
  </si>
  <si>
    <t>"Sem reposição ex na vala do remanejamento.
Obs: Fotos na OS:2612565561.
Eq: Gabriel."</t>
  </si>
  <si>
    <t>CS1</t>
  </si>
  <si>
    <t>CASA 01.</t>
  </si>
  <si>
    <t xml:space="preserve"> RUA ROMENIA</t>
  </si>
  <si>
    <t xml:space="preserve"> RUA ARACY VALENTE</t>
  </si>
  <si>
    <t>PQ MIKAIL</t>
  </si>
  <si>
    <t xml:space="preserve"> RUA JOSEFINA RIEDEL DE BARROS</t>
  </si>
  <si>
    <t xml:space="preserve"> RUA EUGENIO DIAMANTE</t>
  </si>
  <si>
    <t>ANT. 54</t>
  </si>
  <si>
    <t>ANT. 28</t>
  </si>
  <si>
    <t xml:space="preserve"> RUA ABRAHAM LINCOLN</t>
  </si>
  <si>
    <t xml:space="preserve"> AVENIDA SETE DE SETEMBRO</t>
  </si>
  <si>
    <t>RENATO APARECIDO ROSA</t>
  </si>
  <si>
    <t>VALDIK MENDES DE JESUS</t>
  </si>
  <si>
    <t xml:space="preserve"> RUA ARMAZEM</t>
  </si>
  <si>
    <t xml:space="preserve"> ESTRADA DAVID CORREA</t>
  </si>
  <si>
    <t>ANTIGO 82</t>
  </si>
  <si>
    <t>Fotos na OS:2613869942.</t>
  </si>
  <si>
    <t>13/04/2026 07:30</t>
  </si>
  <si>
    <t>CASA - 01</t>
  </si>
  <si>
    <t>ANT130</t>
  </si>
  <si>
    <t>Sem reposição ex na vala do remanejamento.
Obs: Fotos na OS:2613870195.
Eq: Gabriel.</t>
  </si>
  <si>
    <t>13/04/2026 14:31</t>
  </si>
  <si>
    <t>13/04/2026 14:32</t>
  </si>
  <si>
    <t>ANT 129</t>
  </si>
  <si>
    <t xml:space="preserve">
Sem reposição ex na vala do remanejamento.
Obs: Fotos na OS:2613870195.
Eq: Gabriel.</t>
  </si>
  <si>
    <t>13/04/2026 14:01</t>
  </si>
  <si>
    <t>ANT 564</t>
  </si>
  <si>
    <t>ANT127FC</t>
  </si>
  <si>
    <t>Sem reposição ex na vala do remanejamento.
Obd: Fotos na OS:2613869556.
Eq: Cícero belo</t>
  </si>
  <si>
    <t>ANT.161</t>
  </si>
  <si>
    <t>ANT. 205</t>
  </si>
  <si>
    <t>ANT35E208</t>
  </si>
  <si>
    <t>ANT. 207</t>
  </si>
  <si>
    <t>ANT. 125</t>
  </si>
  <si>
    <t>ANT.210</t>
  </si>
  <si>
    <t>ANT. 214</t>
  </si>
  <si>
    <t>QUADRA  10</t>
  </si>
  <si>
    <t>RECONSTRUIR POÇO DE VISITA</t>
  </si>
  <si>
    <t>RECONSTRUIDO POÇO DE VISITA</t>
  </si>
  <si>
    <t>14/04/2026 07:01</t>
  </si>
  <si>
    <t>ANT22</t>
  </si>
  <si>
    <t>Sem reposição ex na vala do remanejamento.
Os: Fotos na OS:2612565561.
Eq: Gabriel.</t>
  </si>
  <si>
    <t>14/04/2026 09:01</t>
  </si>
  <si>
    <t>ANTIGO 160</t>
  </si>
  <si>
    <t>ANTIG0 121</t>
  </si>
  <si>
    <t>Sem reposição ex na vala do remanejamento.
Os: Fotos na OS:2612565561.
Eq: Gabriel</t>
  </si>
  <si>
    <t xml:space="preserve"> RUA SANTA CATARINA</t>
  </si>
  <si>
    <t xml:space="preserve"> AVENIDA MARIA CERRI</t>
  </si>
  <si>
    <t>ANT 117</t>
  </si>
  <si>
    <t>CASA 03.</t>
  </si>
  <si>
    <t>16/04/2026 10:51</t>
  </si>
  <si>
    <t>Sem reposição ex na vala do remanejamento.
Obs: Fotos na OS:2613869808.</t>
  </si>
  <si>
    <t>16/04/2026 14:01</t>
  </si>
  <si>
    <t>ANT, 100 A</t>
  </si>
  <si>
    <t xml:space="preserve">
Sem reposição ex na vala do remanejamento.
Obs: Fotos na OS:2613869808.</t>
  </si>
  <si>
    <t>ANT, 65</t>
  </si>
  <si>
    <t>ANT, 103</t>
  </si>
  <si>
    <t>ANTN??160</t>
  </si>
  <si>
    <t>ANT.1</t>
  </si>
  <si>
    <t>ANT, 127</t>
  </si>
  <si>
    <t>ANT, 10 A</t>
  </si>
  <si>
    <t>ANT, 5</t>
  </si>
  <si>
    <t>ANT, 7</t>
  </si>
  <si>
    <t>ANT.75</t>
  </si>
  <si>
    <t>Fotos na OS:2613869556.</t>
  </si>
  <si>
    <t>16/04/2026 07:30</t>
  </si>
  <si>
    <t>ANT.7 C/1</t>
  </si>
  <si>
    <t>ANT.263</t>
  </si>
  <si>
    <t xml:space="preserve"> Fotos na OS:2613869556.</t>
  </si>
  <si>
    <t>ANT18AA</t>
  </si>
  <si>
    <t>ANT.  18</t>
  </si>
  <si>
    <t>ANT.  236</t>
  </si>
  <si>
    <t>ANT.238</t>
  </si>
  <si>
    <t>17/04/2026 09:28</t>
  </si>
  <si>
    <t xml:space="preserve"> RUA CACHOEIRA</t>
  </si>
  <si>
    <t xml:space="preserve"> RUA CABRALIA</t>
  </si>
  <si>
    <t>ANTIGO 3B</t>
  </si>
  <si>
    <t>17/04/2026 16:47</t>
  </si>
  <si>
    <t>17/04/2026 10:58</t>
  </si>
  <si>
    <t xml:space="preserve"> RUA FELIPE CABRAL VASCONCELOS</t>
  </si>
  <si>
    <t>CASA-01</t>
  </si>
  <si>
    <t>ANT. 58</t>
  </si>
  <si>
    <t>ANT 250</t>
  </si>
  <si>
    <t>Sem reposição ex na vala do remanejamento.
Obs: Fotos na OS:2610656571.
Eq: Gilvan Birrinha .</t>
  </si>
  <si>
    <t>22/04/2026 07:01</t>
  </si>
  <si>
    <t>ANT 1330</t>
  </si>
  <si>
    <t>ANT 1334</t>
  </si>
  <si>
    <t>ANT 1338</t>
  </si>
  <si>
    <t>C/1ANT612</t>
  </si>
  <si>
    <t>ANT 06 B</t>
  </si>
  <si>
    <t>ANT 1290</t>
  </si>
  <si>
    <t>Sem reposição ex na vala do remanejamento.
Obs: Fotos na OS:2610656571.
Eq: Gilvan Birrinha</t>
  </si>
  <si>
    <t>Sem reposição ex na vala do remanejamento.
Obs: Fotos na OS:2615539006.</t>
  </si>
  <si>
    <t>C/1ANT14AA</t>
  </si>
  <si>
    <t>ANT. 8 D</t>
  </si>
  <si>
    <t>ANT14CC</t>
  </si>
  <si>
    <t>ANT, 6 C</t>
  </si>
  <si>
    <t>C/1ANT13AA</t>
  </si>
  <si>
    <t>ANT12AA</t>
  </si>
  <si>
    <t>ANTIGO 351</t>
  </si>
  <si>
    <t>ANT. 526</t>
  </si>
  <si>
    <t>C/1ANT10</t>
  </si>
  <si>
    <t>C/2ANT51</t>
  </si>
  <si>
    <t>Sem reposição ex na vala do remanejamento.
Obs: Fotos na OS:2614794424.
Eq: Jovane.</t>
  </si>
  <si>
    <t>26 A</t>
  </si>
  <si>
    <t>ANTG Nº 19</t>
  </si>
  <si>
    <t>42 C</t>
  </si>
  <si>
    <t xml:space="preserve">
Sem reposição ex na vala do remanejamento.
Obs: Fotos na OS:2614794424.
Eq: Jovane.</t>
  </si>
  <si>
    <t>ANT50C/1</t>
  </si>
  <si>
    <t xml:space="preserve">fotos na os principal </t>
  </si>
  <si>
    <t xml:space="preserve"> RUA PASCHOALINO CAMIZOTTI</t>
  </si>
  <si>
    <t xml:space="preserve"> RUA BARRA MANSA</t>
  </si>
  <si>
    <t>ANT. 9A</t>
  </si>
  <si>
    <t>Sem reposição ex na vala do remanejamento.
Obs: Fotos na OS:2614627408.
Eq: Jovane.</t>
  </si>
  <si>
    <t>24/04/2026 07:01</t>
  </si>
  <si>
    <t>A A</t>
  </si>
  <si>
    <t>ANT 7</t>
  </si>
  <si>
    <t>Sem reposição ex na vala do remanejamento.
Obs: Fotos na OS:2614627408.
Eq: Jovane</t>
  </si>
  <si>
    <t>ANTNº210</t>
  </si>
  <si>
    <t>ANT210A</t>
  </si>
  <si>
    <t>Sem reposição ex na vala do remanejamento.
Obs: Fotos na OS:2614627408.</t>
  </si>
  <si>
    <t xml:space="preserve">
Sem reposição ex na vala do remanejamento.
Obs: Fotos na OS:2614627408.
Eq: Jovane.</t>
  </si>
  <si>
    <t>ANT 100</t>
  </si>
  <si>
    <t>ANT 9</t>
  </si>
  <si>
    <t>C/1ANT5</t>
  </si>
  <si>
    <t>ANT82C/1</t>
  </si>
  <si>
    <t>ANT 3</t>
  </si>
  <si>
    <t>ANTIGO 6</t>
  </si>
  <si>
    <t>27/04/2026 07:01</t>
  </si>
  <si>
    <t xml:space="preserve"> RUA PORTO UNIAO</t>
  </si>
  <si>
    <t>ANT 260</t>
  </si>
  <si>
    <t>Sem reposição ex na vala do remanejamento.
OBS: Fotos na OS:2615685588.</t>
  </si>
  <si>
    <t>ANT 21 A</t>
  </si>
  <si>
    <t>ANT 6</t>
  </si>
  <si>
    <t>ANT 39</t>
  </si>
  <si>
    <t>ANT 38</t>
  </si>
  <si>
    <t>ANT-44</t>
  </si>
  <si>
    <t>ANT.Nº 8</t>
  </si>
  <si>
    <t>ANT.8B</t>
  </si>
  <si>
    <t>Fotos na OS:2615685588.</t>
  </si>
  <si>
    <t>27/04/2026 07:30</t>
  </si>
  <si>
    <t>ANT 9 A</t>
  </si>
  <si>
    <t>ANT64</t>
  </si>
  <si>
    <t>9/CCANTD4</t>
  </si>
  <si>
    <t>ANT11 C/1</t>
  </si>
  <si>
    <t xml:space="preserve"> Fotos na OS:2615685588.</t>
  </si>
  <si>
    <t>Sem reposição ex na vala do remanejamento.
Obs: Fotos na OS:2614793765.
Eq: Gabriel.</t>
  </si>
  <si>
    <t>27/04/2026 08:01</t>
  </si>
  <si>
    <t>27/04/2026 09:01</t>
  </si>
  <si>
    <t>27/04/2026 12:01</t>
  </si>
  <si>
    <t>Fotos na OS:2613869365.
Eq: Gilvan Rocha .</t>
  </si>
  <si>
    <t>28/04/2026 07:30</t>
  </si>
  <si>
    <t>C/1ANT2AFD</t>
  </si>
  <si>
    <t xml:space="preserve"> Fotos na OS:2613869365.
Eq: Gilvan Rocha .</t>
  </si>
  <si>
    <t>Sem reposição ex na vala do remanejamento.
Obs: Fotos na OS:2613869365.</t>
  </si>
  <si>
    <t>28/04/2026 07:01</t>
  </si>
  <si>
    <t>Sem reposição ex na vala do remanejamento.
Obs: Fotos na OS:2613869365</t>
  </si>
  <si>
    <t>ANT33</t>
  </si>
  <si>
    <t>Fotos na OS:2613869365.
Eq: Gilvan Rocha</t>
  </si>
  <si>
    <t>ANT. 289</t>
  </si>
  <si>
    <t>ANT. 39</t>
  </si>
  <si>
    <t>ANT. 46</t>
  </si>
  <si>
    <t>ANT. 1111</t>
  </si>
  <si>
    <t>ANT. 391</t>
  </si>
  <si>
    <t>ANT. 395</t>
  </si>
  <si>
    <t>ANT. 54  A</t>
  </si>
  <si>
    <t>ANT.13</t>
  </si>
  <si>
    <t>13 B</t>
  </si>
  <si>
    <t>C/1ANT145</t>
  </si>
  <si>
    <t>ANT.16</t>
  </si>
  <si>
    <t>ANT 149</t>
  </si>
  <si>
    <t>27 CASA 2.</t>
  </si>
  <si>
    <t>Fotos na OS:2613869365.
Eq: Gilvan Rocha.</t>
  </si>
  <si>
    <t>ANT257</t>
  </si>
  <si>
    <t>28/04/2026 11:01</t>
  </si>
  <si>
    <t>C1</t>
  </si>
  <si>
    <t>Fotos na OS:2613869365
Eq: Gilvan Rocha</t>
  </si>
  <si>
    <t>ANTIGO 17</t>
  </si>
  <si>
    <t>AMNTIGO14C</t>
  </si>
  <si>
    <t>ANT. 60</t>
  </si>
  <si>
    <t>ANT10,C/1</t>
  </si>
  <si>
    <t>ANT. 68 B</t>
  </si>
  <si>
    <t>ANT. 67</t>
  </si>
  <si>
    <t>ANT6C/1</t>
  </si>
  <si>
    <t>ANT. 6 C/1</t>
  </si>
  <si>
    <t>ANT - 402</t>
  </si>
  <si>
    <t xml:space="preserve"> Fotos na OS:2613869365.
Eq: Gilvan Rocha</t>
  </si>
  <si>
    <t>C/1ANT44</t>
  </si>
  <si>
    <t>ANT 23 A</t>
  </si>
  <si>
    <t>ANT. 23 B</t>
  </si>
  <si>
    <t>ANT29</t>
  </si>
  <si>
    <t>ANT.21</t>
  </si>
  <si>
    <t>ANT 36</t>
  </si>
  <si>
    <t xml:space="preserve"> RUA DOM JOAO</t>
  </si>
  <si>
    <t>ANT 24</t>
  </si>
  <si>
    <t>30/04/2026 07:01</t>
  </si>
  <si>
    <t>JD SANTA BARBARA</t>
  </si>
  <si>
    <t>30/04/2026 16:42</t>
  </si>
  <si>
    <t xml:space="preserve"> Fotos na OS:2613869556.
Eq: Gilvan Birrinha .</t>
  </si>
  <si>
    <t>30/04/2026 07:30</t>
  </si>
  <si>
    <t>Fotos na OS:2613869556.
Eq: Gilvan Birrinha .</t>
  </si>
  <si>
    <t>otos na OS:2613869556.
Eq: Gilvan Birrinha .</t>
  </si>
  <si>
    <t>ANT90AAC/1</t>
  </si>
  <si>
    <t>C/1ANT12</t>
  </si>
  <si>
    <t>ANT.11</t>
  </si>
  <si>
    <t>ANT15BAIXO</t>
  </si>
  <si>
    <t>ANT.268</t>
  </si>
  <si>
    <t>ANTIGO 101</t>
  </si>
  <si>
    <t>Sem reposição ex na vala do remanejamento.
Obs: Fotos na OS:2617152433.</t>
  </si>
  <si>
    <t>30/04/2026 12:01</t>
  </si>
  <si>
    <t>30/04/2026 10:01</t>
  </si>
  <si>
    <t>ANT 144</t>
  </si>
  <si>
    <t>C/1ANTN°36</t>
  </si>
  <si>
    <t>ANT 5</t>
  </si>
  <si>
    <t>A NT 168 A</t>
  </si>
  <si>
    <t>ANT 15</t>
  </si>
  <si>
    <t>ANT 101 A</t>
  </si>
  <si>
    <t>O s: Fotos na OS:2617152433.
Eq: Gilvan Birrinha .</t>
  </si>
  <si>
    <t>Observação fachada</t>
  </si>
  <si>
    <t>Observação antes</t>
  </si>
  <si>
    <t>Observação Hidrômetro</t>
  </si>
  <si>
    <t>Observação leitura</t>
  </si>
  <si>
    <t>Observação finalização</t>
  </si>
  <si>
    <t>PÓLO</t>
  </si>
  <si>
    <t xml:space="preserve"> RUA ADONIRAN BARBOSA</t>
  </si>
  <si>
    <t>ANT13C/1</t>
  </si>
  <si>
    <t>REPARO DE CAVALETE</t>
  </si>
  <si>
    <t xml:space="preserve"> RUA MARIA LUCIA</t>
  </si>
  <si>
    <t>TROCA DE REGISTRO DE CAVALETE</t>
  </si>
  <si>
    <t xml:space="preserve"> RUA URSA MAIOR</t>
  </si>
  <si>
    <t>TROCA DE CAVALETE (KIT)</t>
  </si>
  <si>
    <t>JOSE ANTONIO ALVES DE OLIVEIRA</t>
  </si>
  <si>
    <t xml:space="preserve"> RUA ZELINA BREDA SIMONATO</t>
  </si>
  <si>
    <t>ANT68/ C/1</t>
  </si>
  <si>
    <t xml:space="preserve"> ESTRADA DO MORRO DO SABAO</t>
  </si>
  <si>
    <t>TROCA DE PE DE CAVALETE PREVENTIVO</t>
  </si>
  <si>
    <t>C/2ANT3836</t>
  </si>
  <si>
    <t>FABIANO CALIXTO DE OLIVEIRA</t>
  </si>
  <si>
    <t xml:space="preserve"> RUA PEDRO MARCOS BARBOSA</t>
  </si>
  <si>
    <t>C/192</t>
  </si>
  <si>
    <t>TROCA DE CAVALETE POR UMA</t>
  </si>
  <si>
    <t>Sem foto da sinalização motivo rua sem acesso ao caminhão o caminhão longe do serviço</t>
  </si>
  <si>
    <t>C/292</t>
  </si>
  <si>
    <t>C/1ANT315</t>
  </si>
  <si>
    <t>CLEILTON FERREIRA DA SILVA</t>
  </si>
  <si>
    <t xml:space="preserve"> RUA JERONIMO MONTEIRO</t>
  </si>
  <si>
    <t>fotos na etapa  principal</t>
  </si>
  <si>
    <t xml:space="preserve"> RUA CASSIANO GOMES</t>
  </si>
  <si>
    <t>ANT 19 A</t>
  </si>
  <si>
    <t xml:space="preserve"> RUA TIM MAIA</t>
  </si>
  <si>
    <t xml:space="preserve"> RUA NILTON</t>
  </si>
  <si>
    <t>ANDRE DE OLIVEIRA ASSONI</t>
  </si>
  <si>
    <t xml:space="preserve"> RUA NOVO HORIZONTE</t>
  </si>
  <si>
    <t>ANT10C/1</t>
  </si>
  <si>
    <t>V TABATINGA</t>
  </si>
  <si>
    <t xml:space="preserve"> RUA LUIZ GAMA</t>
  </si>
  <si>
    <t>ANT. 246</t>
  </si>
  <si>
    <t>ANT8AC/1</t>
  </si>
  <si>
    <t xml:space="preserve">fotos do serviço na etapa principal </t>
  </si>
  <si>
    <t>AP63ºANDAR</t>
  </si>
  <si>
    <t xml:space="preserve"> RUA FORTALEZA NOGUEIRAS</t>
  </si>
  <si>
    <t>ANT12C/1</t>
  </si>
  <si>
    <t>READEQUADO CAVALETE</t>
  </si>
  <si>
    <t xml:space="preserve"> RUA SAMUEL FERREIRA DE FREITAS</t>
  </si>
  <si>
    <t>JD VERA</t>
  </si>
  <si>
    <t>com vaz interno,,fotos na o.s principal.</t>
  </si>
  <si>
    <t xml:space="preserve"> RUA PEDRO ARMANDO DONIZETE DE PADU</t>
  </si>
  <si>
    <t>CASA 02.</t>
  </si>
  <si>
    <t>foto na oss que abrimos.para baixa cavalete</t>
  </si>
  <si>
    <t xml:space="preserve"> RUA GUARATINGUETA</t>
  </si>
  <si>
    <t>ANT 234</t>
  </si>
  <si>
    <t>ANT66AC/1</t>
  </si>
  <si>
    <t xml:space="preserve"> AVENIDA PAULISTANA</t>
  </si>
  <si>
    <t xml:space="preserve"> RUA NOBEL DE ALMEIDA KUKE</t>
  </si>
  <si>
    <t>C/1ANT200</t>
  </si>
  <si>
    <t xml:space="preserve"> RUA EDUARDO PINHEIRO</t>
  </si>
  <si>
    <t>C/1ANT9B</t>
  </si>
  <si>
    <t xml:space="preserve"> RUA PERNAMBUCO</t>
  </si>
  <si>
    <t xml:space="preserve"> RUA HERVAL DO OESTE</t>
  </si>
  <si>
    <t>PQ DAS SERINGUEIRAS</t>
  </si>
  <si>
    <t xml:space="preserve"> RUA LAMARTINE BABO</t>
  </si>
  <si>
    <t>COM. 3</t>
  </si>
  <si>
    <t xml:space="preserve"> RUA SAO SEBASTIAO DA AMOREIRA</t>
  </si>
  <si>
    <t xml:space="preserve"> RUA CAPITAO ZINEU SIMIONATO</t>
  </si>
  <si>
    <t>problema interno.falou q vizinha lava roupa hidro nao para.</t>
  </si>
  <si>
    <t>ANT. 1015</t>
  </si>
  <si>
    <t>-ANT  1990</t>
  </si>
  <si>
    <t>fotos na os 2689448656</t>
  </si>
  <si>
    <t>25Q23C/2</t>
  </si>
  <si>
    <t>CASA  05</t>
  </si>
  <si>
    <t xml:space="preserve">sem fotos devido ser area de risco </t>
  </si>
  <si>
    <t>CASA 08</t>
  </si>
  <si>
    <t>ANT3C/1</t>
  </si>
  <si>
    <t>EMERSON JAMES COSTA DIAS</t>
  </si>
  <si>
    <t xml:space="preserve"> RUA JOAO LIBERATO DOS SANTOS</t>
  </si>
  <si>
    <t>REPARO DE REGISTRO DE CAVALETE</t>
  </si>
  <si>
    <t>DIOGO GERMANO SOUZA</t>
  </si>
  <si>
    <t>fotos na O.S principal</t>
  </si>
  <si>
    <t>ANT142C/1</t>
  </si>
  <si>
    <t>obs,,fotos na o.s principal.</t>
  </si>
  <si>
    <t xml:space="preserve"> RUA PETROPOLIS</t>
  </si>
  <si>
    <t xml:space="preserve"> RUA OCTACILIO MALHEIROS</t>
  </si>
  <si>
    <t>ANT. 218</t>
  </si>
  <si>
    <t>CASA1</t>
  </si>
  <si>
    <t>C/3ANT1038</t>
  </si>
  <si>
    <t>JD SANTA EUGENIA</t>
  </si>
  <si>
    <t>trocado kit uma , asfotos estão na OS 2689536929</t>
  </si>
  <si>
    <t xml:space="preserve"> RUA JOAO PAULO PIASSENTINI</t>
  </si>
  <si>
    <t>ANT. 37</t>
  </si>
  <si>
    <t xml:space="preserve"> RUA WALDOMIRO JOSE ANTONIO</t>
  </si>
  <si>
    <t>JD ELIANA</t>
  </si>
  <si>
    <t xml:space="preserve"> RUA TIJUCAS DO SUL</t>
  </si>
  <si>
    <t>BLOCO B</t>
  </si>
  <si>
    <t xml:space="preserve"> RUA PORTO AMAZONAS</t>
  </si>
  <si>
    <t>(ANT 33 A)</t>
  </si>
  <si>
    <t xml:space="preserve"> RUA FRANCISCO GOMES JORDAO</t>
  </si>
  <si>
    <t xml:space="preserve"> RUA JACAREI</t>
  </si>
  <si>
    <t xml:space="preserve"> RUA AIURUOCA</t>
  </si>
  <si>
    <t>fotos na etapa principal</t>
  </si>
  <si>
    <t>ANT. 61 A</t>
  </si>
  <si>
    <t xml:space="preserve"> RUA PALMITAL</t>
  </si>
  <si>
    <t xml:space="preserve"> AVENIDA ANIBAL MARTINS</t>
  </si>
  <si>
    <t>ANT. 747</t>
  </si>
  <si>
    <t xml:space="preserve"> RUA CHUMBO</t>
  </si>
  <si>
    <t xml:space="preserve"> RUA WALDOMIRO ABUD ZANARDI</t>
  </si>
  <si>
    <t>ANT. 172</t>
  </si>
  <si>
    <t xml:space="preserve"> RUA ALMIRANTE BARROSO</t>
  </si>
  <si>
    <t>ANT16AC/3</t>
  </si>
  <si>
    <t>JD SAO LUIZ</t>
  </si>
  <si>
    <t xml:space="preserve"> RUA NOVA AMERICA DA COLINA</t>
  </si>
  <si>
    <t>ANT31BC/1</t>
  </si>
  <si>
    <t>JD SUELI</t>
  </si>
  <si>
    <t xml:space="preserve"> RUA VIVENCIA</t>
  </si>
  <si>
    <t>ANT 140</t>
  </si>
  <si>
    <t xml:space="preserve"> RUA PORTUGUESA</t>
  </si>
  <si>
    <t>ANT. 89</t>
  </si>
  <si>
    <t xml:space="preserve"> RUA SAO BENTO ABADE</t>
  </si>
  <si>
    <t xml:space="preserve"> VIELA BARBOSA</t>
  </si>
  <si>
    <t>obs,o.s aberta apos execucao do servico,fotos na  2689603558.</t>
  </si>
  <si>
    <t xml:space="preserve"> RUA CRISSIUMAL</t>
  </si>
  <si>
    <t>INSTALADO LACRE DIVERSOS</t>
  </si>
  <si>
    <t xml:space="preserve"> VIELA QUATRO</t>
  </si>
  <si>
    <t xml:space="preserve"> RUA CANDIDO DE ABREU</t>
  </si>
  <si>
    <t xml:space="preserve"> RUA ARMINDA DE LIMA</t>
  </si>
  <si>
    <t>ANTG. 863</t>
  </si>
  <si>
    <t xml:space="preserve"> RUA JOAO CARLOS RODRIGUES</t>
  </si>
  <si>
    <t>ANT 40</t>
  </si>
  <si>
    <t xml:space="preserve">fotos na OS principal do serviço,  material usado lacre </t>
  </si>
  <si>
    <t>ANT. 194</t>
  </si>
  <si>
    <t xml:space="preserve">  </t>
  </si>
  <si>
    <t xml:space="preserve"> RUA VALMERINDO DA SILVA</t>
  </si>
  <si>
    <t>sem foto area de risco</t>
  </si>
  <si>
    <t xml:space="preserve"> RUA CELESTE FERNANDES DALPHORNO</t>
  </si>
  <si>
    <t>ANT. 22 A</t>
  </si>
  <si>
    <t>JD RENZO</t>
  </si>
  <si>
    <t>ANT21AC/S2</t>
  </si>
  <si>
    <t xml:space="preserve"> RUA SAMAMBAIA</t>
  </si>
  <si>
    <t>ANT.535</t>
  </si>
  <si>
    <t xml:space="preserve">baixando sem foto devido ser área de risco , material usado lacre </t>
  </si>
  <si>
    <t xml:space="preserve">serviço executado sem foto devido se ária  de risco </t>
  </si>
  <si>
    <t>NÃO TIROU FOTO DEVIDO ÁREA DE RISCO</t>
  </si>
  <si>
    <t>CASA  03</t>
  </si>
  <si>
    <t>EALIZADO REPOSIÇÃO CIMENTADO 1X1</t>
  </si>
  <si>
    <t>REALIZADO, FOTOS NA REDE, REPOSIÇÃO ABERTA NA OS CASA 4 2612561652</t>
  </si>
  <si>
    <t>REALIZADO, FOTOS NA REDE, REPOSIÇÃO OK</t>
  </si>
  <si>
    <t xml:space="preserve"> RUA ROMEU ZELANTI</t>
  </si>
  <si>
    <t xml:space="preserve"> RUA LOURENCO GONCALVES NUNES</t>
  </si>
  <si>
    <t>ANT. 33</t>
  </si>
  <si>
    <t xml:space="preserve"> RUA HELENA MARIA</t>
  </si>
  <si>
    <t>ANT. 435</t>
  </si>
  <si>
    <t>ANT. 169</t>
  </si>
  <si>
    <t>ANT185C/2</t>
  </si>
  <si>
    <t xml:space="preserve"> RUA HIDEO SINZATO</t>
  </si>
  <si>
    <t>ANT 18 B</t>
  </si>
  <si>
    <t>fotos enviada via wattzapp</t>
  </si>
  <si>
    <t xml:space="preserve"> RUA DOS CORRETORES DE IMOVEIS</t>
  </si>
  <si>
    <t>ANT 01 A</t>
  </si>
  <si>
    <t xml:space="preserve"> RUA LUONGO</t>
  </si>
  <si>
    <t xml:space="preserve"> RUA ELISA</t>
  </si>
  <si>
    <t>UTILIZOU O PDA CORRETAMENTE</t>
  </si>
  <si>
    <t xml:space="preserve"> RUA NOVA IGUACU</t>
  </si>
  <si>
    <t>ANT136</t>
  </si>
  <si>
    <t>REALIZADO TROCA
REPOSIÇÃO CONCRETO PASSEIO E REPOSIÇÃO PISO INTERNO ESPECIAL, FOTOS NA REDE</t>
  </si>
  <si>
    <t xml:space="preserve"> RUA DOUTOR LAERTE ROMUALDO DE SOUZA</t>
  </si>
  <si>
    <t xml:space="preserve"> RUA UBIRATA</t>
  </si>
  <si>
    <t>ANT. 197</t>
  </si>
  <si>
    <t xml:space="preserve"> AVENIDA MEM DE SA</t>
  </si>
  <si>
    <t>cliente reclama de pouca pressao foi feita a roça de registro</t>
  </si>
  <si>
    <t>SEVERINO JOSE DA SILVA FILHO</t>
  </si>
  <si>
    <t xml:space="preserve"> AVENIDA DOUTOR CARLOS AP RABELLO DE FREITAS</t>
  </si>
  <si>
    <t>C/1ANT7A</t>
  </si>
  <si>
    <t>ANA CAROLINA FERREIRA SILVA</t>
  </si>
  <si>
    <t>REGISTRO DO CAVALETE INVERTIDO</t>
  </si>
  <si>
    <t>V NSRA DE FATIMA</t>
  </si>
  <si>
    <t xml:space="preserve"> RUA GAMA</t>
  </si>
  <si>
    <t>fotos enviada por wattzap</t>
  </si>
  <si>
    <t>fotos via wattzapp</t>
  </si>
  <si>
    <t>ANT198</t>
  </si>
  <si>
    <t xml:space="preserve"> RUA SANTO ANTONIO DO AVENTUREIRO</t>
  </si>
  <si>
    <t>JD KAWAMOTO</t>
  </si>
  <si>
    <t>obs ,o.s aberta apos execucao do servico ,fotos na o. s principal.</t>
  </si>
  <si>
    <t xml:space="preserve"> RUA COQUEIRO</t>
  </si>
  <si>
    <t xml:space="preserve"> RUA SEG SARGENTO SEBASTIAO DA COSTA CHAVES</t>
  </si>
  <si>
    <t xml:space="preserve"> RUA GERALDO AUGUSTO DA SILVA</t>
  </si>
  <si>
    <t>C/1ANT246</t>
  </si>
  <si>
    <t xml:space="preserve"> RUA LUCINDA FERNANDES CARLOS</t>
  </si>
  <si>
    <t>C/1ANT163E</t>
  </si>
  <si>
    <t xml:space="preserve"> RUA PALMAS DE MONTE ALTO</t>
  </si>
  <si>
    <t xml:space="preserve"> RUA DOUTOR SEBASTIAO FERRAZ</t>
  </si>
  <si>
    <t>C/1ANT39</t>
  </si>
  <si>
    <t xml:space="preserve"> RUA LEILA NUNES</t>
  </si>
  <si>
    <t>ANT.5 C C</t>
  </si>
  <si>
    <t xml:space="preserve"> RUA CAMILO</t>
  </si>
  <si>
    <t xml:space="preserve"> RUA JOSE VILANO</t>
  </si>
  <si>
    <t>ANT. 3 B</t>
  </si>
  <si>
    <t xml:space="preserve"> RUA BENEDITO TRIELI DE LIMA</t>
  </si>
  <si>
    <t>fotos do serviço na OS 2614525739</t>
  </si>
  <si>
    <t xml:space="preserve"> RUA PAPA JOAO XXIII</t>
  </si>
  <si>
    <t>C/2ANT141</t>
  </si>
  <si>
    <t>C/4ANT16</t>
  </si>
  <si>
    <t xml:space="preserve"> RUA MARCELO FRANCISCO</t>
  </si>
  <si>
    <t>fotos na os 2689752076</t>
  </si>
  <si>
    <t xml:space="preserve"> RUA BORBA DA MATA</t>
  </si>
  <si>
    <t xml:space="preserve"> RUA MANGANES</t>
  </si>
  <si>
    <t>ANT13AC/3</t>
  </si>
  <si>
    <t xml:space="preserve"> RUA SAO DANIEL</t>
  </si>
  <si>
    <t>C/1ANT161</t>
  </si>
  <si>
    <t xml:space="preserve"> RUA IZAURA QUEDAS</t>
  </si>
  <si>
    <t xml:space="preserve"> RUA RENATO RUSSO</t>
  </si>
  <si>
    <t xml:space="preserve"> RUA ISMAEL MANOEL DA SILVA</t>
  </si>
  <si>
    <t>ANT27/B</t>
  </si>
  <si>
    <t xml:space="preserve">fotos na etapa principal </t>
  </si>
  <si>
    <t>ANT25C/1</t>
  </si>
  <si>
    <t xml:space="preserve"> RUA FRANCISCO JOSE LINHARES</t>
  </si>
  <si>
    <t>JD IMPERIAL</t>
  </si>
  <si>
    <t xml:space="preserve"> RUA LIDIA GALLONI MERCURIO</t>
  </si>
  <si>
    <t>ANT 27</t>
  </si>
  <si>
    <t>reclama valor auto d conta,,vaz interno.</t>
  </si>
  <si>
    <t xml:space="preserve"> RUA MORUNGABA</t>
  </si>
  <si>
    <t xml:space="preserve"> RUA SARGENTO JOSEMAR DONZILIO DOS SANTOS</t>
  </si>
  <si>
    <t>ANT4C/1</t>
  </si>
  <si>
    <t xml:space="preserve"> RUA SANTA FE</t>
  </si>
  <si>
    <t>ANT4023</t>
  </si>
  <si>
    <t>C/2FDS</t>
  </si>
  <si>
    <t xml:space="preserve"> RUA SAO PEDRO</t>
  </si>
  <si>
    <t>ANT. 157</t>
  </si>
  <si>
    <t>ANT. 244</t>
  </si>
  <si>
    <t xml:space="preserve"> RUA ARMINDA MAURUS</t>
  </si>
  <si>
    <t>RELOGIO 4</t>
  </si>
  <si>
    <t xml:space="preserve"> AVENIDA DAS HORTENCIAS</t>
  </si>
  <si>
    <t xml:space="preserve"> RUA PLUTAO</t>
  </si>
  <si>
    <t>obs,peca da torneira adp.</t>
  </si>
  <si>
    <t xml:space="preserve"> RUA ANTONIO CARDOSO</t>
  </si>
  <si>
    <t>ANT. 53</t>
  </si>
  <si>
    <t>Fotos na Os Principal</t>
  </si>
  <si>
    <t xml:space="preserve"> RUA SAMURAI</t>
  </si>
  <si>
    <t>T.3/AP 043</t>
  </si>
  <si>
    <t>esta estragado o tubete</t>
  </si>
  <si>
    <t xml:space="preserve"> RUA DOS UNIDOS</t>
  </si>
  <si>
    <t xml:space="preserve"> RUA MARIO</t>
  </si>
  <si>
    <t xml:space="preserve"> RUA CORYPHEU DE AZEVEDO MARQUES</t>
  </si>
  <si>
    <t xml:space="preserve"> RUA LEANDRA DELLAFINA DAMIANI</t>
  </si>
  <si>
    <t xml:space="preserve">efetuado um reaberto kits vazando fotos do serviço na etapa principal </t>
  </si>
  <si>
    <t>CASA 271</t>
  </si>
  <si>
    <t>ANT 36C</t>
  </si>
  <si>
    <t xml:space="preserve"> RUA RABELO FREITAS</t>
  </si>
  <si>
    <t>2LT19QDA</t>
  </si>
  <si>
    <t xml:space="preserve"> RUA DOS EUCALIPTOS</t>
  </si>
  <si>
    <t>JD CREPUSCULO</t>
  </si>
  <si>
    <t xml:space="preserve">sem fotos devido area de risco. </t>
  </si>
  <si>
    <t>C/1ANT14</t>
  </si>
  <si>
    <t>foto na oss que cacelamos para abrir cavalete</t>
  </si>
  <si>
    <t>Antigo número 03</t>
  </si>
  <si>
    <t xml:space="preserve"> RUA DO PATRIARCA</t>
  </si>
  <si>
    <t>C10 ANT777</t>
  </si>
  <si>
    <t xml:space="preserve"> RUA SAO JOAO DEL REY</t>
  </si>
  <si>
    <t>ANT 515</t>
  </si>
  <si>
    <t>ANTIGO 23</t>
  </si>
  <si>
    <t xml:space="preserve"> RUA ANTONIO NAKASHIMA</t>
  </si>
  <si>
    <t xml:space="preserve"> RUA MANTENA</t>
  </si>
  <si>
    <t>ANT.  16</t>
  </si>
  <si>
    <t>ANT:20A</t>
  </si>
  <si>
    <t xml:space="preserve"> VIELA UM DA PASSAGEM</t>
  </si>
  <si>
    <t xml:space="preserve"> RUA MANOEL DE ABREU</t>
  </si>
  <si>
    <t xml:space="preserve"> RUA FLUORITA</t>
  </si>
  <si>
    <t>ANT15C</t>
  </si>
  <si>
    <t xml:space="preserve"> RUA GABRIELA</t>
  </si>
  <si>
    <t>fotos na o.s principal.</t>
  </si>
  <si>
    <t xml:space="preserve"> RUA GODOFREDO BEIL</t>
  </si>
  <si>
    <t>ANT. 08</t>
  </si>
  <si>
    <t xml:space="preserve"> RUA CONCEICAO DO ARAGUAIA</t>
  </si>
  <si>
    <t xml:space="preserve"> RUA PROJETADA</t>
  </si>
  <si>
    <t>CASA/03</t>
  </si>
  <si>
    <t>troca do tubete curto</t>
  </si>
  <si>
    <t xml:space="preserve"> RUA VICENZA DAGOSTINHO</t>
  </si>
  <si>
    <t>ANT308FDS</t>
  </si>
  <si>
    <t xml:space="preserve"> RUA DOUTOR ROBERTO FERNANDES</t>
  </si>
  <si>
    <t>C/2ANT30</t>
  </si>
  <si>
    <t>C/2ANT315</t>
  </si>
  <si>
    <t xml:space="preserve"> RUA TAQUARITINGA</t>
  </si>
  <si>
    <t xml:space="preserve"> RUA MANOEL ISIDRO NOGUEIRA</t>
  </si>
  <si>
    <t xml:space="preserve">foi executado um ccv. </t>
  </si>
  <si>
    <t>ANT41C/2</t>
  </si>
  <si>
    <t>CASA-04</t>
  </si>
  <si>
    <t xml:space="preserve"> RUA KEYLE EMILIA LEMOS SANTOS</t>
  </si>
  <si>
    <t>ANT.09 A</t>
  </si>
  <si>
    <t xml:space="preserve"> RUA ABELARDO LUZ</t>
  </si>
  <si>
    <t>ANT92</t>
  </si>
  <si>
    <t>CLAUDIO MELO BARBOSA DA SILVA</t>
  </si>
  <si>
    <t xml:space="preserve"> RUA LENCOIS PAULISTA</t>
  </si>
  <si>
    <t>ANT. 181 C</t>
  </si>
  <si>
    <t xml:space="preserve"> RUA ERVAL VELHO</t>
  </si>
  <si>
    <t>as fotos se encomtram na O.S. 2615420542
sem reposição em obras</t>
  </si>
  <si>
    <t>COM1ANT169</t>
  </si>
  <si>
    <t>fotoa na os principal</t>
  </si>
  <si>
    <t xml:space="preserve">fotos e outras informações  no WhatsApp da programação </t>
  </si>
  <si>
    <t>COND PORT DO ACACIO</t>
  </si>
  <si>
    <t xml:space="preserve"> RUA TRES</t>
  </si>
  <si>
    <t>ANT 4 B</t>
  </si>
  <si>
    <t>RES CERCONI</t>
  </si>
  <si>
    <t>ANT 48 C C</t>
  </si>
  <si>
    <t xml:space="preserve"> AVENIDA JULIO PRESTES</t>
  </si>
  <si>
    <t>Fotos Encaminhada Via Whatsapp a Programacao</t>
  </si>
  <si>
    <t xml:space="preserve"> RUA MARIA CRISTINA</t>
  </si>
  <si>
    <t xml:space="preserve">fotos anexada via watsapp </t>
  </si>
  <si>
    <t>1 lacre</t>
  </si>
  <si>
    <t>13/04/2026 12:23</t>
  </si>
  <si>
    <t xml:space="preserve"> RUA FELIZARDA FIRMINO DE ANDRADE</t>
  </si>
  <si>
    <t>ANT. 98</t>
  </si>
  <si>
    <t>13/04/2026 10:47</t>
  </si>
  <si>
    <t xml:space="preserve"> RUA IBICARE</t>
  </si>
  <si>
    <t>C/4ANT34</t>
  </si>
  <si>
    <t>13/04/2026 09:55</t>
  </si>
  <si>
    <t>13/04/2026 09:47</t>
  </si>
  <si>
    <t xml:space="preserve"> RUA EDGARD</t>
  </si>
  <si>
    <t>JD DIOGO</t>
  </si>
  <si>
    <t xml:space="preserve">sem fotos do serviço trata-se de área de risco </t>
  </si>
  <si>
    <t>13/04/2026 10:33</t>
  </si>
  <si>
    <t>C/1..</t>
  </si>
  <si>
    <t xml:space="preserve"> RUA TREZE DE MAIO</t>
  </si>
  <si>
    <t>13/04/2026 12:55</t>
  </si>
  <si>
    <t>ANT 1A</t>
  </si>
  <si>
    <t>1 lacre.</t>
  </si>
  <si>
    <t>13/04/2026 12:42</t>
  </si>
  <si>
    <t>13/04/2026 12:21</t>
  </si>
  <si>
    <t>13/04/2026 12:41</t>
  </si>
  <si>
    <t>COM02</t>
  </si>
  <si>
    <t xml:space="preserve">rehitri e relogio do clinte foi furtado </t>
  </si>
  <si>
    <t>13/04/2026 16:32</t>
  </si>
  <si>
    <t xml:space="preserve"> RUA ANDRE FERNANDES</t>
  </si>
  <si>
    <t>ANT304</t>
  </si>
  <si>
    <t>14/04/2026 12:03</t>
  </si>
  <si>
    <t>INSTALAR LACRE NUMERADO</t>
  </si>
  <si>
    <t>INSTALADO LACRE NUMERADO</t>
  </si>
  <si>
    <t xml:space="preserve"> RUA URANIA</t>
  </si>
  <si>
    <t xml:space="preserve">efetuado um reaberto no cavalete </t>
  </si>
  <si>
    <t>14/04/2026 09:56</t>
  </si>
  <si>
    <t>14/04/2026 09:21</t>
  </si>
  <si>
    <t xml:space="preserve"> RUA MOGI GUACU</t>
  </si>
  <si>
    <t>14/04/2026 09:52</t>
  </si>
  <si>
    <t>14/04/2026 09:55</t>
  </si>
  <si>
    <t xml:space="preserve"> RUA INTERNA QUATRO</t>
  </si>
  <si>
    <t>14/04/2026 10:49</t>
  </si>
  <si>
    <t>14/04/2026 11:15</t>
  </si>
  <si>
    <t xml:space="preserve"> RUA PAQUITA</t>
  </si>
  <si>
    <t>14/04/2026 14:28</t>
  </si>
  <si>
    <t>ANT 1218</t>
  </si>
  <si>
    <t>14/04/2026 16:15</t>
  </si>
  <si>
    <t xml:space="preserve"> RUA LUIZA ALVARO FERRAZ KHOURI</t>
  </si>
  <si>
    <t>fotos da c 3 ,q foi executado tambem.</t>
  </si>
  <si>
    <t>14/04/2026 12:34</t>
  </si>
  <si>
    <t>C/1.</t>
  </si>
  <si>
    <t>fotos  enviadas via watty zap.</t>
  </si>
  <si>
    <t>14/04/2026 15:00</t>
  </si>
  <si>
    <t>14/04/2026 15:35</t>
  </si>
  <si>
    <t xml:space="preserve"> TRAVESSA ARRAIAS</t>
  </si>
  <si>
    <t>As fotos estao na OS principal!</t>
  </si>
  <si>
    <t>14/04/2026 16:44</t>
  </si>
  <si>
    <t>ONMP - DIV MANUT SERV OPE PIRITUBA</t>
  </si>
  <si>
    <t>CAMILA DE PAULA OLIVEIRA</t>
  </si>
  <si>
    <t xml:space="preserve"> RUA DOS JURITIS</t>
  </si>
  <si>
    <t>MORADA DO SOL</t>
  </si>
  <si>
    <t>15/04/2026 10:33</t>
  </si>
  <si>
    <t>VALDIZEL ALVES DE OLIVEIRA</t>
  </si>
  <si>
    <t>15/04/2026 10:40</t>
  </si>
  <si>
    <t xml:space="preserve"> RUA GABRIEL BESON DIAS</t>
  </si>
  <si>
    <t>D</t>
  </si>
  <si>
    <t>JARAGUA</t>
  </si>
  <si>
    <t>15/04/2026 07:50</t>
  </si>
  <si>
    <t>DANILO DE ANDRADE SANTANA</t>
  </si>
  <si>
    <t>15/04/2026 10:55</t>
  </si>
  <si>
    <t xml:space="preserve"> RUA CIPRIANO DE GOIS</t>
  </si>
  <si>
    <t>V STA EDWIGES</t>
  </si>
  <si>
    <t>15/04/2026 09:57</t>
  </si>
  <si>
    <t>15/04/2026 06:50</t>
  </si>
  <si>
    <t xml:space="preserve"> RUA CORONEL AMILCAR MAGALHAES</t>
  </si>
  <si>
    <t>V ITAPEVA</t>
  </si>
  <si>
    <t>VIVIANE APARECIDA DA SILVA ARAUJO</t>
  </si>
  <si>
    <t>CJ HAB TURISTICA</t>
  </si>
  <si>
    <t>JD SIDNEY</t>
  </si>
  <si>
    <t>LUIZ CARLOS ALVES GOMES DA SILVA</t>
  </si>
  <si>
    <t xml:space="preserve"> RUA AHYLTON MARQUES</t>
  </si>
  <si>
    <t>V NOVA PARADA</t>
  </si>
  <si>
    <t>15/04/2026 07:05</t>
  </si>
  <si>
    <t>JD PRINCESA</t>
  </si>
  <si>
    <t xml:space="preserve"> RUA BRAZ BALTAZAR DA SILVEIRA</t>
  </si>
  <si>
    <t>V NOVA PERUS</t>
  </si>
  <si>
    <t>RAIMUNDO NONATO COSTA DA SILVA</t>
  </si>
  <si>
    <t xml:space="preserve"> RUA NATAL S 124 Q 2068</t>
  </si>
  <si>
    <t>15/04/2026 04:59</t>
  </si>
  <si>
    <t xml:space="preserve"> RUA FAISAO</t>
  </si>
  <si>
    <t>SITIO ITABERABA II</t>
  </si>
  <si>
    <t>15/04/2026 11:15</t>
  </si>
  <si>
    <t>GILBERTO JOSE DA SILVA</t>
  </si>
  <si>
    <t xml:space="preserve"> PRAÇA INUBIA PAULISTA</t>
  </si>
  <si>
    <t xml:space="preserve">executado antes de abrir a os </t>
  </si>
  <si>
    <t>15/04/2026 12:25</t>
  </si>
  <si>
    <t xml:space="preserve"> RUA PROFESSOR ANGELO MAZZA</t>
  </si>
  <si>
    <t>V MANGALOT</t>
  </si>
  <si>
    <t xml:space="preserve">obras não faser reposição </t>
  </si>
  <si>
    <t>FRANCISCO MELO DA SILVA</t>
  </si>
  <si>
    <t xml:space="preserve"> RUA PROJETADA DOIS</t>
  </si>
  <si>
    <t>B C/3</t>
  </si>
  <si>
    <t>serviço executado antes de abrir a OS
cavalete unificado feito casa 3 e 4</t>
  </si>
  <si>
    <t>15/04/2026 12:08</t>
  </si>
  <si>
    <t xml:space="preserve"> AVENIDA ALEXIOS JAFET</t>
  </si>
  <si>
    <t>JD IPANEMA ZONA OESTE</t>
  </si>
  <si>
    <t>15/04/2026 14:38</t>
  </si>
  <si>
    <t>COMPL A</t>
  </si>
  <si>
    <t xml:space="preserve">usado um dispositivo caixa uma kits </t>
  </si>
  <si>
    <t>16/04/2026 11:02</t>
  </si>
  <si>
    <t>16/04/2026 13:45</t>
  </si>
  <si>
    <t xml:space="preserve"> os aberta após execução</t>
  </si>
  <si>
    <t>16/04/2026 09:59</t>
  </si>
  <si>
    <t xml:space="preserve"> RUA ATALAIA</t>
  </si>
  <si>
    <t>ANT 1</t>
  </si>
  <si>
    <t>16/04/2026 08:57</t>
  </si>
  <si>
    <t>C/2ANT16</t>
  </si>
  <si>
    <t>16/04/2026 14:03</t>
  </si>
  <si>
    <t>obs,,o.s com problema na sincronizacao.</t>
  </si>
  <si>
    <t>16/04/2026 10:55</t>
  </si>
  <si>
    <t>ANT 22</t>
  </si>
  <si>
    <t>16/04/2026 14:17</t>
  </si>
  <si>
    <t xml:space="preserve"> RUA CANGUCU</t>
  </si>
  <si>
    <t>ANT 50</t>
  </si>
  <si>
    <t>16/04/2026 13:16</t>
  </si>
  <si>
    <t xml:space="preserve"> RUA NESTOR JOAO DE OLIVEIRA</t>
  </si>
  <si>
    <t>16/04/2026 14:04</t>
  </si>
  <si>
    <t>17/04/2026 09:10</t>
  </si>
  <si>
    <t xml:space="preserve"> RUA OSLO</t>
  </si>
  <si>
    <t>ANT7C/1</t>
  </si>
  <si>
    <t>17/04/2026 10:20</t>
  </si>
  <si>
    <t xml:space="preserve"> RUA GALILEU</t>
  </si>
  <si>
    <t>17/04/2026 10:21</t>
  </si>
  <si>
    <t>17/04/2026 10:01</t>
  </si>
  <si>
    <t xml:space="preserve">efetuado um reaberto kits da caixa uma </t>
  </si>
  <si>
    <t>17/04/2026 14:47</t>
  </si>
  <si>
    <t xml:space="preserve"> RUA DOUTOR ROBERTO LEMOS DE PADUA</t>
  </si>
  <si>
    <t xml:space="preserve"> RUA DONA DINART SANTANA NUNES</t>
  </si>
  <si>
    <t>ANT. 5 C C</t>
  </si>
  <si>
    <t>17/04/2026 10:13</t>
  </si>
  <si>
    <t>ANT. 440</t>
  </si>
  <si>
    <t>17/04/2026 14:24</t>
  </si>
  <si>
    <t>17/04/2026 11:58</t>
  </si>
  <si>
    <t xml:space="preserve"> VIELA PARA</t>
  </si>
  <si>
    <t>viela de dificio acesso . sem foto do compactador manual porque tava muito ruim pra subir viela com escadao .</t>
  </si>
  <si>
    <t>17/04/2026 15:28</t>
  </si>
  <si>
    <t>obs ,fotos na o.s principal.</t>
  </si>
  <si>
    <t xml:space="preserve"> RUA CHARQUEARA</t>
  </si>
  <si>
    <t>18/04/2026 12:21</t>
  </si>
  <si>
    <t xml:space="preserve"> RUA TRINTA E SETE</t>
  </si>
  <si>
    <t>ANT.  8</t>
  </si>
  <si>
    <t>18/04/2026 13:02</t>
  </si>
  <si>
    <t xml:space="preserve"> RUA ROSANA CAPELLA CARDOSO</t>
  </si>
  <si>
    <t>ANT10A</t>
  </si>
  <si>
    <t xml:space="preserve">serviço sem fotos ,o celular travou e não abriu a câmera </t>
  </si>
  <si>
    <t>18/04/2026 14:09</t>
  </si>
  <si>
    <t>18/04/2026 09:29</t>
  </si>
  <si>
    <t xml:space="preserve"> RUA PASCHOALINA MIGLIORINI</t>
  </si>
  <si>
    <t>Numero do Hidrometro Ilegivel</t>
  </si>
  <si>
    <t>19/04/2026 10:11</t>
  </si>
  <si>
    <t>19/04/2026 15:44</t>
  </si>
  <si>
    <t>19/04/2026 11:35</t>
  </si>
  <si>
    <t>20/04/2026 09:36</t>
  </si>
  <si>
    <t xml:space="preserve"> RUA CATANDUVA</t>
  </si>
  <si>
    <t>20/04/2026 10:14</t>
  </si>
  <si>
    <t xml:space="preserve"> RUA ALFREDO ARAUJO DE LIMA</t>
  </si>
  <si>
    <t xml:space="preserve">Sem fotos da sinalização motivo rua sem acesso ao caminhão </t>
  </si>
  <si>
    <t>20/04/2026 13:59</t>
  </si>
  <si>
    <t>20/04/2026 10:27</t>
  </si>
  <si>
    <t>sr vai pedir troca d cavalete deteriorado.obs,,fotos na o.s principal.</t>
  </si>
  <si>
    <t>20/04/2026 12:01</t>
  </si>
  <si>
    <t xml:space="preserve"> RUA CIZANEA</t>
  </si>
  <si>
    <t>20/04/2026 17:14</t>
  </si>
  <si>
    <t>21/04/2026 12:21</t>
  </si>
  <si>
    <t>21/04/2026 10:39</t>
  </si>
  <si>
    <t>COM. 03</t>
  </si>
  <si>
    <t>You estancado o vazamento do local pois a água estava suprimida</t>
  </si>
  <si>
    <t>21/04/2026 09:25</t>
  </si>
  <si>
    <t>ANT1600</t>
  </si>
  <si>
    <t>21/04/2026 14:57</t>
  </si>
  <si>
    <t>fotos dessa os estão na os de vazamento de água não visível em ramal 2626616138</t>
  </si>
  <si>
    <t>21/04/2026 16:04</t>
  </si>
  <si>
    <t xml:space="preserve"> TRAVESSA BARBOSA</t>
  </si>
  <si>
    <t>22/04/2026 10:26</t>
  </si>
  <si>
    <t xml:space="preserve"> RUA JOSE GOMES JARDIM</t>
  </si>
  <si>
    <t xml:space="preserve"> RUA JOAO TURSI</t>
  </si>
  <si>
    <t>Fotos Encaminhada via Whatsapp a Programacao</t>
  </si>
  <si>
    <t>fotos na Os 2616618910</t>
  </si>
  <si>
    <t>22/04/2026 11:08</t>
  </si>
  <si>
    <t>NÃO FOI POSSIVEL VISUALIZAR O SERVIÇO REALIZADO</t>
  </si>
  <si>
    <t>obs,,problemas na sincronizacao.</t>
  </si>
  <si>
    <t>22/04/2026 14:59</t>
  </si>
  <si>
    <t xml:space="preserve"> RUA JOSE GONCALVES NEVES</t>
  </si>
  <si>
    <t>JD GRACINDA</t>
  </si>
  <si>
    <t>22/04/2026 15:08</t>
  </si>
  <si>
    <t>sem toda as foto devido equpe de. avalete vim coloca hidro</t>
  </si>
  <si>
    <t>22/04/2026 13:59</t>
  </si>
  <si>
    <t xml:space="preserve"> RUA ROSA CRUZ</t>
  </si>
  <si>
    <t>24/04/2026 10:16</t>
  </si>
  <si>
    <t>C/1ANT17C</t>
  </si>
  <si>
    <t>24/04/2026 08:59</t>
  </si>
  <si>
    <t xml:space="preserve"> RUA ISABEL SPINA PERELLA</t>
  </si>
  <si>
    <t>ANT.444</t>
  </si>
  <si>
    <t>V ADELAIDE PERELA</t>
  </si>
  <si>
    <t>24/04/2026 16:20</t>
  </si>
  <si>
    <t>24/04/2026 13:52</t>
  </si>
  <si>
    <t xml:space="preserve"> RUA ROBERTO</t>
  </si>
  <si>
    <t>24/04/2026 08:53</t>
  </si>
  <si>
    <t>24/04/2026 09:24</t>
  </si>
  <si>
    <t xml:space="preserve"> RUA ALTAMIRA</t>
  </si>
  <si>
    <t>FDS C/3</t>
  </si>
  <si>
    <t>24/04/2026 15:09</t>
  </si>
  <si>
    <t xml:space="preserve"> RUA BRANCA SALES</t>
  </si>
  <si>
    <t>ANT. 95</t>
  </si>
  <si>
    <t>C/2ANT43</t>
  </si>
  <si>
    <t>25/04/2026 12:47</t>
  </si>
  <si>
    <t>ANT8C/4</t>
  </si>
  <si>
    <t>25/04/2026 09:25</t>
  </si>
  <si>
    <t xml:space="preserve"> RUA MONTE NEGRO</t>
  </si>
  <si>
    <t>25/04/2026 10:45</t>
  </si>
  <si>
    <t>ANT4147</t>
  </si>
  <si>
    <t>fotos da execucao enviadas via whattsapp</t>
  </si>
  <si>
    <t>25/04/2026 14:14</t>
  </si>
  <si>
    <t>CASA   0 4</t>
  </si>
  <si>
    <t>25/04/2026 12:51</t>
  </si>
  <si>
    <t xml:space="preserve"> RUA ANTONIO MARTINS</t>
  </si>
  <si>
    <t>C/2ANT66</t>
  </si>
  <si>
    <t>25/04/2026 14:26</t>
  </si>
  <si>
    <t xml:space="preserve"> RUA INDIANOPOLIS</t>
  </si>
  <si>
    <t>ANT11C/1</t>
  </si>
  <si>
    <t>26/04/2026 09:59</t>
  </si>
  <si>
    <t xml:space="preserve"> RUA CANUTAMA</t>
  </si>
  <si>
    <t xml:space="preserve">fotos e informações no WhatsApp da programação </t>
  </si>
  <si>
    <t>26/04/2026 10:28</t>
  </si>
  <si>
    <t>C/2ANT407</t>
  </si>
  <si>
    <t>26/04/2026 13:04</t>
  </si>
  <si>
    <t>26/04/2026 14:37</t>
  </si>
  <si>
    <t>26/04/2026 09:42</t>
  </si>
  <si>
    <t>26/04/2026 14:50</t>
  </si>
  <si>
    <t>27/04/2026 12:22</t>
  </si>
  <si>
    <t>27/04/2026 15:08</t>
  </si>
  <si>
    <t xml:space="preserve"> RUA CLAUDIO AGOSTINHO</t>
  </si>
  <si>
    <t>CASA - 2</t>
  </si>
  <si>
    <t>27/04/2026 16:53</t>
  </si>
  <si>
    <t xml:space="preserve"> RUA FRANCISCO BONDANCA</t>
  </si>
  <si>
    <t>ANT 131</t>
  </si>
  <si>
    <t>27/04/2026 11:10</t>
  </si>
  <si>
    <t>C/1ANT770</t>
  </si>
  <si>
    <t>27/04/2026 16:20</t>
  </si>
  <si>
    <t>27/04/2026 13:09</t>
  </si>
  <si>
    <t>ANT.2</t>
  </si>
  <si>
    <t>28/04/2026 09:38</t>
  </si>
  <si>
    <t xml:space="preserve"> RUA SANTA CONCEICAO</t>
  </si>
  <si>
    <t>ANT. 63</t>
  </si>
  <si>
    <t>28/04/2026 08:45</t>
  </si>
  <si>
    <t>ANT32A</t>
  </si>
  <si>
    <t>28/04/2026 12:39</t>
  </si>
  <si>
    <t xml:space="preserve"> RUA SAO FRANCISCO DO PARA</t>
  </si>
  <si>
    <t>28/04/2026 12:37</t>
  </si>
  <si>
    <t xml:space="preserve">fotos na etapa principal  efetuado um novo concerto devido cotovelo trincado cavalete de ferro </t>
  </si>
  <si>
    <t>28/04/2026 09:35</t>
  </si>
  <si>
    <t xml:space="preserve"> RUA MARCELINO PETITO</t>
  </si>
  <si>
    <t>V CARIOCA</t>
  </si>
  <si>
    <t>28/04/2026 09:49</t>
  </si>
  <si>
    <t xml:space="preserve"> RUA DESCALVADO</t>
  </si>
  <si>
    <t>ANTIGO-139</t>
  </si>
  <si>
    <t>29/04/2026 09:20</t>
  </si>
  <si>
    <t>29/04/2026 11:43</t>
  </si>
  <si>
    <t>29/04/2026 11:51</t>
  </si>
  <si>
    <t xml:space="preserve"> RUA SALES</t>
  </si>
  <si>
    <t>nao tinha tampa na caixa uma.</t>
  </si>
  <si>
    <t>29/04/2026 13:26</t>
  </si>
  <si>
    <t>29/04/2026 09:32</t>
  </si>
  <si>
    <t>Sim sem foto da sinalização motivo caminhãos longe do serviço</t>
  </si>
  <si>
    <t>29/04/2026 09:39</t>
  </si>
  <si>
    <t>C/1ANT13</t>
  </si>
  <si>
    <t xml:space="preserve"> RUA BELO JARDIM</t>
  </si>
  <si>
    <t>ANT 392</t>
  </si>
  <si>
    <t>29/04/2026 15:18</t>
  </si>
  <si>
    <t xml:space="preserve"> RUA MARIA RITA SEVERINO</t>
  </si>
  <si>
    <t>ANTIGO 9</t>
  </si>
  <si>
    <t>29/04/2026 16:03</t>
  </si>
  <si>
    <t>ANT497SALA</t>
  </si>
  <si>
    <t>29/04/2026 14:11</t>
  </si>
  <si>
    <t xml:space="preserve">obs,,fotos na o.s principal. </t>
  </si>
  <si>
    <t xml:space="preserve"> RUA BUENO BRANDAO</t>
  </si>
  <si>
    <t>JD SAO JOSE</t>
  </si>
  <si>
    <t>29/04/2026 14:48</t>
  </si>
  <si>
    <t xml:space="preserve">fotos na o.s principal. </t>
  </si>
  <si>
    <t>29/04/2026 16:58</t>
  </si>
  <si>
    <t xml:space="preserve"> ALAMEDA DOS BEM TE VIS</t>
  </si>
  <si>
    <t>COND VALE DOS PASSAR</t>
  </si>
  <si>
    <t>30/04/2026 12:46</t>
  </si>
  <si>
    <t xml:space="preserve"> RUA JOSE RAIMUNDO DE OLIVEIRA</t>
  </si>
  <si>
    <t>C2ANT29</t>
  </si>
  <si>
    <t>30/04/2026 12:43</t>
  </si>
  <si>
    <t xml:space="preserve"> RUA TUCANO ANT SEIS A</t>
  </si>
  <si>
    <t>30/04/2026 13:13</t>
  </si>
  <si>
    <t>ANT. 5 C</t>
  </si>
  <si>
    <t>30/04/2026 15:48</t>
  </si>
  <si>
    <t>ANT 367</t>
  </si>
  <si>
    <t>30/04/2026 09:45</t>
  </si>
  <si>
    <t>30/04/2026 15:07</t>
  </si>
  <si>
    <t>30/04/2026 16:19</t>
  </si>
  <si>
    <t xml:space="preserve"> RUA SAO RAIMUNDO DAS MANGABEIRAS</t>
  </si>
  <si>
    <t>ANT. 14</t>
  </si>
  <si>
    <t>foto da execucao enviadas via whattsapp</t>
  </si>
  <si>
    <t>30/04/2026 16:51</t>
  </si>
  <si>
    <t>ANT 5A</t>
  </si>
  <si>
    <t xml:space="preserve">Observação Sinalização </t>
  </si>
  <si>
    <t>Observação imprimação</t>
  </si>
  <si>
    <t>Observação Termômetro</t>
  </si>
  <si>
    <t>Observação Rastelo</t>
  </si>
  <si>
    <t>.COMPAC. MASSA ASF.</t>
  </si>
  <si>
    <t>Observação Compac. Da Massa ASF.</t>
  </si>
  <si>
    <t>Observação Placa Vibratória</t>
  </si>
  <si>
    <t>REPOSIÇÃO DE CAPA ASFALTICA INV</t>
  </si>
  <si>
    <t>MARTHONIO RODRIGUES DOS SANTOS</t>
  </si>
  <si>
    <t>REPOSIÇÃO DE CAPA ASFALTICA</t>
  </si>
  <si>
    <t>ANT40C/1</t>
  </si>
  <si>
    <t>ANT 999</t>
  </si>
  <si>
    <t xml:space="preserve"> RUA SANTANA DO ITARARE</t>
  </si>
  <si>
    <t>ANT 20</t>
  </si>
  <si>
    <t>Trata se de Pv</t>
  </si>
  <si>
    <t>ANTIGO  23</t>
  </si>
  <si>
    <t>base concreto</t>
  </si>
  <si>
    <t>LUCAS HENRIQUE ALVES DA SILVA</t>
  </si>
  <si>
    <t xml:space="preserve"> RUA ORLANDO FANTAZZINI</t>
  </si>
  <si>
    <t>ANT12 C/1</t>
  </si>
  <si>
    <t xml:space="preserve"> AVENIDA JOSE LOURENCO NEVES</t>
  </si>
  <si>
    <t>ANT125</t>
  </si>
  <si>
    <t>Rua fresada trata-se de obra no local</t>
  </si>
  <si>
    <t xml:space="preserve"> RUA TAPACIQUARA</t>
  </si>
  <si>
    <t>JONATHAN JUSTINO ELOY</t>
  </si>
  <si>
    <t xml:space="preserve"> RUA FIORI POLACHINI</t>
  </si>
  <si>
    <t>ANT.51 C/2</t>
  </si>
  <si>
    <t>FOTOS NO PLANEJAMENTO DO DIA 01/04</t>
  </si>
  <si>
    <t xml:space="preserve"> RUA ANTONIO GUEDES DA SILVA</t>
  </si>
  <si>
    <t>ANT. 138</t>
  </si>
  <si>
    <t>ANT. 1780</t>
  </si>
  <si>
    <t>ANTNº10A</t>
  </si>
  <si>
    <t xml:space="preserve"> RUA SEG SARGENTO RUBENS LEITE</t>
  </si>
  <si>
    <t>FDS</t>
  </si>
  <si>
    <t>V GOPOUVA</t>
  </si>
  <si>
    <t>ANT30</t>
  </si>
  <si>
    <t xml:space="preserve"> RUA SALGADO DE CASTRO</t>
  </si>
  <si>
    <t>FOTOS SALVAS NA ETAPA DO FIM DO DIA - ERRO DE SINCRONIZAÇÃO</t>
  </si>
  <si>
    <t xml:space="preserve"> TRAVESSA ORSI</t>
  </si>
  <si>
    <t>JD DAS HORTENCIAS</t>
  </si>
  <si>
    <t xml:space="preserve"> RUA TIJUCAS</t>
  </si>
  <si>
    <t xml:space="preserve"> RUA ENTRE RIOS DE MINAS</t>
  </si>
  <si>
    <t>ANT. 108</t>
  </si>
  <si>
    <t>BASE DE CONCRETO</t>
  </si>
  <si>
    <t>executado anteriormente trata-se de obra no local</t>
  </si>
  <si>
    <t>ANTN°1030</t>
  </si>
  <si>
    <t>sequência de fotos na os 2614312644</t>
  </si>
  <si>
    <t>Servico Executado Anteriormente devido Urgencia, Os aberta Posteriormente</t>
  </si>
  <si>
    <t xml:space="preserve"> RUA SANDOVALINA</t>
  </si>
  <si>
    <t xml:space="preserve">não utilização de sapinho base </t>
  </si>
  <si>
    <t xml:space="preserve">base concreto não utilização de sapinho </t>
  </si>
  <si>
    <t>ANT62C/1</t>
  </si>
  <si>
    <t>FOTOS NA O.S. 2614397494 - VALA 2</t>
  </si>
  <si>
    <t>AUSÊNCIA DE CARIMBO</t>
  </si>
  <si>
    <t>sequência de fotos na is 2614498794</t>
  </si>
  <si>
    <t>FOTOS SALVAS NA REDE</t>
  </si>
  <si>
    <t>MAYARA BUENO LERIDA TADDEI</t>
  </si>
  <si>
    <t>FOTOS SALVAS NA REDE - PRIORIDADE</t>
  </si>
  <si>
    <t>executado anteriormente</t>
  </si>
  <si>
    <t>serviço executado sem sequência de fotos local transitado ou Estreito</t>
  </si>
  <si>
    <t>REPOSIÇÃO DE ASFALTO INV</t>
  </si>
  <si>
    <t>13/04/2026 12:18</t>
  </si>
  <si>
    <t>USO INCORRETO DO EQUIPAMENTO</t>
  </si>
  <si>
    <t>13/04/2026 13:51</t>
  </si>
  <si>
    <t xml:space="preserve">OS ABERTA APÓS A EXECUÇÃO - TRATA-SE DE OBRA - EQ. MARCIO </t>
  </si>
  <si>
    <t>FRANCISCO ARLINDO LOPES DE SOUSA</t>
  </si>
  <si>
    <t>serviço executado sem sequência de fotos trata-se de obra</t>
  </si>
  <si>
    <t>15/04/2026 08:09</t>
  </si>
  <si>
    <t>serviço executado sem sequência de foto trata-se de obra</t>
  </si>
  <si>
    <t>15/04/2026 08:08</t>
  </si>
  <si>
    <t>15/04/2026 08:36</t>
  </si>
  <si>
    <t>16/04/2026 09:29</t>
  </si>
  <si>
    <t>16/04/2026 10:41</t>
  </si>
  <si>
    <t>17/04/2026 12:01</t>
  </si>
  <si>
    <t>17/04/2026 09:46</t>
  </si>
  <si>
    <t>17/04/2026 13:01</t>
  </si>
  <si>
    <t>EXCESSO</t>
  </si>
  <si>
    <t>17/04/2026 07:48</t>
  </si>
  <si>
    <t>base concreto por isso não utilizamos compactador sapinho</t>
  </si>
  <si>
    <t>17/04/2026 08:29</t>
  </si>
  <si>
    <t>NÃO FOI POSSIVEL VISUALIZAR A UTILIZAÇÃO DO EQUIPAMENTO</t>
  </si>
  <si>
    <t>17/04/2026 11:52</t>
  </si>
  <si>
    <t>INSUFICIENTE</t>
  </si>
  <si>
    <t>FALTA TRENA E CARIMBO</t>
  </si>
  <si>
    <t>17/04/2026 08:50</t>
  </si>
  <si>
    <t>17/04/2026 06:01</t>
  </si>
  <si>
    <t>17/04/2026 09:20</t>
  </si>
  <si>
    <t>QUANTIDADE INSUFICIENTE</t>
  </si>
  <si>
    <t>17/04/2026 07:54</t>
  </si>
  <si>
    <t>17/04/2026 09:30</t>
  </si>
  <si>
    <t>18/04/2026 08:07</t>
  </si>
  <si>
    <t>baixar sem sequência de fotos local ruim de sinalização rua sem saída</t>
  </si>
  <si>
    <t>21/04/2026 11:22</t>
  </si>
  <si>
    <t>24/04/2026 09:32</t>
  </si>
  <si>
    <t>24/04/2026 09:53</t>
  </si>
  <si>
    <t>24/04/2026 13:01</t>
  </si>
  <si>
    <t>24/04/2026 11:01</t>
  </si>
  <si>
    <t xml:space="preserve"> RUA PAUAPIXUNA</t>
  </si>
  <si>
    <t>ANT. 51</t>
  </si>
  <si>
    <t xml:space="preserve"> RUA SOLDADO JOAO BATISTA DOS REIS</t>
  </si>
  <si>
    <t>ANT. 9 A</t>
  </si>
  <si>
    <t>24/04/2026 11:42</t>
  </si>
  <si>
    <t>ANT 82  B</t>
  </si>
  <si>
    <t>24/04/2026 11:24</t>
  </si>
  <si>
    <t>24/04/2026 10:01</t>
  </si>
  <si>
    <t>24/04/2026 10:48</t>
  </si>
  <si>
    <t>24/04/2026 09:58</t>
  </si>
  <si>
    <t>24/04/2026 09:08</t>
  </si>
  <si>
    <t>24/04/2026 10:43</t>
  </si>
  <si>
    <t>24/04/2026 08:35</t>
  </si>
  <si>
    <t>24/04/2026 11:20</t>
  </si>
  <si>
    <t>sequência de fotos na os 2616822493</t>
  </si>
  <si>
    <t>24/04/2026 12:10</t>
  </si>
  <si>
    <t>24/04/2026 08:02</t>
  </si>
  <si>
    <t>24/04/2026 08:14</t>
  </si>
  <si>
    <t>24/04/2026 12:08</t>
  </si>
  <si>
    <t>24/04/2026 08:24</t>
  </si>
  <si>
    <t>SN</t>
  </si>
  <si>
    <t>O.S. ABERTA APÓS EXECUÇÃO - OBRA MANINHO</t>
  </si>
  <si>
    <t>24/04/2026 14:36</t>
  </si>
  <si>
    <t>24/04/2026 14:21</t>
  </si>
  <si>
    <t>24/04/2026 14:35</t>
  </si>
  <si>
    <t>25/04/2026 11:41</t>
  </si>
  <si>
    <t>25/04/2026 10:09</t>
  </si>
  <si>
    <t>Trata se Registro de Parada</t>
  </si>
  <si>
    <t>25/04/2026 09:30</t>
  </si>
  <si>
    <t>25/04/2026 12:32</t>
  </si>
  <si>
    <t>25/04/2026 09:01</t>
  </si>
  <si>
    <t>25/04/2026 08:10</t>
  </si>
  <si>
    <t xml:space="preserve"> RUA ANTONIO CARLOS PIRES</t>
  </si>
  <si>
    <t>CASA 04A</t>
  </si>
  <si>
    <t xml:space="preserve"> PRACA DOS AVIADORES</t>
  </si>
  <si>
    <t>SL03ANT336</t>
  </si>
  <si>
    <t>25/04/2026 08:11</t>
  </si>
  <si>
    <t xml:space="preserve"> RUA BARRA DO JACAREI</t>
  </si>
  <si>
    <t>2A C/1</t>
  </si>
  <si>
    <t>25/04/2026 10:12</t>
  </si>
  <si>
    <t>25/04/2026 10:39</t>
  </si>
  <si>
    <t>25/04/2026 11:31</t>
  </si>
  <si>
    <t>ESTIMATIVA</t>
  </si>
  <si>
    <t>25/04/2026 07:51</t>
  </si>
  <si>
    <t>25/04/2026 07:34</t>
  </si>
  <si>
    <t>serviço executado sem sequência de fotos local transitado</t>
  </si>
  <si>
    <t>25/04/2026 08:39</t>
  </si>
  <si>
    <t>25/04/2026 11:07</t>
  </si>
  <si>
    <t>25/04/2026 12:03</t>
  </si>
  <si>
    <t>25/04/2026 09:43</t>
  </si>
  <si>
    <t xml:space="preserve"> RUA ABY SOUZA LIMA</t>
  </si>
  <si>
    <t>ANT. 78</t>
  </si>
  <si>
    <t>25/04/2026 08:07</t>
  </si>
  <si>
    <t>ANT. 565</t>
  </si>
  <si>
    <t>25/04/2026 09:24</t>
  </si>
  <si>
    <t>25/04/2026 10:02</t>
  </si>
  <si>
    <t>25/04/2026 10:11</t>
  </si>
  <si>
    <t>ANT. 862</t>
  </si>
  <si>
    <t>25/04/2026 11:20</t>
  </si>
  <si>
    <t>25/04/2026 08:20</t>
  </si>
  <si>
    <t xml:space="preserve"> RUA DEZOITO DE FEVEREIRO</t>
  </si>
  <si>
    <t>25/04/2026 10:54</t>
  </si>
  <si>
    <t>25/04/2026 08:30</t>
  </si>
  <si>
    <t>25/04/2026 10:26</t>
  </si>
  <si>
    <t>25/04/2026 09:37</t>
  </si>
  <si>
    <t>executado anteriormente trata-se de obra rua asfaltada</t>
  </si>
  <si>
    <t>25/04/2026 08:22</t>
  </si>
  <si>
    <t>FOTOS ENVIADAS VIA WHATSAPP</t>
  </si>
  <si>
    <t>25/04/2026 07:01</t>
  </si>
  <si>
    <t xml:space="preserve">OS ABERTA APÓS A EXECUÇÃO - TRATA-SE DE OBRA - EQ MARCIO </t>
  </si>
  <si>
    <t>ABERTA APÓS EXECUÇÃO, OBRA MANINHO</t>
  </si>
  <si>
    <t>27/04/2026 11:01</t>
  </si>
  <si>
    <t>Servico executado anteriormente, Os aberta posteriormente</t>
  </si>
  <si>
    <t>27/04/2026 11:19</t>
  </si>
  <si>
    <t>27/04/2026 09:42</t>
  </si>
  <si>
    <t>27/04/2026 10:51</t>
  </si>
  <si>
    <t>27/04/2026 10:05</t>
  </si>
  <si>
    <t>27/04/2026 11:07</t>
  </si>
  <si>
    <t>27/04/2026 10:26</t>
  </si>
  <si>
    <t>27/04/2026 09:56</t>
  </si>
  <si>
    <t>27/04/2026 07:43</t>
  </si>
  <si>
    <t>SEM RÉGUA E SEM TRENA</t>
  </si>
  <si>
    <t>27/04/2026 10:44</t>
  </si>
  <si>
    <t>27/04/2026 09:12</t>
  </si>
  <si>
    <t>27/04/2026 12:11</t>
  </si>
  <si>
    <t>27/04/2026 09:33</t>
  </si>
  <si>
    <t>27/04/2026 08:06</t>
  </si>
  <si>
    <t>27/04/2026 10:47</t>
  </si>
  <si>
    <t>27/04/2026 10:32</t>
  </si>
  <si>
    <t>27/04/2026 09:23</t>
  </si>
  <si>
    <t>27/04/2026 07:58</t>
  </si>
  <si>
    <t>27/04/2026 08:30</t>
  </si>
  <si>
    <t>27/04/2026 09:53</t>
  </si>
  <si>
    <t>27/04/2026 10:54</t>
  </si>
  <si>
    <t>27/04/2026 11:05</t>
  </si>
  <si>
    <t xml:space="preserv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</si>
</sst>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0"/>
      <name val="Tahoma"/>
      <family val="2"/>
    </font>
    <font>
      <sz val="12"/>
      <color theme="1"/>
      <name val="Tahoma"/>
      <family val="2"/>
    </font>
    <font>
      <sz val="11"/>
      <color indexed="8"/>
      <name val="Calibri"/>
      <family val="2"/>
      <scheme val="minor"/>
    </font>
    <font>
      <b/>
      <sz val="12"/>
      <color rgb="FFFFFFFF"/>
      <name val="Tahoma"/>
      <family val="2"/>
    </font>
    <font>
      <sz val="12"/>
      <color rgb="FF000000"/>
      <name val="Tahoma"/>
      <family val="2"/>
    </font>
    <font>
      <sz val="12"/>
      <color rgb="FF000000"/>
      <name val="Tahoma"/>
    </font>
    <font>
      <sz val="12"/>
      <color theme="1"/>
      <name val="Tahoma"/>
    </font>
    <font>
      <sz val="11"/>
      <color rgb="FF000000"/>
      <name val="Calibri"/>
      <family val="2"/>
    </font>
    <font>
      <sz val="12"/>
      <color rgb="FF000000"/>
      <name val="Tahoma"/>
      <charset val="1"/>
    </font>
    <font>
      <sz val="12"/>
      <color rgb="FF000000"/>
      <name val="Arial"/>
    </font>
  </fonts>
  <fills count="12">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1"/>
        <bgColor indexed="64"/>
      </patternFill>
    </fill>
    <fill>
      <patternFill patternType="solid">
        <fgColor rgb="FFFFFFFF"/>
        <bgColor rgb="FF000000"/>
      </patternFill>
    </fill>
    <fill>
      <patternFill patternType="solid">
        <fgColor rgb="FF0070C0"/>
        <bgColor indexed="64"/>
      </patternFill>
    </fill>
    <fill>
      <patternFill patternType="solid">
        <fgColor theme="1"/>
        <bgColor rgb="FF000000"/>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
      <patternFill patternType="solid">
        <fgColor rgb="FF7030A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s>
  <cellStyleXfs count="2">
    <xf numFmtId="0" fontId="0" fillId="0" borderId="0"/>
    <xf numFmtId="0" fontId="3" fillId="0" borderId="0"/>
  </cellStyleXfs>
  <cellXfs count="106">
    <xf numFmtId="0" fontId="0" fillId="0" borderId="0" xfId="0"/>
    <xf numFmtId="0" fontId="2" fillId="2" borderId="3" xfId="0" applyFont="1" applyFill="1" applyBorder="1" applyAlignment="1">
      <alignment horizontal="center" vertical="center"/>
    </xf>
    <xf numFmtId="0" fontId="2" fillId="2" borderId="0" xfId="0" applyFont="1" applyFill="1" applyAlignment="1">
      <alignment horizontal="left" vertical="center"/>
    </xf>
    <xf numFmtId="0" fontId="2" fillId="2" borderId="0" xfId="0" applyFont="1" applyFill="1"/>
    <xf numFmtId="0" fontId="2" fillId="2" borderId="0" xfId="0" applyFont="1" applyFill="1" applyAlignment="1">
      <alignment horizontal="center"/>
    </xf>
    <xf numFmtId="0" fontId="4" fillId="3" borderId="1" xfId="0" applyFont="1" applyFill="1" applyBorder="1" applyAlignment="1">
      <alignment horizontal="center" vertical="center"/>
    </xf>
    <xf numFmtId="0" fontId="1" fillId="4" borderId="1" xfId="0" applyFont="1" applyFill="1" applyBorder="1" applyAlignment="1" applyProtection="1">
      <alignment horizontal="center" vertical="center"/>
      <protection locked="0"/>
    </xf>
    <xf numFmtId="0" fontId="2" fillId="2" borderId="0" xfId="0" applyFont="1" applyFill="1" applyAlignment="1">
      <alignment horizontal="center" vertical="center"/>
    </xf>
    <xf numFmtId="0" fontId="2" fillId="0" borderId="7" xfId="0" applyFont="1" applyBorder="1" applyAlignment="1">
      <alignment horizontal="center" vertical="center"/>
    </xf>
    <xf numFmtId="0" fontId="2" fillId="2" borderId="0" xfId="0" applyFont="1" applyFill="1" applyAlignment="1">
      <alignment horizontal="left"/>
    </xf>
    <xf numFmtId="0" fontId="2" fillId="2" borderId="7" xfId="0" applyFont="1" applyFill="1" applyBorder="1" applyAlignment="1">
      <alignment horizontal="center" vertical="center"/>
    </xf>
    <xf numFmtId="0" fontId="2" fillId="2" borderId="0" xfId="0" applyFont="1" applyFill="1" applyAlignment="1">
      <alignment horizontal="center" vertical="center" wrapText="1"/>
    </xf>
    <xf numFmtId="0" fontId="2" fillId="0" borderId="10" xfId="0" applyFont="1" applyBorder="1" applyAlignment="1">
      <alignment horizontal="center" vertical="center" wrapText="1"/>
    </xf>
    <xf numFmtId="0" fontId="2" fillId="2" borderId="10" xfId="0" applyFont="1" applyFill="1" applyBorder="1" applyAlignment="1">
      <alignment horizontal="center" vertical="center"/>
    </xf>
    <xf numFmtId="0" fontId="2" fillId="0" borderId="10"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2" borderId="12" xfId="0" applyFont="1" applyFill="1" applyBorder="1" applyAlignment="1">
      <alignment horizontal="center" vertic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4" borderId="1" xfId="0" applyFont="1" applyFill="1" applyBorder="1" applyAlignment="1">
      <alignment horizontal="center" vertical="center"/>
    </xf>
    <xf numFmtId="0" fontId="4" fillId="9" borderId="1" xfId="0" applyFont="1" applyFill="1" applyBorder="1" applyAlignment="1">
      <alignment horizontal="center" vertical="center"/>
    </xf>
    <xf numFmtId="0" fontId="2" fillId="2" borderId="7" xfId="0" applyFont="1" applyFill="1" applyBorder="1" applyAlignment="1">
      <alignment horizontal="center"/>
    </xf>
    <xf numFmtId="49" fontId="2" fillId="2" borderId="7" xfId="0" applyNumberFormat="1" applyFont="1" applyFill="1" applyBorder="1" applyAlignment="1">
      <alignment horizontal="center"/>
    </xf>
    <xf numFmtId="49" fontId="2" fillId="2" borderId="10" xfId="0" applyNumberFormat="1" applyFont="1" applyFill="1" applyBorder="1" applyAlignment="1">
      <alignment horizontal="center"/>
    </xf>
    <xf numFmtId="49" fontId="2" fillId="2" borderId="1" xfId="0" applyNumberFormat="1" applyFont="1" applyFill="1" applyBorder="1" applyAlignment="1">
      <alignment horizontal="center"/>
    </xf>
    <xf numFmtId="0" fontId="5" fillId="0" borderId="10" xfId="0" applyFont="1" applyBorder="1" applyAlignment="1">
      <alignment horizontal="center" vertical="center"/>
    </xf>
    <xf numFmtId="0" fontId="2" fillId="2" borderId="10" xfId="0" applyFont="1" applyFill="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5" fillId="0" borderId="1" xfId="0" applyFont="1" applyBorder="1" applyAlignment="1">
      <alignment horizontal="center" vertical="center"/>
    </xf>
    <xf numFmtId="0" fontId="2" fillId="0" borderId="1" xfId="0" applyFont="1" applyBorder="1" applyAlignment="1" applyProtection="1">
      <alignment horizontal="center" vertical="center"/>
      <protection locked="0"/>
    </xf>
    <xf numFmtId="0" fontId="2" fillId="2" borderId="10" xfId="0" applyFont="1" applyFill="1" applyBorder="1" applyAlignment="1">
      <alignment horizontal="center"/>
    </xf>
    <xf numFmtId="49" fontId="2" fillId="2" borderId="9" xfId="0" applyNumberFormat="1" applyFont="1" applyFill="1" applyBorder="1" applyAlignment="1">
      <alignment horizontal="center"/>
    </xf>
    <xf numFmtId="49" fontId="2" fillId="2" borderId="3" xfId="0" applyNumberFormat="1" applyFont="1" applyFill="1" applyBorder="1" applyAlignment="1">
      <alignment horizontal="center"/>
    </xf>
    <xf numFmtId="0" fontId="5" fillId="5" borderId="5" xfId="0" applyFont="1" applyFill="1" applyBorder="1" applyAlignment="1">
      <alignment horizontal="center"/>
    </xf>
    <xf numFmtId="0" fontId="5" fillId="0" borderId="3" xfId="0" applyFont="1" applyBorder="1" applyAlignment="1">
      <alignment horizontal="center" vertical="center" wrapText="1"/>
    </xf>
    <xf numFmtId="49" fontId="2" fillId="2" borderId="16" xfId="0" applyNumberFormat="1" applyFont="1" applyFill="1" applyBorder="1" applyAlignment="1">
      <alignment horizontal="center"/>
    </xf>
    <xf numFmtId="49" fontId="2" fillId="2" borderId="1" xfId="0" applyNumberFormat="1" applyFont="1" applyFill="1" applyBorder="1" applyAlignment="1">
      <alignment horizontal="center" vertical="center"/>
    </xf>
    <xf numFmtId="0" fontId="2" fillId="2" borderId="9" xfId="0" applyFont="1" applyFill="1" applyBorder="1" applyAlignment="1">
      <alignment horizontal="center"/>
    </xf>
    <xf numFmtId="0" fontId="2" fillId="2" borderId="9"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6" xfId="0" applyFont="1" applyFill="1" applyBorder="1" applyAlignment="1">
      <alignment horizontal="center"/>
    </xf>
    <xf numFmtId="49" fontId="2" fillId="2" borderId="17" xfId="0" applyNumberFormat="1" applyFont="1" applyFill="1" applyBorder="1" applyAlignment="1">
      <alignment horizontal="center"/>
    </xf>
    <xf numFmtId="0" fontId="2" fillId="2" borderId="16" xfId="0" applyFont="1" applyFill="1" applyBorder="1" applyAlignment="1">
      <alignment horizontal="center"/>
    </xf>
    <xf numFmtId="0" fontId="2" fillId="2" borderId="16" xfId="0" applyFont="1" applyFill="1" applyBorder="1" applyAlignment="1">
      <alignment horizontal="center" wrapText="1"/>
    </xf>
    <xf numFmtId="0" fontId="2" fillId="0" borderId="13" xfId="0" applyFont="1" applyBorder="1" applyAlignment="1">
      <alignment horizontal="center" vertical="center" wrapText="1"/>
    </xf>
    <xf numFmtId="0" fontId="2" fillId="2" borderId="16" xfId="0" applyFont="1" applyFill="1" applyBorder="1" applyAlignment="1">
      <alignment horizontal="center" vertical="center"/>
    </xf>
    <xf numFmtId="0" fontId="5" fillId="0" borderId="13" xfId="0" applyFont="1" applyBorder="1" applyAlignment="1">
      <alignment horizontal="center" vertical="center"/>
    </xf>
    <xf numFmtId="0" fontId="1" fillId="4" borderId="1" xfId="0" applyFont="1" applyFill="1" applyBorder="1" applyAlignment="1">
      <alignment horizontal="center" vertical="center"/>
    </xf>
    <xf numFmtId="0" fontId="4" fillId="7"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2" fillId="2" borderId="13" xfId="0" applyFont="1" applyFill="1" applyBorder="1" applyAlignment="1">
      <alignment horizontal="center" vertical="center"/>
    </xf>
    <xf numFmtId="0" fontId="5" fillId="0" borderId="13" xfId="0" applyFont="1" applyBorder="1" applyAlignment="1">
      <alignment horizontal="center" vertical="center" wrapText="1"/>
    </xf>
    <xf numFmtId="0" fontId="1" fillId="9" borderId="1" xfId="0" applyFont="1" applyFill="1" applyBorder="1" applyAlignment="1">
      <alignment horizontal="center" vertical="center"/>
    </xf>
    <xf numFmtId="0" fontId="2" fillId="0" borderId="16" xfId="0" applyFont="1" applyBorder="1" applyAlignment="1">
      <alignment horizontal="center" vertical="center" wrapText="1"/>
    </xf>
    <xf numFmtId="0" fontId="4" fillId="4" borderId="1" xfId="0" applyFont="1" applyFill="1" applyBorder="1" applyAlignment="1">
      <alignment horizontal="center" vertical="center" wrapText="1"/>
    </xf>
    <xf numFmtId="0" fontId="2" fillId="0" borderId="16" xfId="0" applyFont="1" applyBorder="1" applyAlignment="1">
      <alignment horizontal="center" vertical="center"/>
    </xf>
    <xf numFmtId="0" fontId="5" fillId="0" borderId="18" xfId="0" applyFont="1" applyBorder="1" applyAlignment="1">
      <alignment horizontal="center" vertical="center" wrapText="1"/>
    </xf>
    <xf numFmtId="0" fontId="8" fillId="0" borderId="6" xfId="0" applyFont="1" applyBorder="1" applyAlignment="1">
      <alignment horizontal="center"/>
    </xf>
    <xf numFmtId="0" fontId="8" fillId="0" borderId="5" xfId="0" applyFont="1" applyBorder="1" applyAlignment="1">
      <alignment horizontal="center"/>
    </xf>
    <xf numFmtId="0" fontId="9" fillId="0" borderId="0" xfId="0" applyFont="1" applyAlignment="1">
      <alignment horizontal="center"/>
    </xf>
    <xf numFmtId="0" fontId="5" fillId="0" borderId="2" xfId="0" applyFont="1" applyBorder="1" applyAlignment="1">
      <alignment horizontal="center" vertical="center" wrapText="1"/>
    </xf>
    <xf numFmtId="0" fontId="2" fillId="0" borderId="19" xfId="0" applyFont="1" applyBorder="1" applyAlignment="1" applyProtection="1">
      <alignment horizontal="center" vertical="center" wrapText="1"/>
      <protection locked="0"/>
    </xf>
    <xf numFmtId="0" fontId="2" fillId="0" borderId="1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2" borderId="0" xfId="0" applyFont="1" applyFill="1" applyAlignment="1">
      <alignment horizontal="center" wrapText="1"/>
    </xf>
    <xf numFmtId="0" fontId="2" fillId="2" borderId="20" xfId="0" applyFont="1" applyFill="1" applyBorder="1" applyAlignment="1">
      <alignment horizontal="center" wrapText="1"/>
    </xf>
    <xf numFmtId="0" fontId="2" fillId="2" borderId="17" xfId="0" applyFont="1" applyFill="1" applyBorder="1" applyAlignment="1">
      <alignment horizontal="center" vertical="center"/>
    </xf>
    <xf numFmtId="0" fontId="2" fillId="0" borderId="11" xfId="0" applyFont="1" applyBorder="1" applyAlignment="1">
      <alignment horizontal="center" vertical="center" wrapText="1"/>
    </xf>
    <xf numFmtId="0" fontId="5" fillId="0" borderId="12" xfId="0" applyFont="1" applyBorder="1" applyAlignment="1">
      <alignment horizontal="center" vertical="center" wrapText="1"/>
    </xf>
    <xf numFmtId="49" fontId="2" fillId="2" borderId="7" xfId="0" applyNumberFormat="1" applyFont="1" applyFill="1" applyBorder="1" applyAlignment="1">
      <alignment horizontal="center" vertical="center"/>
    </xf>
    <xf numFmtId="0" fontId="2" fillId="2" borderId="17" xfId="0" applyFont="1" applyFill="1" applyBorder="1" applyAlignment="1">
      <alignment horizontal="center"/>
    </xf>
    <xf numFmtId="0" fontId="4" fillId="6" borderId="4" xfId="0" applyFont="1" applyFill="1" applyBorder="1" applyAlignment="1">
      <alignment horizontal="center" vertical="center"/>
    </xf>
    <xf numFmtId="0" fontId="4" fillId="6" borderId="4" xfId="0" applyFont="1" applyFill="1" applyBorder="1" applyAlignment="1">
      <alignment horizontal="center" vertical="center" wrapText="1"/>
    </xf>
    <xf numFmtId="0" fontId="1" fillId="4" borderId="4" xfId="0" applyFont="1" applyFill="1" applyBorder="1" applyAlignment="1">
      <alignment horizontal="center" vertical="center"/>
    </xf>
    <xf numFmtId="0" fontId="5" fillId="2" borderId="7" xfId="0" applyFont="1" applyFill="1" applyBorder="1" applyAlignment="1">
      <alignment horizontal="center"/>
    </xf>
    <xf numFmtId="0" fontId="5" fillId="2" borderId="7" xfId="0" applyFont="1" applyFill="1" applyBorder="1" applyAlignment="1">
      <alignment horizontal="center" vertical="center"/>
    </xf>
    <xf numFmtId="0" fontId="6" fillId="2" borderId="7" xfId="0" applyFont="1" applyFill="1" applyBorder="1" applyAlignment="1">
      <alignment horizontal="center"/>
    </xf>
    <xf numFmtId="0" fontId="10" fillId="2" borderId="7" xfId="0" applyFont="1" applyFill="1" applyBorder="1" applyAlignment="1">
      <alignment horizontal="center"/>
    </xf>
    <xf numFmtId="22" fontId="10" fillId="2" borderId="7" xfId="0" applyNumberFormat="1" applyFont="1" applyFill="1" applyBorder="1" applyAlignment="1">
      <alignment horizontal="center"/>
    </xf>
    <xf numFmtId="49" fontId="7" fillId="2" borderId="7" xfId="0" applyNumberFormat="1" applyFont="1" applyFill="1" applyBorder="1" applyAlignment="1">
      <alignment horizontal="center"/>
    </xf>
    <xf numFmtId="22" fontId="6" fillId="2" borderId="7" xfId="0" applyNumberFormat="1" applyFont="1" applyFill="1" applyBorder="1" applyAlignment="1">
      <alignment horizontal="center"/>
    </xf>
    <xf numFmtId="0" fontId="6" fillId="2" borderId="7" xfId="0" quotePrefix="1" applyFont="1" applyFill="1" applyBorder="1" applyAlignment="1">
      <alignment horizontal="center"/>
    </xf>
    <xf numFmtId="0" fontId="6" fillId="2" borderId="7" xfId="0" applyFont="1" applyFill="1" applyBorder="1" applyAlignment="1">
      <alignment horizontal="center" wrapText="1"/>
    </xf>
    <xf numFmtId="0" fontId="10" fillId="2" borderId="7" xfId="0" applyFont="1" applyFill="1" applyBorder="1" applyAlignment="1">
      <alignment horizontal="center" wrapText="1"/>
    </xf>
    <xf numFmtId="0" fontId="10" fillId="2" borderId="7" xfId="0" quotePrefix="1" applyFont="1" applyFill="1" applyBorder="1" applyAlignment="1">
      <alignment horizontal="center"/>
    </xf>
    <xf numFmtId="0" fontId="6" fillId="2" borderId="10" xfId="0" applyFont="1" applyFill="1" applyBorder="1" applyAlignment="1">
      <alignment horizontal="center"/>
    </xf>
    <xf numFmtId="22" fontId="6" fillId="2" borderId="10" xfId="0" applyNumberFormat="1" applyFont="1" applyFill="1" applyBorder="1" applyAlignment="1">
      <alignment horizontal="center"/>
    </xf>
    <xf numFmtId="0" fontId="6" fillId="10" borderId="7" xfId="0" applyFont="1" applyFill="1" applyBorder="1" applyAlignment="1">
      <alignment horizontal="center"/>
    </xf>
    <xf numFmtId="0" fontId="6" fillId="2" borderId="7" xfId="0" applyFont="1" applyFill="1" applyBorder="1" applyAlignment="1">
      <alignment horizontal="left"/>
    </xf>
    <xf numFmtId="0" fontId="6" fillId="2" borderId="7" xfId="0" applyFont="1" applyFill="1" applyBorder="1" applyAlignment="1">
      <alignment horizontal="left" wrapText="1"/>
    </xf>
    <xf numFmtId="0" fontId="6" fillId="11" borderId="7" xfId="0" applyFont="1" applyFill="1" applyBorder="1" applyAlignment="1">
      <alignment horizontal="center"/>
    </xf>
    <xf numFmtId="0" fontId="2" fillId="0" borderId="10" xfId="0" applyFont="1" applyBorder="1" applyAlignment="1">
      <alignment horizontal="center" vertical="center"/>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2" fillId="0" borderId="15" xfId="0" applyFont="1" applyBorder="1" applyAlignment="1" applyProtection="1">
      <alignment horizontal="center" vertical="center" wrapText="1"/>
      <protection locked="0"/>
    </xf>
    <xf numFmtId="0" fontId="6" fillId="2" borderId="8" xfId="0" applyFont="1" applyFill="1" applyBorder="1" applyAlignment="1">
      <alignment horizontal="center"/>
    </xf>
    <xf numFmtId="0" fontId="6" fillId="9" borderId="7" xfId="0" applyFont="1" applyFill="1" applyBorder="1" applyAlignment="1">
      <alignment horizontal="center"/>
    </xf>
    <xf numFmtId="49" fontId="2" fillId="9" borderId="3" xfId="0" applyNumberFormat="1" applyFont="1" applyFill="1" applyBorder="1" applyAlignment="1">
      <alignment horizontal="center"/>
    </xf>
    <xf numFmtId="0" fontId="2" fillId="9" borderId="1" xfId="0" applyFont="1" applyFill="1" applyBorder="1" applyAlignment="1">
      <alignment horizontal="center" vertical="center"/>
    </xf>
    <xf numFmtId="49" fontId="2" fillId="9" borderId="1" xfId="0" applyNumberFormat="1" applyFont="1" applyFill="1" applyBorder="1" applyAlignment="1">
      <alignment horizontal="center"/>
    </xf>
  </cellXfs>
  <cellStyles count="2">
    <cellStyle name="Normal" xfId="0" builtinId="0"/>
    <cellStyle name="Normal 2" xfId="1" xr:uid="{00000000-0005-0000-0000-000001000000}"/>
  </cellStyles>
  <dxfs count="31">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7030A0"/>
        </patternFill>
      </fill>
    </dxf>
    <dxf>
      <font>
        <color theme="0"/>
      </font>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7030A0"/>
        </patternFill>
      </fill>
    </dxf>
    <dxf>
      <font>
        <color theme="0"/>
      </font>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7030A0"/>
        </patternFill>
      </fill>
    </dxf>
    <dxf>
      <font>
        <color theme="0"/>
      </font>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s>
  <tableStyles count="0" defaultTableStyle="TableStyleMedium2" defaultPivotStyle="PivotStyleLight16"/>
  <colors>
    <mruColors>
      <color rgb="FFFF6600"/>
      <color rgb="FF8D54B8"/>
      <color rgb="FFE7CAFC"/>
      <color rgb="FFF583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K516"/>
  <sheetViews>
    <sheetView tabSelected="1" topLeftCell="AJ1" zoomScale="55" zoomScaleNormal="55" workbookViewId="0">
      <pane ySplit="1" topLeftCell="A502" activePane="bottomLeft" state="frozen"/>
      <selection activeCell="L131" sqref="L131"/>
      <selection pane="bottomLeft" activeCell="AM507" sqref="AM507"/>
    </sheetView>
  </sheetViews>
  <sheetFormatPr defaultColWidth="9.140625" defaultRowHeight="30" customHeight="1" x14ac:dyDescent="0.25"/>
  <cols>
    <col min="1" max="1" width="61.7109375" style="7" customWidth="1"/>
    <col min="2" max="2" width="25.28515625" style="7" customWidth="1"/>
    <col min="3" max="3" width="58" style="7" bestFit="1" customWidth="1"/>
    <col min="4" max="4" width="20.140625" style="7" customWidth="1"/>
    <col min="5" max="5" width="23.5703125" style="7" bestFit="1" customWidth="1"/>
    <col min="6" max="6" width="60.140625" style="7" bestFit="1" customWidth="1"/>
    <col min="7" max="7" width="20.7109375" style="7" bestFit="1" customWidth="1"/>
    <col min="8" max="8" width="29.28515625" style="7" bestFit="1" customWidth="1"/>
    <col min="9" max="9" width="18.85546875" style="7" customWidth="1"/>
    <col min="10" max="10" width="58" style="7" bestFit="1" customWidth="1"/>
    <col min="11" max="11" width="51.5703125" style="7" bestFit="1" customWidth="1"/>
    <col min="12" max="12" width="39.140625" style="7" bestFit="1" customWidth="1"/>
    <col min="13" max="13" width="36.28515625" style="7" bestFit="1" customWidth="1"/>
    <col min="14" max="14" width="51.5703125" style="11" customWidth="1"/>
    <col min="15" max="15" width="24.85546875" style="7" bestFit="1" customWidth="1"/>
    <col min="16" max="16" width="38.85546875" style="7" bestFit="1" customWidth="1"/>
    <col min="17" max="17" width="29.42578125" style="7" bestFit="1" customWidth="1"/>
    <col min="18" max="18" width="43" style="7" bestFit="1" customWidth="1"/>
    <col min="19" max="19" width="26.85546875" style="7" bestFit="1" customWidth="1"/>
    <col min="20" max="20" width="39.85546875" style="7" bestFit="1" customWidth="1"/>
    <col min="21" max="21" width="28" style="7" bestFit="1" customWidth="1"/>
    <col min="22" max="22" width="41.42578125" style="7" bestFit="1" customWidth="1"/>
    <col min="23" max="23" width="35" style="7" bestFit="1" customWidth="1"/>
    <col min="24" max="24" width="48" style="7" bestFit="1" customWidth="1"/>
    <col min="25" max="25" width="35.140625" style="7" bestFit="1" customWidth="1"/>
    <col min="26" max="26" width="47.140625" style="7" bestFit="1" customWidth="1"/>
    <col min="27" max="27" width="34.42578125" style="7" bestFit="1" customWidth="1"/>
    <col min="28" max="28" width="46.42578125" style="7" bestFit="1" customWidth="1"/>
    <col min="29" max="29" width="29.42578125" style="7" bestFit="1" customWidth="1"/>
    <col min="30" max="30" width="43" style="7" bestFit="1" customWidth="1"/>
    <col min="31" max="32" width="37.28515625" style="7" bestFit="1" customWidth="1"/>
    <col min="33" max="33" width="67.140625" style="7" customWidth="1"/>
    <col min="34" max="34" width="22" style="7" customWidth="1"/>
    <col min="35" max="35" width="23.5703125" style="7" bestFit="1" customWidth="1"/>
    <col min="36" max="36" width="25.5703125" style="7" bestFit="1" customWidth="1"/>
    <col min="37" max="37" width="55.42578125" style="7" bestFit="1" customWidth="1"/>
    <col min="38" max="16384" width="9.140625" style="2"/>
  </cols>
  <sheetData>
    <row r="1" spans="1:37" s="7" customFormat="1" ht="33" customHeight="1" x14ac:dyDescent="0.25">
      <c r="A1" s="77" t="s">
        <v>72</v>
      </c>
      <c r="B1" s="77" t="s">
        <v>73</v>
      </c>
      <c r="C1" s="77" t="s">
        <v>74</v>
      </c>
      <c r="D1" s="77" t="s">
        <v>75</v>
      </c>
      <c r="E1" s="77" t="s">
        <v>76</v>
      </c>
      <c r="F1" s="77" t="s">
        <v>77</v>
      </c>
      <c r="G1" s="77" t="s">
        <v>78</v>
      </c>
      <c r="H1" s="77" t="s">
        <v>79</v>
      </c>
      <c r="I1" s="77" t="s">
        <v>80</v>
      </c>
      <c r="J1" s="77" t="s">
        <v>81</v>
      </c>
      <c r="K1" s="77" t="s">
        <v>82</v>
      </c>
      <c r="L1" s="77" t="s">
        <v>83</v>
      </c>
      <c r="M1" s="77" t="s">
        <v>84</v>
      </c>
      <c r="N1" s="78" t="s">
        <v>12</v>
      </c>
      <c r="O1" s="23" t="s">
        <v>5</v>
      </c>
      <c r="P1" s="23" t="s">
        <v>85</v>
      </c>
      <c r="Q1" s="23" t="s">
        <v>6</v>
      </c>
      <c r="R1" s="23" t="s">
        <v>86</v>
      </c>
      <c r="S1" s="23" t="s">
        <v>7</v>
      </c>
      <c r="T1" s="23" t="s">
        <v>87</v>
      </c>
      <c r="U1" s="23" t="s">
        <v>8</v>
      </c>
      <c r="V1" s="23" t="s">
        <v>88</v>
      </c>
      <c r="W1" s="23" t="s">
        <v>9</v>
      </c>
      <c r="X1" s="23" t="s">
        <v>89</v>
      </c>
      <c r="Y1" s="23" t="s">
        <v>10</v>
      </c>
      <c r="Z1" s="23" t="s">
        <v>90</v>
      </c>
      <c r="AA1" s="23" t="s">
        <v>91</v>
      </c>
      <c r="AB1" s="23" t="s">
        <v>92</v>
      </c>
      <c r="AC1" s="23" t="s">
        <v>11</v>
      </c>
      <c r="AD1" s="5" t="s">
        <v>93</v>
      </c>
      <c r="AE1" s="24" t="s">
        <v>94</v>
      </c>
      <c r="AF1" s="24" t="s">
        <v>95</v>
      </c>
      <c r="AG1" s="23" t="s">
        <v>96</v>
      </c>
      <c r="AH1" s="23" t="s">
        <v>97</v>
      </c>
      <c r="AI1" s="6" t="s">
        <v>98</v>
      </c>
      <c r="AJ1" s="6" t="s">
        <v>99</v>
      </c>
      <c r="AK1" s="6" t="s">
        <v>100</v>
      </c>
    </row>
    <row r="2" spans="1:37" s="7" customFormat="1" ht="30" customHeight="1" x14ac:dyDescent="0.2">
      <c r="A2" s="82" t="s">
        <v>101</v>
      </c>
      <c r="B2" s="83">
        <v>2613586110</v>
      </c>
      <c r="C2" s="83" t="s">
        <v>33</v>
      </c>
      <c r="D2" s="83" t="s">
        <v>25</v>
      </c>
      <c r="E2" s="83" t="s">
        <v>102</v>
      </c>
      <c r="F2" s="83" t="s">
        <v>103</v>
      </c>
      <c r="G2" s="83">
        <v>30</v>
      </c>
      <c r="H2" s="83"/>
      <c r="I2" s="83" t="s">
        <v>104</v>
      </c>
      <c r="J2" s="83" t="s">
        <v>33</v>
      </c>
      <c r="K2" s="89" t="s">
        <v>105</v>
      </c>
      <c r="L2" s="84" t="s">
        <v>106</v>
      </c>
      <c r="M2" s="84">
        <v>46026.609722222223</v>
      </c>
      <c r="N2" s="83" t="s">
        <v>107</v>
      </c>
      <c r="O2" s="45" t="s">
        <v>108</v>
      </c>
      <c r="P2" s="46"/>
      <c r="Q2" s="39" t="s">
        <v>108</v>
      </c>
      <c r="R2" s="46"/>
      <c r="S2" s="39" t="s">
        <v>108</v>
      </c>
      <c r="T2" s="46"/>
      <c r="U2" s="39" t="s">
        <v>108</v>
      </c>
      <c r="V2" s="46"/>
      <c r="W2" s="39" t="s">
        <v>108</v>
      </c>
      <c r="X2" s="46"/>
      <c r="Y2" s="39" t="s">
        <v>108</v>
      </c>
      <c r="Z2" s="46"/>
      <c r="AA2" s="39" t="s">
        <v>108</v>
      </c>
      <c r="AB2" s="46"/>
      <c r="AC2" s="39" t="s">
        <v>108</v>
      </c>
      <c r="AD2" s="49"/>
      <c r="AE2" s="39" t="s">
        <v>108</v>
      </c>
      <c r="AF2" s="47"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C</v>
      </c>
      <c r="AG2" s="61" t="str">
        <f>IF(AND(AE2="C",AF2="C"),"UTILIZOU O PDA CORRETAMENTE",IF(AND(AE2="C",AF2="NC"),"UTILIZOU O PDA CORRETAMENTE. NÃO HÁ FOTOS DE TODAS AS ETAPAS",IF(AND(AE2="NC",AF2="NC"),"NÃO UTILIZOU O PDA",IF(AND(AE2="NA",AF2="NA"),"NÃO AVALIADO POR FALHA DE SINCRONISMO"))))</f>
        <v>UTILIZOU O PDA CORRETAMENTE</v>
      </c>
      <c r="AH2" s="39" t="s">
        <v>108</v>
      </c>
      <c r="AI2" s="62" t="s">
        <v>1</v>
      </c>
      <c r="AJ2" s="22" t="str">
        <f>E2</f>
        <v>GUARULHOS</v>
      </c>
      <c r="AK2" s="67" t="s">
        <v>4</v>
      </c>
    </row>
    <row r="3" spans="1:37" ht="30" customHeight="1" x14ac:dyDescent="0.2">
      <c r="A3" s="83" t="s">
        <v>101</v>
      </c>
      <c r="B3" s="83">
        <v>2613368415</v>
      </c>
      <c r="C3" s="83" t="s">
        <v>40</v>
      </c>
      <c r="D3" s="83" t="s">
        <v>25</v>
      </c>
      <c r="E3" s="83" t="s">
        <v>102</v>
      </c>
      <c r="F3" s="83" t="s">
        <v>109</v>
      </c>
      <c r="G3" s="83">
        <v>419</v>
      </c>
      <c r="H3" s="83" t="s">
        <v>110</v>
      </c>
      <c r="I3" s="83" t="s">
        <v>111</v>
      </c>
      <c r="J3" s="83" t="s">
        <v>40</v>
      </c>
      <c r="K3" s="83" t="s">
        <v>112</v>
      </c>
      <c r="L3" s="84" t="s">
        <v>106</v>
      </c>
      <c r="M3" s="84">
        <v>46026.681250000001</v>
      </c>
      <c r="N3" s="83" t="s">
        <v>113</v>
      </c>
      <c r="O3" s="35" t="s">
        <v>108</v>
      </c>
      <c r="P3" s="25"/>
      <c r="Q3" s="26" t="s">
        <v>108</v>
      </c>
      <c r="R3" s="25"/>
      <c r="S3" s="26" t="s">
        <v>108</v>
      </c>
      <c r="T3" s="25"/>
      <c r="U3" s="26" t="s">
        <v>108</v>
      </c>
      <c r="V3" s="25"/>
      <c r="W3" s="26" t="s">
        <v>108</v>
      </c>
      <c r="X3" s="25"/>
      <c r="Y3" s="26" t="s">
        <v>108</v>
      </c>
      <c r="Z3" s="25"/>
      <c r="AA3" s="26" t="s">
        <v>108</v>
      </c>
      <c r="AB3" s="25"/>
      <c r="AC3" s="26" t="s">
        <v>108</v>
      </c>
      <c r="AD3" s="10"/>
      <c r="AE3" s="26" t="s">
        <v>108</v>
      </c>
      <c r="AF3" s="47" t="str">
        <f t="shared" ref="AF3:AF6" si="0">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C</v>
      </c>
      <c r="AG3" s="8" t="str">
        <f t="shared" ref="AG3:AG6" si="1">IF(AND(AE3="C",AF3="C"),"UTILIZOU O PDA CORRETAMENTE",IF(AND(AE3="C",AF3="NC"),"UTILIZOU O PDA CORRETAMENTE. NÃO HÁ FOTOS DE TODAS AS ETAPAS",IF(AND(AE3="NC",AF3="NC"),"NÃO UTILIZOU O PDA",IF(AND(AE3="NA",AF3="NA"),"NÃO AVALIADO POR FALHA DE SINCRONISMO"))))</f>
        <v>UTILIZOU O PDA CORRETAMENTE</v>
      </c>
      <c r="AH3" s="26" t="s">
        <v>542</v>
      </c>
      <c r="AI3" s="20" t="s">
        <v>1</v>
      </c>
      <c r="AJ3" s="22" t="str">
        <f t="shared" ref="AJ3:AJ6" si="2">E3</f>
        <v>GUARULHOS</v>
      </c>
      <c r="AK3" s="68" t="s">
        <v>4</v>
      </c>
    </row>
    <row r="4" spans="1:37" ht="30" customHeight="1" x14ac:dyDescent="0.2">
      <c r="A4" s="83" t="s">
        <v>101</v>
      </c>
      <c r="B4" s="83">
        <v>2613368455</v>
      </c>
      <c r="C4" s="83" t="s">
        <v>42</v>
      </c>
      <c r="D4" s="83" t="s">
        <v>25</v>
      </c>
      <c r="E4" s="83" t="s">
        <v>102</v>
      </c>
      <c r="F4" s="83" t="s">
        <v>109</v>
      </c>
      <c r="G4" s="83">
        <v>419</v>
      </c>
      <c r="H4" s="83" t="s">
        <v>115</v>
      </c>
      <c r="I4" s="83" t="s">
        <v>111</v>
      </c>
      <c r="J4" s="83" t="s">
        <v>42</v>
      </c>
      <c r="K4" s="83">
        <v>2613368415</v>
      </c>
      <c r="L4" s="84" t="s">
        <v>106</v>
      </c>
      <c r="M4" s="84">
        <v>46026.68472222222</v>
      </c>
      <c r="N4" s="83" t="s">
        <v>113</v>
      </c>
      <c r="O4" s="35" t="s">
        <v>108</v>
      </c>
      <c r="P4" s="25"/>
      <c r="Q4" s="26" t="s">
        <v>108</v>
      </c>
      <c r="R4" s="25"/>
      <c r="S4" s="26" t="s">
        <v>108</v>
      </c>
      <c r="T4" s="25"/>
      <c r="U4" s="26" t="s">
        <v>108</v>
      </c>
      <c r="V4" s="25"/>
      <c r="W4" s="26" t="s">
        <v>108</v>
      </c>
      <c r="X4" s="25"/>
      <c r="Y4" s="26" t="s">
        <v>108</v>
      </c>
      <c r="Z4" s="25"/>
      <c r="AA4" s="26" t="s">
        <v>108</v>
      </c>
      <c r="AB4" s="25"/>
      <c r="AC4" s="26" t="s">
        <v>108</v>
      </c>
      <c r="AD4" s="10"/>
      <c r="AE4" s="26" t="s">
        <v>108</v>
      </c>
      <c r="AF4" s="47" t="str">
        <f t="shared" si="0"/>
        <v>C</v>
      </c>
      <c r="AG4" s="8" t="str">
        <f t="shared" si="1"/>
        <v>UTILIZOU O PDA CORRETAMENTE</v>
      </c>
      <c r="AH4" s="26" t="s">
        <v>108</v>
      </c>
      <c r="AI4" s="20" t="s">
        <v>1</v>
      </c>
      <c r="AJ4" s="22" t="str">
        <f t="shared" si="2"/>
        <v>GUARULHOS</v>
      </c>
      <c r="AK4" s="68" t="s">
        <v>4</v>
      </c>
    </row>
    <row r="5" spans="1:37" ht="30" customHeight="1" x14ac:dyDescent="0.2">
      <c r="A5" s="83" t="s">
        <v>101</v>
      </c>
      <c r="B5" s="83">
        <v>2613597228</v>
      </c>
      <c r="C5" s="83" t="s">
        <v>33</v>
      </c>
      <c r="D5" s="83" t="s">
        <v>25</v>
      </c>
      <c r="E5" s="83" t="s">
        <v>102</v>
      </c>
      <c r="F5" s="83" t="s">
        <v>116</v>
      </c>
      <c r="G5" s="83">
        <v>12</v>
      </c>
      <c r="H5" s="83" t="s">
        <v>117</v>
      </c>
      <c r="I5" s="83" t="s">
        <v>118</v>
      </c>
      <c r="J5" s="83" t="s">
        <v>33</v>
      </c>
      <c r="K5" s="83" t="s">
        <v>117</v>
      </c>
      <c r="L5" s="84" t="s">
        <v>106</v>
      </c>
      <c r="M5" s="84">
        <v>46026.543749999997</v>
      </c>
      <c r="N5" s="83" t="s">
        <v>119</v>
      </c>
      <c r="O5" s="35" t="s">
        <v>108</v>
      </c>
      <c r="P5" s="25"/>
      <c r="Q5" s="26" t="s">
        <v>108</v>
      </c>
      <c r="R5" s="25"/>
      <c r="S5" s="26" t="s">
        <v>108</v>
      </c>
      <c r="T5" s="25"/>
      <c r="U5" s="26" t="s">
        <v>108</v>
      </c>
      <c r="V5" s="25"/>
      <c r="W5" s="26" t="s">
        <v>108</v>
      </c>
      <c r="X5" s="25"/>
      <c r="Y5" s="26" t="s">
        <v>108</v>
      </c>
      <c r="Z5" s="25"/>
      <c r="AA5" s="26" t="s">
        <v>108</v>
      </c>
      <c r="AB5" s="25"/>
      <c r="AC5" s="26" t="s">
        <v>108</v>
      </c>
      <c r="AD5" s="10"/>
      <c r="AE5" s="26" t="s">
        <v>108</v>
      </c>
      <c r="AF5" s="47" t="str">
        <f t="shared" si="0"/>
        <v>C</v>
      </c>
      <c r="AG5" s="8" t="str">
        <f t="shared" si="1"/>
        <v>UTILIZOU O PDA CORRETAMENTE</v>
      </c>
      <c r="AH5" s="26" t="s">
        <v>108</v>
      </c>
      <c r="AI5" s="20" t="s">
        <v>1</v>
      </c>
      <c r="AJ5" s="22" t="str">
        <f t="shared" si="2"/>
        <v>GUARULHOS</v>
      </c>
      <c r="AK5" s="68" t="s">
        <v>4</v>
      </c>
    </row>
    <row r="6" spans="1:37" ht="30" customHeight="1" x14ac:dyDescent="0.2">
      <c r="A6" s="83" t="s">
        <v>101</v>
      </c>
      <c r="B6" s="83">
        <v>2613572128</v>
      </c>
      <c r="C6" s="83" t="s">
        <v>31</v>
      </c>
      <c r="D6" s="83" t="s">
        <v>25</v>
      </c>
      <c r="E6" s="83" t="s">
        <v>102</v>
      </c>
      <c r="F6" s="83" t="s">
        <v>120</v>
      </c>
      <c r="G6" s="83">
        <v>147</v>
      </c>
      <c r="H6" s="83" t="s">
        <v>121</v>
      </c>
      <c r="I6" s="83" t="s">
        <v>122</v>
      </c>
      <c r="J6" s="83" t="s">
        <v>123</v>
      </c>
      <c r="K6" s="83" t="s">
        <v>124</v>
      </c>
      <c r="L6" s="84" t="s">
        <v>106</v>
      </c>
      <c r="M6" s="84">
        <v>46026.627083333333</v>
      </c>
      <c r="N6" s="83" t="s">
        <v>119</v>
      </c>
      <c r="O6" s="36" t="s">
        <v>108</v>
      </c>
      <c r="P6" s="18"/>
      <c r="Q6" s="28" t="s">
        <v>108</v>
      </c>
      <c r="R6" s="18"/>
      <c r="S6" s="28" t="s">
        <v>108</v>
      </c>
      <c r="T6" s="18"/>
      <c r="U6" s="28" t="s">
        <v>108</v>
      </c>
      <c r="V6" s="18"/>
      <c r="W6" s="28" t="s">
        <v>108</v>
      </c>
      <c r="X6" s="18"/>
      <c r="Y6" s="28" t="s">
        <v>14</v>
      </c>
      <c r="Z6" s="18"/>
      <c r="AA6" s="28" t="s">
        <v>108</v>
      </c>
      <c r="AB6" s="18"/>
      <c r="AC6" s="28" t="s">
        <v>108</v>
      </c>
      <c r="AD6" s="18"/>
      <c r="AE6" s="28" t="s">
        <v>108</v>
      </c>
      <c r="AF6" s="47" t="str">
        <f t="shared" si="0"/>
        <v>C</v>
      </c>
      <c r="AG6" s="8" t="str">
        <f t="shared" si="1"/>
        <v>UTILIZOU O PDA CORRETAMENTE</v>
      </c>
      <c r="AH6" s="26" t="s">
        <v>108</v>
      </c>
      <c r="AI6" s="20" t="s">
        <v>1</v>
      </c>
      <c r="AJ6" s="22" t="str">
        <f t="shared" si="2"/>
        <v>GUARULHOS</v>
      </c>
      <c r="AK6" s="68" t="s">
        <v>4</v>
      </c>
    </row>
    <row r="7" spans="1:37" ht="30" customHeight="1" x14ac:dyDescent="0.2">
      <c r="A7" s="83" t="s">
        <v>101</v>
      </c>
      <c r="B7" s="83">
        <v>2613596117</v>
      </c>
      <c r="C7" s="83" t="s">
        <v>39</v>
      </c>
      <c r="D7" s="83" t="s">
        <v>25</v>
      </c>
      <c r="E7" s="83" t="s">
        <v>102</v>
      </c>
      <c r="F7" s="83" t="s">
        <v>125</v>
      </c>
      <c r="G7" s="83">
        <v>293</v>
      </c>
      <c r="H7" s="83" t="s">
        <v>126</v>
      </c>
      <c r="I7" s="83" t="s">
        <v>127</v>
      </c>
      <c r="J7" s="83" t="s">
        <v>39</v>
      </c>
      <c r="K7" s="83" t="s">
        <v>117</v>
      </c>
      <c r="L7" s="84" t="s">
        <v>106</v>
      </c>
      <c r="M7" s="84">
        <v>46026.703472222223</v>
      </c>
      <c r="N7" s="83" t="s">
        <v>119</v>
      </c>
      <c r="O7" s="35" t="s">
        <v>108</v>
      </c>
      <c r="P7" s="25"/>
      <c r="Q7" s="26" t="s">
        <v>108</v>
      </c>
      <c r="R7" s="25"/>
      <c r="S7" s="26" t="s">
        <v>108</v>
      </c>
      <c r="T7" s="25"/>
      <c r="U7" s="26" t="s">
        <v>108</v>
      </c>
      <c r="V7" s="25"/>
      <c r="W7" s="26" t="s">
        <v>108</v>
      </c>
      <c r="X7" s="25"/>
      <c r="Y7" s="26" t="s">
        <v>14</v>
      </c>
      <c r="Z7" s="25"/>
      <c r="AA7" s="26" t="s">
        <v>108</v>
      </c>
      <c r="AB7" s="25"/>
      <c r="AC7" s="26" t="s">
        <v>108</v>
      </c>
      <c r="AD7" s="10"/>
      <c r="AE7" s="26" t="s">
        <v>108</v>
      </c>
      <c r="AF7" s="47" t="str">
        <f t="shared" ref="AF7:AF35" si="3">IF(AND(O7="",Q7="",S7="",U7="",W7="",Y7="",AA7="",AC7=""),"",IF(OR(AND(O7&lt;&gt;"NA",O7&lt;&gt;"C",O7&lt;&gt;"NC",O7&lt;&gt;"SF",O7&lt;&gt;""),AND(Q7&lt;&gt;"NA",Q7&lt;&gt;"C",Q7&lt;&gt;"NC",Q7&lt;&gt;"SF",Q7&lt;&gt;""),AND(S7&lt;&gt;"NA",S7&lt;&gt;"C",S7&lt;&gt;"NC",S7&lt;&gt;"SF",S7&lt;&gt;""),AND(U7&lt;&gt;"NA",U7&lt;&gt;"C",U7&lt;&gt;"NC",U7&lt;&gt;"SF",U7&lt;&gt;""),AND(W7&lt;&gt;"NA",W7&lt;&gt;"C",W7&lt;&gt;"NC",W7&lt;&gt;"SF",W7&lt;&gt;""),AND(Y7&lt;&gt;"NA",Y7&lt;&gt;"C",Y7&lt;&gt;"NC",Y7&lt;&gt;"SF",Y7&lt;&gt;""),AND(AA7&lt;&gt;"NA",AA7&lt;&gt;"C",AA7&lt;&gt;"NC",AA7&lt;&gt;"SF",AA7&lt;&gt;""),AND(AC7&lt;&gt;"NA",AC7&lt;&gt;"C",AC7&lt;&gt;"NC",AC7&lt;&gt;"SF",AC7&lt;&gt;"")),"FALSO",IF(AND(O7="NA",Q7="NA",S7="NA",U7="NA",W7="NA",Y7="NA",AA7="NA",AC7="NA"),"NA",IF(OR(O7="NC",Q7="NC",S7="NC",U7="NC",W7="NC",Y7="NC",AA7="NC",AC7="NC",O7="SF",Q7="SF",S7="SF",U7="SF",W7="SF",Y7="SF",AA7="SF",AC7="SF"),"NC",IF(OR(O7="C",Q7="C",S7="C",U7="C",W7="C",Y7="C",AA7="C",AC7="C"),"C","")))))</f>
        <v>C</v>
      </c>
      <c r="AG7" s="8" t="str">
        <f t="shared" ref="AG7:AG14" si="4">IF(AND(AE7="C",AF7="C"),"UTILIZOU O PDA CORRETAMENTE",IF(AND(AE7="C",AF7="NC"),"UTILIZOU O PDA CORRETAMENTE. NÃO HÁ FOTOS DE TODAS AS ETAPAS",IF(AND(AE7="NC",AF7="NC"),"NÃO UTILIZOU O PDA",IF(AND(AE7="NA",AF7="NA"),"NÃO AVALIADO POR FALHA DE SINCRONISMO"))))</f>
        <v>UTILIZOU O PDA CORRETAMENTE</v>
      </c>
      <c r="AH7" s="26" t="s">
        <v>108</v>
      </c>
      <c r="AI7" s="20" t="s">
        <v>1</v>
      </c>
      <c r="AJ7" s="22" t="str">
        <f t="shared" ref="AJ7:AJ35" si="5">E7</f>
        <v>GUARULHOS</v>
      </c>
      <c r="AK7" s="68" t="s">
        <v>4</v>
      </c>
    </row>
    <row r="8" spans="1:37" ht="30" customHeight="1" x14ac:dyDescent="0.2">
      <c r="A8" s="83" t="s">
        <v>101</v>
      </c>
      <c r="B8" s="83">
        <v>2613700387</v>
      </c>
      <c r="C8" s="83" t="s">
        <v>132</v>
      </c>
      <c r="D8" s="83" t="s">
        <v>25</v>
      </c>
      <c r="E8" s="83" t="s">
        <v>102</v>
      </c>
      <c r="F8" s="83" t="s">
        <v>133</v>
      </c>
      <c r="G8" s="83">
        <v>11</v>
      </c>
      <c r="H8" s="83" t="s">
        <v>115</v>
      </c>
      <c r="I8" s="83" t="s">
        <v>134</v>
      </c>
      <c r="J8" s="83" t="s">
        <v>135</v>
      </c>
      <c r="K8" s="83">
        <v>2613700313</v>
      </c>
      <c r="L8" s="84" t="s">
        <v>106</v>
      </c>
      <c r="M8" s="84">
        <v>46026.706250000003</v>
      </c>
      <c r="N8" s="83" t="s">
        <v>113</v>
      </c>
      <c r="O8" s="35" t="s">
        <v>108</v>
      </c>
      <c r="P8" s="25"/>
      <c r="Q8" s="26" t="s">
        <v>108</v>
      </c>
      <c r="R8" s="25"/>
      <c r="S8" s="26" t="s">
        <v>108</v>
      </c>
      <c r="T8" s="25"/>
      <c r="U8" s="26" t="s">
        <v>108</v>
      </c>
      <c r="V8" s="25"/>
      <c r="W8" s="26" t="s">
        <v>108</v>
      </c>
      <c r="X8" s="25"/>
      <c r="Y8" s="26" t="s">
        <v>108</v>
      </c>
      <c r="Z8" s="25"/>
      <c r="AA8" s="26" t="s">
        <v>108</v>
      </c>
      <c r="AB8" s="25"/>
      <c r="AC8" s="26" t="s">
        <v>108</v>
      </c>
      <c r="AD8" s="10"/>
      <c r="AE8" s="26" t="s">
        <v>108</v>
      </c>
      <c r="AF8" s="47" t="str">
        <f t="shared" si="3"/>
        <v>C</v>
      </c>
      <c r="AG8" s="8" t="str">
        <f t="shared" si="4"/>
        <v>UTILIZOU O PDA CORRETAMENTE</v>
      </c>
      <c r="AH8" s="26" t="s">
        <v>108</v>
      </c>
      <c r="AI8" s="20" t="s">
        <v>1</v>
      </c>
      <c r="AJ8" s="22" t="str">
        <f t="shared" si="5"/>
        <v>GUARULHOS</v>
      </c>
      <c r="AK8" s="68" t="s">
        <v>4</v>
      </c>
    </row>
    <row r="9" spans="1:37" ht="30" customHeight="1" x14ac:dyDescent="0.2">
      <c r="A9" s="83" t="s">
        <v>101</v>
      </c>
      <c r="B9" s="83">
        <v>2613700313</v>
      </c>
      <c r="C9" s="83" t="s">
        <v>132</v>
      </c>
      <c r="D9" s="83" t="s">
        <v>25</v>
      </c>
      <c r="E9" s="83" t="s">
        <v>102</v>
      </c>
      <c r="F9" s="83" t="s">
        <v>133</v>
      </c>
      <c r="G9" s="83">
        <v>11</v>
      </c>
      <c r="H9" s="83" t="s">
        <v>110</v>
      </c>
      <c r="I9" s="83" t="s">
        <v>134</v>
      </c>
      <c r="J9" s="83" t="s">
        <v>135</v>
      </c>
      <c r="K9" s="83" t="s">
        <v>136</v>
      </c>
      <c r="L9" s="84" t="s">
        <v>106</v>
      </c>
      <c r="M9" s="84">
        <v>46026.706250000003</v>
      </c>
      <c r="N9" s="83" t="s">
        <v>113</v>
      </c>
      <c r="O9" s="35" t="s">
        <v>108</v>
      </c>
      <c r="P9" s="25"/>
      <c r="Q9" s="26" t="s">
        <v>108</v>
      </c>
      <c r="R9" s="25"/>
      <c r="S9" s="26" t="s">
        <v>108</v>
      </c>
      <c r="T9" s="25"/>
      <c r="U9" s="26" t="s">
        <v>108</v>
      </c>
      <c r="V9" s="25"/>
      <c r="W9" s="26" t="s">
        <v>108</v>
      </c>
      <c r="X9" s="25"/>
      <c r="Y9" s="26" t="s">
        <v>108</v>
      </c>
      <c r="Z9" s="25"/>
      <c r="AA9" s="26" t="s">
        <v>108</v>
      </c>
      <c r="AB9" s="25"/>
      <c r="AC9" s="26" t="s">
        <v>108</v>
      </c>
      <c r="AD9" s="10"/>
      <c r="AE9" s="26" t="s">
        <v>108</v>
      </c>
      <c r="AF9" s="47" t="str">
        <f t="shared" si="3"/>
        <v>C</v>
      </c>
      <c r="AG9" s="8" t="str">
        <f t="shared" si="4"/>
        <v>UTILIZOU O PDA CORRETAMENTE</v>
      </c>
      <c r="AH9" s="26" t="s">
        <v>108</v>
      </c>
      <c r="AI9" s="20" t="s">
        <v>1</v>
      </c>
      <c r="AJ9" s="22" t="str">
        <f t="shared" si="5"/>
        <v>GUARULHOS</v>
      </c>
      <c r="AK9" s="68" t="s">
        <v>4</v>
      </c>
    </row>
    <row r="10" spans="1:37" ht="30" customHeight="1" x14ac:dyDescent="0.2">
      <c r="A10" s="83" t="s">
        <v>101</v>
      </c>
      <c r="B10" s="83">
        <v>2613754890</v>
      </c>
      <c r="C10" s="83" t="s">
        <v>45</v>
      </c>
      <c r="D10" s="83" t="s">
        <v>27</v>
      </c>
      <c r="E10" s="83" t="s">
        <v>102</v>
      </c>
      <c r="F10" s="83" t="s">
        <v>161</v>
      </c>
      <c r="G10" s="83">
        <v>182</v>
      </c>
      <c r="H10" s="83" t="s">
        <v>117</v>
      </c>
      <c r="I10" s="83" t="s">
        <v>162</v>
      </c>
      <c r="J10" s="83" t="s">
        <v>150</v>
      </c>
      <c r="K10" s="83" t="s">
        <v>117</v>
      </c>
      <c r="L10" s="84" t="s">
        <v>106</v>
      </c>
      <c r="M10" s="84">
        <v>46026.457638888889</v>
      </c>
      <c r="N10" s="83" t="s">
        <v>163</v>
      </c>
      <c r="O10" s="35" t="s">
        <v>108</v>
      </c>
      <c r="P10" s="25"/>
      <c r="Q10" s="26" t="s">
        <v>108</v>
      </c>
      <c r="R10" s="25"/>
      <c r="S10" s="26" t="s">
        <v>108</v>
      </c>
      <c r="T10" s="25"/>
      <c r="U10" s="26" t="s">
        <v>108</v>
      </c>
      <c r="V10" s="25"/>
      <c r="W10" s="26" t="s">
        <v>108</v>
      </c>
      <c r="X10" s="25"/>
      <c r="Y10" s="26" t="s">
        <v>108</v>
      </c>
      <c r="Z10" s="25"/>
      <c r="AA10" s="26" t="s">
        <v>108</v>
      </c>
      <c r="AB10" s="25"/>
      <c r="AC10" s="26" t="s">
        <v>114</v>
      </c>
      <c r="AD10" s="10" t="s">
        <v>164</v>
      </c>
      <c r="AE10" s="26" t="s">
        <v>108</v>
      </c>
      <c r="AF10" s="47" t="str">
        <f t="shared" si="3"/>
        <v>NC</v>
      </c>
      <c r="AG10" s="8" t="str">
        <f t="shared" si="4"/>
        <v>UTILIZOU O PDA CORRETAMENTE. NÃO HÁ FOTOS DE TODAS AS ETAPAS</v>
      </c>
      <c r="AH10" s="26" t="s">
        <v>108</v>
      </c>
      <c r="AI10" s="20" t="s">
        <v>1</v>
      </c>
      <c r="AJ10" s="22" t="str">
        <f t="shared" si="5"/>
        <v>GUARULHOS</v>
      </c>
      <c r="AK10" s="68" t="s">
        <v>4</v>
      </c>
    </row>
    <row r="11" spans="1:37" ht="30" customHeight="1" x14ac:dyDescent="0.2">
      <c r="A11" s="83" t="s">
        <v>101</v>
      </c>
      <c r="B11" s="83">
        <v>2613754423</v>
      </c>
      <c r="C11" s="83" t="s">
        <v>45</v>
      </c>
      <c r="D11" s="83" t="s">
        <v>27</v>
      </c>
      <c r="E11" s="83" t="s">
        <v>102</v>
      </c>
      <c r="F11" s="83" t="s">
        <v>161</v>
      </c>
      <c r="G11" s="83">
        <v>186</v>
      </c>
      <c r="H11" s="83" t="s">
        <v>165</v>
      </c>
      <c r="I11" s="83" t="s">
        <v>162</v>
      </c>
      <c r="J11" s="83" t="s">
        <v>150</v>
      </c>
      <c r="K11" s="83" t="s">
        <v>166</v>
      </c>
      <c r="L11" s="84" t="s">
        <v>106</v>
      </c>
      <c r="M11" s="84">
        <v>46026.64166666667</v>
      </c>
      <c r="N11" s="83" t="s">
        <v>163</v>
      </c>
      <c r="O11" s="35" t="s">
        <v>108</v>
      </c>
      <c r="P11" s="25"/>
      <c r="Q11" s="26" t="s">
        <v>108</v>
      </c>
      <c r="R11" s="25"/>
      <c r="S11" s="26" t="s">
        <v>108</v>
      </c>
      <c r="T11" s="25"/>
      <c r="U11" s="26" t="s">
        <v>108</v>
      </c>
      <c r="V11" s="25"/>
      <c r="W11" s="26" t="s">
        <v>108</v>
      </c>
      <c r="X11" s="25"/>
      <c r="Y11" s="26" t="s">
        <v>108</v>
      </c>
      <c r="Z11" s="25"/>
      <c r="AA11" s="26" t="s">
        <v>108</v>
      </c>
      <c r="AB11" s="25"/>
      <c r="AC11" s="26" t="s">
        <v>114</v>
      </c>
      <c r="AD11" s="10" t="s">
        <v>164</v>
      </c>
      <c r="AE11" s="26" t="s">
        <v>108</v>
      </c>
      <c r="AF11" s="47" t="str">
        <f t="shared" si="3"/>
        <v>NC</v>
      </c>
      <c r="AG11" s="8" t="str">
        <f t="shared" si="4"/>
        <v>UTILIZOU O PDA CORRETAMENTE. NÃO HÁ FOTOS DE TODAS AS ETAPAS</v>
      </c>
      <c r="AH11" s="26" t="s">
        <v>108</v>
      </c>
      <c r="AI11" s="20" t="s">
        <v>1</v>
      </c>
      <c r="AJ11" s="22" t="str">
        <f t="shared" si="5"/>
        <v>GUARULHOS</v>
      </c>
      <c r="AK11" s="68" t="s">
        <v>4</v>
      </c>
    </row>
    <row r="12" spans="1:37" ht="30" customHeight="1" x14ac:dyDescent="0.2">
      <c r="A12" s="83" t="s">
        <v>101</v>
      </c>
      <c r="B12" s="83">
        <v>2689310773</v>
      </c>
      <c r="C12" s="83" t="s">
        <v>51</v>
      </c>
      <c r="D12" s="83" t="s">
        <v>29</v>
      </c>
      <c r="E12" s="83" t="s">
        <v>102</v>
      </c>
      <c r="F12" s="83" t="s">
        <v>167</v>
      </c>
      <c r="G12" s="83">
        <v>210</v>
      </c>
      <c r="H12" s="83" t="s">
        <v>168</v>
      </c>
      <c r="I12" s="83" t="s">
        <v>169</v>
      </c>
      <c r="J12" s="83" t="s">
        <v>170</v>
      </c>
      <c r="K12" s="83" t="s">
        <v>117</v>
      </c>
      <c r="L12" s="84" t="s">
        <v>106</v>
      </c>
      <c r="M12" s="84">
        <v>46026.414583333331</v>
      </c>
      <c r="N12" s="83" t="s">
        <v>171</v>
      </c>
      <c r="O12" s="36" t="s">
        <v>108</v>
      </c>
      <c r="P12" s="18"/>
      <c r="Q12" s="28" t="s">
        <v>108</v>
      </c>
      <c r="R12" s="18"/>
      <c r="S12" s="28" t="s">
        <v>108</v>
      </c>
      <c r="T12" s="18"/>
      <c r="U12" s="28" t="s">
        <v>108</v>
      </c>
      <c r="V12" s="18"/>
      <c r="W12" s="28" t="s">
        <v>108</v>
      </c>
      <c r="X12" s="18"/>
      <c r="Y12" s="28" t="s">
        <v>14</v>
      </c>
      <c r="Z12" s="18"/>
      <c r="AA12" s="28" t="s">
        <v>108</v>
      </c>
      <c r="AB12" s="18"/>
      <c r="AC12" s="28" t="s">
        <v>108</v>
      </c>
      <c r="AD12" s="18"/>
      <c r="AE12" s="28" t="s">
        <v>108</v>
      </c>
      <c r="AF12" s="47" t="str">
        <f t="shared" si="3"/>
        <v>C</v>
      </c>
      <c r="AG12" s="8" t="str">
        <f t="shared" si="4"/>
        <v>UTILIZOU O PDA CORRETAMENTE</v>
      </c>
      <c r="AH12" s="26" t="s">
        <v>108</v>
      </c>
      <c r="AI12" s="20" t="s">
        <v>1</v>
      </c>
      <c r="AJ12" s="22" t="str">
        <f t="shared" si="5"/>
        <v>GUARULHOS</v>
      </c>
      <c r="AK12" s="68" t="s">
        <v>4</v>
      </c>
    </row>
    <row r="13" spans="1:37" ht="30" customHeight="1" x14ac:dyDescent="0.2">
      <c r="A13" s="83" t="s">
        <v>101</v>
      </c>
      <c r="B13" s="83">
        <v>2613840742</v>
      </c>
      <c r="C13" s="83" t="s">
        <v>50</v>
      </c>
      <c r="D13" s="83" t="s">
        <v>29</v>
      </c>
      <c r="E13" s="83" t="s">
        <v>102</v>
      </c>
      <c r="F13" s="83" t="s">
        <v>137</v>
      </c>
      <c r="G13" s="83">
        <v>405</v>
      </c>
      <c r="H13" s="83" t="s">
        <v>117</v>
      </c>
      <c r="I13" s="83" t="s">
        <v>139</v>
      </c>
      <c r="J13" s="83" t="s">
        <v>130</v>
      </c>
      <c r="K13" s="83" t="s">
        <v>172</v>
      </c>
      <c r="L13" s="84" t="s">
        <v>106</v>
      </c>
      <c r="M13" s="84">
        <v>46026.447222222225</v>
      </c>
      <c r="N13" s="83" t="s">
        <v>140</v>
      </c>
      <c r="O13" s="36" t="s">
        <v>108</v>
      </c>
      <c r="P13" s="18"/>
      <c r="Q13" s="28" t="s">
        <v>108</v>
      </c>
      <c r="R13" s="18"/>
      <c r="S13" s="28" t="s">
        <v>108</v>
      </c>
      <c r="T13" s="18"/>
      <c r="U13" s="28" t="s">
        <v>108</v>
      </c>
      <c r="V13" s="18"/>
      <c r="W13" s="28" t="s">
        <v>108</v>
      </c>
      <c r="X13" s="18"/>
      <c r="Y13" s="28" t="s">
        <v>14</v>
      </c>
      <c r="Z13" s="18"/>
      <c r="AA13" s="28" t="s">
        <v>108</v>
      </c>
      <c r="AB13" s="18"/>
      <c r="AC13" s="28" t="s">
        <v>108</v>
      </c>
      <c r="AD13" s="18"/>
      <c r="AE13" s="28" t="s">
        <v>108</v>
      </c>
      <c r="AF13" s="47" t="str">
        <f t="shared" si="3"/>
        <v>C</v>
      </c>
      <c r="AG13" s="8" t="str">
        <f t="shared" si="4"/>
        <v>UTILIZOU O PDA CORRETAMENTE</v>
      </c>
      <c r="AH13" s="26" t="s">
        <v>108</v>
      </c>
      <c r="AI13" s="20" t="s">
        <v>1</v>
      </c>
      <c r="AJ13" s="22" t="str">
        <f t="shared" si="5"/>
        <v>GUARULHOS</v>
      </c>
      <c r="AK13" s="68" t="s">
        <v>4</v>
      </c>
    </row>
    <row r="14" spans="1:37" ht="30" customHeight="1" x14ac:dyDescent="0.2">
      <c r="A14" s="83" t="s">
        <v>101</v>
      </c>
      <c r="B14" s="83">
        <v>2613866966</v>
      </c>
      <c r="C14" s="83" t="s">
        <v>45</v>
      </c>
      <c r="D14" s="83" t="s">
        <v>27</v>
      </c>
      <c r="E14" s="83" t="s">
        <v>102</v>
      </c>
      <c r="F14" s="83" t="s">
        <v>178</v>
      </c>
      <c r="G14" s="83">
        <v>42</v>
      </c>
      <c r="H14" s="83" t="s">
        <v>181</v>
      </c>
      <c r="I14" s="83" t="s">
        <v>179</v>
      </c>
      <c r="J14" s="83" t="s">
        <v>150</v>
      </c>
      <c r="K14" s="83" t="s">
        <v>182</v>
      </c>
      <c r="L14" s="84" t="s">
        <v>106</v>
      </c>
      <c r="M14" s="84">
        <v>46026.539583333331</v>
      </c>
      <c r="N14" s="83" t="s">
        <v>180</v>
      </c>
      <c r="O14" s="35" t="s">
        <v>14</v>
      </c>
      <c r="P14" s="25"/>
      <c r="Q14" s="26" t="s">
        <v>14</v>
      </c>
      <c r="R14" s="25"/>
      <c r="S14" s="26" t="s">
        <v>14</v>
      </c>
      <c r="T14" s="25"/>
      <c r="U14" s="26" t="s">
        <v>14</v>
      </c>
      <c r="V14" s="25"/>
      <c r="W14" s="26" t="s">
        <v>14</v>
      </c>
      <c r="X14" s="25"/>
      <c r="Y14" s="26" t="s">
        <v>14</v>
      </c>
      <c r="Z14" s="25"/>
      <c r="AA14" s="26" t="s">
        <v>14</v>
      </c>
      <c r="AB14" s="25"/>
      <c r="AC14" s="26" t="s">
        <v>14</v>
      </c>
      <c r="AD14" s="10"/>
      <c r="AE14" s="26" t="s">
        <v>14</v>
      </c>
      <c r="AF14" s="47" t="str">
        <f t="shared" si="3"/>
        <v>NA</v>
      </c>
      <c r="AG14" s="8" t="str">
        <f t="shared" si="4"/>
        <v>NÃO AVALIADO POR FALHA DE SINCRONISMO</v>
      </c>
      <c r="AH14" s="26" t="s">
        <v>108</v>
      </c>
      <c r="AI14" s="20" t="s">
        <v>1</v>
      </c>
      <c r="AJ14" s="22" t="str">
        <f t="shared" si="5"/>
        <v>GUARULHOS</v>
      </c>
      <c r="AK14" s="68" t="s">
        <v>4</v>
      </c>
    </row>
    <row r="15" spans="1:37" ht="30" customHeight="1" x14ac:dyDescent="0.2">
      <c r="A15" s="83" t="s">
        <v>101</v>
      </c>
      <c r="B15" s="83">
        <v>2613872051</v>
      </c>
      <c r="C15" s="83" t="s">
        <v>44</v>
      </c>
      <c r="D15" s="83" t="s">
        <v>29</v>
      </c>
      <c r="E15" s="83" t="s">
        <v>102</v>
      </c>
      <c r="F15" s="83" t="s">
        <v>161</v>
      </c>
      <c r="G15" s="83">
        <v>174</v>
      </c>
      <c r="H15" s="83" t="s">
        <v>193</v>
      </c>
      <c r="I15" s="83" t="s">
        <v>162</v>
      </c>
      <c r="J15" s="83" t="s">
        <v>194</v>
      </c>
      <c r="K15" s="89" t="s">
        <v>195</v>
      </c>
      <c r="L15" s="84" t="s">
        <v>106</v>
      </c>
      <c r="M15" s="84">
        <v>46026.674305555556</v>
      </c>
      <c r="N15" s="83" t="s">
        <v>163</v>
      </c>
      <c r="O15" s="35" t="s">
        <v>14</v>
      </c>
      <c r="P15" s="10"/>
      <c r="Q15" s="26" t="s">
        <v>14</v>
      </c>
      <c r="R15" s="10"/>
      <c r="S15" s="26" t="s">
        <v>14</v>
      </c>
      <c r="T15" s="10"/>
      <c r="U15" s="26" t="s">
        <v>14</v>
      </c>
      <c r="V15" s="10"/>
      <c r="W15" s="26" t="s">
        <v>14</v>
      </c>
      <c r="X15" s="10"/>
      <c r="Y15" s="26" t="s">
        <v>14</v>
      </c>
      <c r="Z15" s="10"/>
      <c r="AA15" s="26" t="s">
        <v>14</v>
      </c>
      <c r="AB15" s="10"/>
      <c r="AC15" s="26" t="s">
        <v>14</v>
      </c>
      <c r="AD15" s="10"/>
      <c r="AE15" s="26" t="s">
        <v>14</v>
      </c>
      <c r="AF15" s="47" t="str">
        <f t="shared" si="3"/>
        <v>NA</v>
      </c>
      <c r="AG15" s="8" t="s">
        <v>196</v>
      </c>
      <c r="AH15" s="26" t="s">
        <v>108</v>
      </c>
      <c r="AI15" s="20" t="s">
        <v>1</v>
      </c>
      <c r="AJ15" s="22" t="str">
        <f t="shared" si="5"/>
        <v>GUARULHOS</v>
      </c>
      <c r="AK15" s="68" t="s">
        <v>4</v>
      </c>
    </row>
    <row r="16" spans="1:37" ht="30" customHeight="1" x14ac:dyDescent="0.2">
      <c r="A16" s="83" t="s">
        <v>101</v>
      </c>
      <c r="B16" s="83">
        <v>2613878731</v>
      </c>
      <c r="C16" s="83" t="s">
        <v>50</v>
      </c>
      <c r="D16" s="83" t="s">
        <v>29</v>
      </c>
      <c r="E16" s="83" t="s">
        <v>102</v>
      </c>
      <c r="F16" s="83" t="s">
        <v>197</v>
      </c>
      <c r="G16" s="83">
        <v>426</v>
      </c>
      <c r="H16" s="83" t="s">
        <v>198</v>
      </c>
      <c r="I16" s="83" t="s">
        <v>162</v>
      </c>
      <c r="J16" s="83" t="s">
        <v>130</v>
      </c>
      <c r="K16" s="83" t="s">
        <v>199</v>
      </c>
      <c r="L16" s="84" t="s">
        <v>106</v>
      </c>
      <c r="M16" s="84">
        <v>46026.604861111111</v>
      </c>
      <c r="N16" s="83" t="s">
        <v>144</v>
      </c>
      <c r="O16" s="35" t="s">
        <v>14</v>
      </c>
      <c r="P16" s="10"/>
      <c r="Q16" s="26" t="s">
        <v>14</v>
      </c>
      <c r="R16" s="10"/>
      <c r="S16" s="26" t="s">
        <v>14</v>
      </c>
      <c r="T16" s="10"/>
      <c r="U16" s="26" t="s">
        <v>14</v>
      </c>
      <c r="V16" s="10"/>
      <c r="W16" s="26" t="s">
        <v>14</v>
      </c>
      <c r="X16" s="10"/>
      <c r="Y16" s="26" t="s">
        <v>14</v>
      </c>
      <c r="Z16" s="10"/>
      <c r="AA16" s="26" t="s">
        <v>14</v>
      </c>
      <c r="AB16" s="10"/>
      <c r="AC16" s="26" t="s">
        <v>14</v>
      </c>
      <c r="AD16" s="10"/>
      <c r="AE16" s="26" t="s">
        <v>14</v>
      </c>
      <c r="AF16" s="47" t="str">
        <f t="shared" si="3"/>
        <v>NA</v>
      </c>
      <c r="AG16" s="8" t="s">
        <v>200</v>
      </c>
      <c r="AH16" s="26" t="s">
        <v>108</v>
      </c>
      <c r="AI16" s="20" t="s">
        <v>1</v>
      </c>
      <c r="AJ16" s="22" t="str">
        <f t="shared" si="5"/>
        <v>GUARULHOS</v>
      </c>
      <c r="AK16" s="68" t="s">
        <v>4</v>
      </c>
    </row>
    <row r="17" spans="1:37" ht="30" customHeight="1" x14ac:dyDescent="0.2">
      <c r="A17" s="83" t="s">
        <v>101</v>
      </c>
      <c r="B17" s="83">
        <v>2613879704</v>
      </c>
      <c r="C17" s="83" t="s">
        <v>45</v>
      </c>
      <c r="D17" s="83" t="s">
        <v>27</v>
      </c>
      <c r="E17" s="83" t="s">
        <v>102</v>
      </c>
      <c r="F17" s="83" t="s">
        <v>197</v>
      </c>
      <c r="G17" s="83">
        <v>429</v>
      </c>
      <c r="H17" s="83" t="s">
        <v>117</v>
      </c>
      <c r="I17" s="83" t="s">
        <v>162</v>
      </c>
      <c r="J17" s="83" t="s">
        <v>150</v>
      </c>
      <c r="K17" s="83" t="s">
        <v>201</v>
      </c>
      <c r="L17" s="84" t="s">
        <v>106</v>
      </c>
      <c r="M17" s="84">
        <v>46026.603472222225</v>
      </c>
      <c r="N17" s="83" t="s">
        <v>144</v>
      </c>
      <c r="O17" s="35" t="s">
        <v>14</v>
      </c>
      <c r="P17" s="10"/>
      <c r="Q17" s="26" t="s">
        <v>14</v>
      </c>
      <c r="R17" s="10"/>
      <c r="S17" s="26" t="s">
        <v>14</v>
      </c>
      <c r="T17" s="10"/>
      <c r="U17" s="26" t="s">
        <v>14</v>
      </c>
      <c r="V17" s="10"/>
      <c r="W17" s="26" t="s">
        <v>14</v>
      </c>
      <c r="X17" s="10"/>
      <c r="Y17" s="26" t="s">
        <v>14</v>
      </c>
      <c r="Z17" s="10"/>
      <c r="AA17" s="26" t="s">
        <v>14</v>
      </c>
      <c r="AB17" s="10"/>
      <c r="AC17" s="26" t="s">
        <v>14</v>
      </c>
      <c r="AD17" s="10"/>
      <c r="AE17" s="26" t="s">
        <v>14</v>
      </c>
      <c r="AF17" s="47" t="str">
        <f t="shared" si="3"/>
        <v>NA</v>
      </c>
      <c r="AG17" s="8" t="s">
        <v>200</v>
      </c>
      <c r="AH17" s="26" t="s">
        <v>108</v>
      </c>
      <c r="AI17" s="20" t="s">
        <v>1</v>
      </c>
      <c r="AJ17" s="22" t="str">
        <f t="shared" si="5"/>
        <v>GUARULHOS</v>
      </c>
      <c r="AK17" s="68" t="s">
        <v>4</v>
      </c>
    </row>
    <row r="18" spans="1:37" ht="30" customHeight="1" x14ac:dyDescent="0.2">
      <c r="A18" s="83" t="s">
        <v>101</v>
      </c>
      <c r="B18" s="83">
        <v>2613596154</v>
      </c>
      <c r="C18" s="83" t="s">
        <v>41</v>
      </c>
      <c r="D18" s="83" t="s">
        <v>25</v>
      </c>
      <c r="E18" s="83" t="s">
        <v>102</v>
      </c>
      <c r="F18" s="83" t="s">
        <v>125</v>
      </c>
      <c r="G18" s="83">
        <v>293</v>
      </c>
      <c r="H18" s="83" t="s">
        <v>210</v>
      </c>
      <c r="I18" s="83" t="s">
        <v>127</v>
      </c>
      <c r="J18" s="83" t="s">
        <v>41</v>
      </c>
      <c r="K18" s="83" t="s">
        <v>124</v>
      </c>
      <c r="L18" s="84" t="s">
        <v>106</v>
      </c>
      <c r="M18" s="84">
        <v>46026.702777777777</v>
      </c>
      <c r="N18" s="83" t="s">
        <v>119</v>
      </c>
      <c r="O18" s="35" t="s">
        <v>108</v>
      </c>
      <c r="P18" s="10"/>
      <c r="Q18" s="26" t="s">
        <v>108</v>
      </c>
      <c r="R18" s="10"/>
      <c r="S18" s="26" t="s">
        <v>108</v>
      </c>
      <c r="T18" s="10"/>
      <c r="U18" s="26" t="s">
        <v>108</v>
      </c>
      <c r="V18" s="10"/>
      <c r="W18" s="26" t="s">
        <v>108</v>
      </c>
      <c r="X18" s="10"/>
      <c r="Y18" s="26" t="s">
        <v>14</v>
      </c>
      <c r="Z18" s="10"/>
      <c r="AA18" s="26" t="s">
        <v>108</v>
      </c>
      <c r="AB18" s="10"/>
      <c r="AC18" s="26" t="s">
        <v>108</v>
      </c>
      <c r="AD18" s="10"/>
      <c r="AE18" s="26" t="s">
        <v>108</v>
      </c>
      <c r="AF18" s="47" t="str">
        <f t="shared" si="3"/>
        <v>C</v>
      </c>
      <c r="AG18" s="8" t="str">
        <f t="shared" ref="AG18:AG35" si="6">IF(AND(AE18="C",AF18="C"),"UTILIZOU O PDA CORRETAMENTE",IF(AND(AE18="C",AF18="NC"),"UTILIZOU O PDA CORRETAMENTE. NÃO HÁ FOTOS DE TODAS AS ETAPAS",IF(AND(AE18="NC",AF18="NC"),"NÃO UTILIZOU O PDA",IF(AND(AE18="NA",AF18="NA"),"NÃO AVALIADO POR FALHA DE SINCRONISMO"))))</f>
        <v>UTILIZOU O PDA CORRETAMENTE</v>
      </c>
      <c r="AH18" s="26" t="s">
        <v>108</v>
      </c>
      <c r="AI18" s="20" t="s">
        <v>1</v>
      </c>
      <c r="AJ18" s="22" t="str">
        <f t="shared" si="5"/>
        <v>GUARULHOS</v>
      </c>
      <c r="AK18" s="68" t="s">
        <v>4</v>
      </c>
    </row>
    <row r="19" spans="1:37" ht="30" customHeight="1" x14ac:dyDescent="0.2">
      <c r="A19" s="83" t="s">
        <v>101</v>
      </c>
      <c r="B19" s="83">
        <v>2613868634</v>
      </c>
      <c r="C19" s="83" t="s">
        <v>43</v>
      </c>
      <c r="D19" s="83" t="s">
        <v>29</v>
      </c>
      <c r="E19" s="83" t="s">
        <v>102</v>
      </c>
      <c r="F19" s="83" t="s">
        <v>211</v>
      </c>
      <c r="G19" s="83">
        <v>69</v>
      </c>
      <c r="H19" s="83"/>
      <c r="I19" s="83" t="s">
        <v>212</v>
      </c>
      <c r="J19" s="83" t="s">
        <v>188</v>
      </c>
      <c r="K19" s="83" t="s">
        <v>213</v>
      </c>
      <c r="L19" s="84" t="s">
        <v>106</v>
      </c>
      <c r="M19" s="84">
        <v>46026.663194444445</v>
      </c>
      <c r="N19" s="83" t="s">
        <v>171</v>
      </c>
      <c r="O19" s="35" t="s">
        <v>214</v>
      </c>
      <c r="P19" s="25"/>
      <c r="Q19" s="26" t="s">
        <v>214</v>
      </c>
      <c r="R19" s="25"/>
      <c r="S19" s="26" t="s">
        <v>214</v>
      </c>
      <c r="T19" s="25"/>
      <c r="U19" s="26" t="s">
        <v>214</v>
      </c>
      <c r="V19" s="25"/>
      <c r="W19" s="26" t="s">
        <v>214</v>
      </c>
      <c r="X19" s="25"/>
      <c r="Y19" s="26" t="s">
        <v>214</v>
      </c>
      <c r="Z19" s="25"/>
      <c r="AA19" s="26" t="s">
        <v>214</v>
      </c>
      <c r="AB19" s="25"/>
      <c r="AC19" s="26" t="s">
        <v>214</v>
      </c>
      <c r="AD19" s="10"/>
      <c r="AE19" s="26" t="s">
        <v>114</v>
      </c>
      <c r="AF19" s="47" t="str">
        <f t="shared" si="3"/>
        <v>NC</v>
      </c>
      <c r="AG19" s="8" t="str">
        <f t="shared" si="6"/>
        <v>NÃO UTILIZOU O PDA</v>
      </c>
      <c r="AH19" s="26" t="s">
        <v>108</v>
      </c>
      <c r="AI19" s="20" t="s">
        <v>1</v>
      </c>
      <c r="AJ19" s="22" t="str">
        <f t="shared" si="5"/>
        <v>GUARULHOS</v>
      </c>
      <c r="AK19" s="68" t="s">
        <v>4</v>
      </c>
    </row>
    <row r="20" spans="1:37" ht="30" customHeight="1" x14ac:dyDescent="0.2">
      <c r="A20" s="83" t="s">
        <v>101</v>
      </c>
      <c r="B20" s="83">
        <v>2613597177</v>
      </c>
      <c r="C20" s="83" t="s">
        <v>132</v>
      </c>
      <c r="D20" s="83" t="s">
        <v>25</v>
      </c>
      <c r="E20" s="83" t="s">
        <v>102</v>
      </c>
      <c r="F20" s="83" t="s">
        <v>218</v>
      </c>
      <c r="G20" s="83">
        <v>100</v>
      </c>
      <c r="H20" s="83" t="s">
        <v>219</v>
      </c>
      <c r="I20" s="83" t="s">
        <v>220</v>
      </c>
      <c r="J20" s="83" t="s">
        <v>135</v>
      </c>
      <c r="K20" s="89" t="s">
        <v>221</v>
      </c>
      <c r="L20" s="84" t="s">
        <v>217</v>
      </c>
      <c r="M20" s="84">
        <v>46057.292361111111</v>
      </c>
      <c r="N20" s="83" t="s">
        <v>107</v>
      </c>
      <c r="O20" s="35" t="s">
        <v>14</v>
      </c>
      <c r="P20" s="10"/>
      <c r="Q20" s="26" t="s">
        <v>14</v>
      </c>
      <c r="R20" s="10"/>
      <c r="S20" s="26" t="s">
        <v>14</v>
      </c>
      <c r="T20" s="10"/>
      <c r="U20" s="26" t="s">
        <v>14</v>
      </c>
      <c r="V20" s="10"/>
      <c r="W20" s="26" t="s">
        <v>14</v>
      </c>
      <c r="X20" s="10"/>
      <c r="Y20" s="26" t="s">
        <v>14</v>
      </c>
      <c r="Z20" s="10"/>
      <c r="AA20" s="26" t="s">
        <v>14</v>
      </c>
      <c r="AB20" s="10"/>
      <c r="AC20" s="26" t="s">
        <v>14</v>
      </c>
      <c r="AD20" s="10"/>
      <c r="AE20" s="26" t="s">
        <v>14</v>
      </c>
      <c r="AF20" s="47" t="str">
        <f t="shared" si="3"/>
        <v>NA</v>
      </c>
      <c r="AG20" s="8" t="str">
        <f t="shared" si="6"/>
        <v>NÃO AVALIADO POR FALHA DE SINCRONISMO</v>
      </c>
      <c r="AH20" s="26" t="s">
        <v>108</v>
      </c>
      <c r="AI20" s="20" t="s">
        <v>1</v>
      </c>
      <c r="AJ20" s="22" t="str">
        <f t="shared" si="5"/>
        <v>GUARULHOS</v>
      </c>
      <c r="AK20" s="68" t="s">
        <v>4</v>
      </c>
    </row>
    <row r="21" spans="1:37" ht="30" customHeight="1" x14ac:dyDescent="0.2">
      <c r="A21" s="83" t="s">
        <v>101</v>
      </c>
      <c r="B21" s="83">
        <v>2613597155</v>
      </c>
      <c r="C21" s="83" t="s">
        <v>132</v>
      </c>
      <c r="D21" s="83" t="s">
        <v>25</v>
      </c>
      <c r="E21" s="83" t="s">
        <v>102</v>
      </c>
      <c r="F21" s="83" t="s">
        <v>218</v>
      </c>
      <c r="G21" s="83">
        <v>100</v>
      </c>
      <c r="H21" s="83" t="s">
        <v>222</v>
      </c>
      <c r="I21" s="83" t="s">
        <v>220</v>
      </c>
      <c r="J21" s="83" t="s">
        <v>135</v>
      </c>
      <c r="K21" s="89" t="s">
        <v>221</v>
      </c>
      <c r="L21" s="84" t="s">
        <v>217</v>
      </c>
      <c r="M21" s="84">
        <v>46057.292361111111</v>
      </c>
      <c r="N21" s="83" t="s">
        <v>107</v>
      </c>
      <c r="O21" s="35" t="s">
        <v>14</v>
      </c>
      <c r="P21" s="10"/>
      <c r="Q21" s="26" t="s">
        <v>14</v>
      </c>
      <c r="R21" s="10"/>
      <c r="S21" s="26" t="s">
        <v>14</v>
      </c>
      <c r="T21" s="10"/>
      <c r="U21" s="26" t="s">
        <v>14</v>
      </c>
      <c r="V21" s="10"/>
      <c r="W21" s="26" t="s">
        <v>14</v>
      </c>
      <c r="X21" s="10"/>
      <c r="Y21" s="26" t="s">
        <v>14</v>
      </c>
      <c r="Z21" s="10"/>
      <c r="AA21" s="26" t="s">
        <v>14</v>
      </c>
      <c r="AB21" s="10"/>
      <c r="AC21" s="26" t="s">
        <v>14</v>
      </c>
      <c r="AD21" s="10"/>
      <c r="AE21" s="26" t="s">
        <v>14</v>
      </c>
      <c r="AF21" s="47" t="str">
        <f t="shared" si="3"/>
        <v>NA</v>
      </c>
      <c r="AG21" s="8" t="str">
        <f t="shared" si="6"/>
        <v>NÃO AVALIADO POR FALHA DE SINCRONISMO</v>
      </c>
      <c r="AH21" s="26" t="s">
        <v>108</v>
      </c>
      <c r="AI21" s="20" t="s">
        <v>1</v>
      </c>
      <c r="AJ21" s="22" t="str">
        <f t="shared" si="5"/>
        <v>GUARULHOS</v>
      </c>
      <c r="AK21" s="68" t="s">
        <v>4</v>
      </c>
    </row>
    <row r="22" spans="1:37" ht="30" customHeight="1" x14ac:dyDescent="0.2">
      <c r="A22" s="83" t="s">
        <v>101</v>
      </c>
      <c r="B22" s="83">
        <v>2613597181</v>
      </c>
      <c r="C22" s="83" t="s">
        <v>132</v>
      </c>
      <c r="D22" s="83" t="s">
        <v>25</v>
      </c>
      <c r="E22" s="83" t="s">
        <v>102</v>
      </c>
      <c r="F22" s="83" t="s">
        <v>218</v>
      </c>
      <c r="G22" s="83">
        <v>100</v>
      </c>
      <c r="H22" s="83" t="s">
        <v>223</v>
      </c>
      <c r="I22" s="83" t="s">
        <v>220</v>
      </c>
      <c r="J22" s="83" t="s">
        <v>135</v>
      </c>
      <c r="K22" s="89" t="s">
        <v>221</v>
      </c>
      <c r="L22" s="84" t="s">
        <v>217</v>
      </c>
      <c r="M22" s="84">
        <v>46057.292361111111</v>
      </c>
      <c r="N22" s="83" t="s">
        <v>107</v>
      </c>
      <c r="O22" s="35" t="s">
        <v>14</v>
      </c>
      <c r="P22" s="10"/>
      <c r="Q22" s="26" t="s">
        <v>14</v>
      </c>
      <c r="R22" s="10"/>
      <c r="S22" s="26" t="s">
        <v>14</v>
      </c>
      <c r="T22" s="10"/>
      <c r="U22" s="26" t="s">
        <v>14</v>
      </c>
      <c r="V22" s="10"/>
      <c r="W22" s="26" t="s">
        <v>14</v>
      </c>
      <c r="X22" s="10"/>
      <c r="Y22" s="26" t="s">
        <v>14</v>
      </c>
      <c r="Z22" s="10"/>
      <c r="AA22" s="26" t="s">
        <v>14</v>
      </c>
      <c r="AB22" s="10"/>
      <c r="AC22" s="26" t="s">
        <v>14</v>
      </c>
      <c r="AD22" s="10"/>
      <c r="AE22" s="26" t="s">
        <v>14</v>
      </c>
      <c r="AF22" s="47" t="str">
        <f t="shared" si="3"/>
        <v>NA</v>
      </c>
      <c r="AG22" s="8" t="str">
        <f t="shared" si="6"/>
        <v>NÃO AVALIADO POR FALHA DE SINCRONISMO</v>
      </c>
      <c r="AH22" s="26" t="s">
        <v>108</v>
      </c>
      <c r="AI22" s="20" t="s">
        <v>1</v>
      </c>
      <c r="AJ22" s="22" t="str">
        <f t="shared" si="5"/>
        <v>GUARULHOS</v>
      </c>
      <c r="AK22" s="68" t="s">
        <v>4</v>
      </c>
    </row>
    <row r="23" spans="1:37" ht="30" customHeight="1" x14ac:dyDescent="0.2">
      <c r="A23" s="83" t="s">
        <v>101</v>
      </c>
      <c r="B23" s="83">
        <v>2613599104</v>
      </c>
      <c r="C23" s="83" t="s">
        <v>33</v>
      </c>
      <c r="D23" s="83" t="s">
        <v>25</v>
      </c>
      <c r="E23" s="83" t="s">
        <v>102</v>
      </c>
      <c r="F23" s="83" t="s">
        <v>224</v>
      </c>
      <c r="G23" s="83">
        <v>148</v>
      </c>
      <c r="H23" s="83" t="s">
        <v>117</v>
      </c>
      <c r="I23" s="83" t="s">
        <v>212</v>
      </c>
      <c r="J23" s="83" t="s">
        <v>33</v>
      </c>
      <c r="K23" s="83" t="s">
        <v>225</v>
      </c>
      <c r="L23" s="84" t="s">
        <v>217</v>
      </c>
      <c r="M23" s="84">
        <v>46057.5</v>
      </c>
      <c r="N23" s="83" t="s">
        <v>113</v>
      </c>
      <c r="O23" s="35" t="s">
        <v>108</v>
      </c>
      <c r="P23" s="10"/>
      <c r="Q23" s="26" t="s">
        <v>108</v>
      </c>
      <c r="R23" s="10"/>
      <c r="S23" s="26" t="s">
        <v>108</v>
      </c>
      <c r="T23" s="10"/>
      <c r="U23" s="26" t="s">
        <v>108</v>
      </c>
      <c r="V23" s="10"/>
      <c r="W23" s="26" t="s">
        <v>108</v>
      </c>
      <c r="X23" s="10"/>
      <c r="Y23" s="26" t="s">
        <v>108</v>
      </c>
      <c r="Z23" s="10"/>
      <c r="AA23" s="26" t="s">
        <v>108</v>
      </c>
      <c r="AB23" s="10"/>
      <c r="AC23" s="26" t="s">
        <v>108</v>
      </c>
      <c r="AD23" s="10"/>
      <c r="AE23" s="26" t="s">
        <v>108</v>
      </c>
      <c r="AF23" s="47" t="str">
        <f t="shared" si="3"/>
        <v>C</v>
      </c>
      <c r="AG23" s="8" t="str">
        <f t="shared" si="6"/>
        <v>UTILIZOU O PDA CORRETAMENTE</v>
      </c>
      <c r="AH23" s="26" t="s">
        <v>108</v>
      </c>
      <c r="AI23" s="20" t="s">
        <v>1</v>
      </c>
      <c r="AJ23" s="22" t="str">
        <f t="shared" si="5"/>
        <v>GUARULHOS</v>
      </c>
      <c r="AK23" s="68" t="s">
        <v>4</v>
      </c>
    </row>
    <row r="24" spans="1:37" ht="30" customHeight="1" x14ac:dyDescent="0.2">
      <c r="A24" s="83" t="s">
        <v>101</v>
      </c>
      <c r="B24" s="83">
        <v>2613681820</v>
      </c>
      <c r="C24" s="83" t="s">
        <v>33</v>
      </c>
      <c r="D24" s="83" t="s">
        <v>25</v>
      </c>
      <c r="E24" s="83" t="s">
        <v>102</v>
      </c>
      <c r="F24" s="83" t="s">
        <v>226</v>
      </c>
      <c r="G24" s="83">
        <v>44</v>
      </c>
      <c r="H24" s="83"/>
      <c r="I24" s="83" t="s">
        <v>139</v>
      </c>
      <c r="J24" s="83" t="s">
        <v>33</v>
      </c>
      <c r="K24" s="83" t="s">
        <v>227</v>
      </c>
      <c r="L24" s="84" t="s">
        <v>217</v>
      </c>
      <c r="M24" s="84">
        <v>46057.723611111112</v>
      </c>
      <c r="N24" s="83" t="s">
        <v>113</v>
      </c>
      <c r="O24" s="35" t="s">
        <v>108</v>
      </c>
      <c r="P24" s="10"/>
      <c r="Q24" s="26" t="s">
        <v>108</v>
      </c>
      <c r="R24" s="10"/>
      <c r="S24" s="26" t="s">
        <v>108</v>
      </c>
      <c r="T24" s="10"/>
      <c r="U24" s="26" t="s">
        <v>108</v>
      </c>
      <c r="V24" s="10"/>
      <c r="W24" s="26" t="s">
        <v>108</v>
      </c>
      <c r="X24" s="10"/>
      <c r="Y24" s="26" t="s">
        <v>108</v>
      </c>
      <c r="Z24" s="10"/>
      <c r="AA24" s="26" t="s">
        <v>108</v>
      </c>
      <c r="AB24" s="10"/>
      <c r="AC24" s="26" t="s">
        <v>108</v>
      </c>
      <c r="AD24" s="10"/>
      <c r="AE24" s="26" t="s">
        <v>108</v>
      </c>
      <c r="AF24" s="47" t="str">
        <f t="shared" si="3"/>
        <v>C</v>
      </c>
      <c r="AG24" s="8" t="str">
        <f t="shared" si="6"/>
        <v>UTILIZOU O PDA CORRETAMENTE</v>
      </c>
      <c r="AH24" s="26" t="s">
        <v>108</v>
      </c>
      <c r="AI24" s="20" t="s">
        <v>1</v>
      </c>
      <c r="AJ24" s="22" t="str">
        <f t="shared" si="5"/>
        <v>GUARULHOS</v>
      </c>
      <c r="AK24" s="68" t="s">
        <v>4</v>
      </c>
    </row>
    <row r="25" spans="1:37" ht="30" customHeight="1" x14ac:dyDescent="0.2">
      <c r="A25" s="83" t="s">
        <v>101</v>
      </c>
      <c r="B25" s="83">
        <v>2613899889</v>
      </c>
      <c r="C25" s="83" t="s">
        <v>47</v>
      </c>
      <c r="D25" s="83" t="s">
        <v>29</v>
      </c>
      <c r="E25" s="83" t="s">
        <v>102</v>
      </c>
      <c r="F25" s="83" t="s">
        <v>233</v>
      </c>
      <c r="G25" s="83">
        <v>99</v>
      </c>
      <c r="H25" s="83"/>
      <c r="I25" s="83" t="s">
        <v>104</v>
      </c>
      <c r="J25" s="83" t="s">
        <v>170</v>
      </c>
      <c r="K25" s="83"/>
      <c r="L25" s="84" t="s">
        <v>217</v>
      </c>
      <c r="M25" s="84">
        <v>46057.539583333331</v>
      </c>
      <c r="N25" s="83" t="s">
        <v>146</v>
      </c>
      <c r="O25" s="36" t="s">
        <v>108</v>
      </c>
      <c r="P25" s="18"/>
      <c r="Q25" s="28" t="s">
        <v>108</v>
      </c>
      <c r="R25" s="18"/>
      <c r="S25" s="28" t="s">
        <v>108</v>
      </c>
      <c r="T25" s="18"/>
      <c r="U25" s="28" t="s">
        <v>108</v>
      </c>
      <c r="V25" s="18"/>
      <c r="W25" s="28" t="s">
        <v>108</v>
      </c>
      <c r="X25" s="18"/>
      <c r="Y25" s="28" t="s">
        <v>14</v>
      </c>
      <c r="Z25" s="18"/>
      <c r="AA25" s="28" t="s">
        <v>108</v>
      </c>
      <c r="AB25" s="18"/>
      <c r="AC25" s="28" t="s">
        <v>108</v>
      </c>
      <c r="AD25" s="18"/>
      <c r="AE25" s="28" t="s">
        <v>108</v>
      </c>
      <c r="AF25" s="47" t="str">
        <f t="shared" si="3"/>
        <v>C</v>
      </c>
      <c r="AG25" s="8" t="str">
        <f t="shared" si="6"/>
        <v>UTILIZOU O PDA CORRETAMENTE</v>
      </c>
      <c r="AH25" s="26" t="s">
        <v>108</v>
      </c>
      <c r="AI25" s="20" t="s">
        <v>1</v>
      </c>
      <c r="AJ25" s="22" t="str">
        <f t="shared" si="5"/>
        <v>GUARULHOS</v>
      </c>
      <c r="AK25" s="68" t="s">
        <v>4</v>
      </c>
    </row>
    <row r="26" spans="1:37" ht="30" customHeight="1" x14ac:dyDescent="0.2">
      <c r="A26" s="83" t="s">
        <v>101</v>
      </c>
      <c r="B26" s="83">
        <v>2613903810</v>
      </c>
      <c r="C26" s="83" t="s">
        <v>50</v>
      </c>
      <c r="D26" s="83" t="s">
        <v>29</v>
      </c>
      <c r="E26" s="83" t="s">
        <v>102</v>
      </c>
      <c r="F26" s="83" t="s">
        <v>156</v>
      </c>
      <c r="G26" s="83">
        <v>791</v>
      </c>
      <c r="H26" s="83" t="s">
        <v>234</v>
      </c>
      <c r="I26" s="83" t="s">
        <v>158</v>
      </c>
      <c r="J26" s="83" t="s">
        <v>130</v>
      </c>
      <c r="K26" s="83" t="s">
        <v>235</v>
      </c>
      <c r="L26" s="84" t="s">
        <v>217</v>
      </c>
      <c r="M26" s="84">
        <v>46057.423611111109</v>
      </c>
      <c r="N26" s="83" t="s">
        <v>171</v>
      </c>
      <c r="O26" s="36" t="s">
        <v>108</v>
      </c>
      <c r="P26" s="18"/>
      <c r="Q26" s="28" t="s">
        <v>108</v>
      </c>
      <c r="R26" s="18"/>
      <c r="S26" s="28" t="s">
        <v>108</v>
      </c>
      <c r="T26" s="18"/>
      <c r="U26" s="28" t="s">
        <v>108</v>
      </c>
      <c r="V26" s="18"/>
      <c r="W26" s="28" t="s">
        <v>108</v>
      </c>
      <c r="X26" s="18"/>
      <c r="Y26" s="28" t="s">
        <v>14</v>
      </c>
      <c r="Z26" s="18"/>
      <c r="AA26" s="28" t="s">
        <v>108</v>
      </c>
      <c r="AB26" s="18"/>
      <c r="AC26" s="28" t="s">
        <v>108</v>
      </c>
      <c r="AD26" s="18"/>
      <c r="AE26" s="28" t="s">
        <v>108</v>
      </c>
      <c r="AF26" s="47" t="str">
        <f t="shared" si="3"/>
        <v>C</v>
      </c>
      <c r="AG26" s="8" t="str">
        <f t="shared" si="6"/>
        <v>UTILIZOU O PDA CORRETAMENTE</v>
      </c>
      <c r="AH26" s="26" t="s">
        <v>108</v>
      </c>
      <c r="AI26" s="20" t="s">
        <v>1</v>
      </c>
      <c r="AJ26" s="22" t="str">
        <f t="shared" si="5"/>
        <v>GUARULHOS</v>
      </c>
      <c r="AK26" s="68" t="s">
        <v>4</v>
      </c>
    </row>
    <row r="27" spans="1:37" ht="30" customHeight="1" x14ac:dyDescent="0.2">
      <c r="A27" s="83" t="s">
        <v>101</v>
      </c>
      <c r="B27" s="83">
        <v>2613563442</v>
      </c>
      <c r="C27" s="83" t="s">
        <v>33</v>
      </c>
      <c r="D27" s="83" t="s">
        <v>25</v>
      </c>
      <c r="E27" s="83" t="s">
        <v>102</v>
      </c>
      <c r="F27" s="83" t="s">
        <v>240</v>
      </c>
      <c r="G27" s="83">
        <v>36</v>
      </c>
      <c r="H27" s="83" t="s">
        <v>241</v>
      </c>
      <c r="I27" s="83" t="s">
        <v>242</v>
      </c>
      <c r="J27" s="83" t="s">
        <v>33</v>
      </c>
      <c r="K27" s="89" t="s">
        <v>243</v>
      </c>
      <c r="L27" s="84" t="s">
        <v>217</v>
      </c>
      <c r="M27" s="84">
        <v>46057.292361111111</v>
      </c>
      <c r="N27" s="83" t="s">
        <v>107</v>
      </c>
      <c r="O27" s="35" t="s">
        <v>108</v>
      </c>
      <c r="P27" s="10"/>
      <c r="Q27" s="26" t="s">
        <v>108</v>
      </c>
      <c r="R27" s="10"/>
      <c r="S27" s="26" t="s">
        <v>108</v>
      </c>
      <c r="T27" s="10"/>
      <c r="U27" s="26" t="s">
        <v>108</v>
      </c>
      <c r="V27" s="10"/>
      <c r="W27" s="26" t="s">
        <v>108</v>
      </c>
      <c r="X27" s="10"/>
      <c r="Y27" s="26" t="s">
        <v>108</v>
      </c>
      <c r="Z27" s="10"/>
      <c r="AA27" s="26" t="s">
        <v>108</v>
      </c>
      <c r="AB27" s="10"/>
      <c r="AC27" s="26" t="s">
        <v>108</v>
      </c>
      <c r="AD27" s="10"/>
      <c r="AE27" s="26" t="s">
        <v>108</v>
      </c>
      <c r="AF27" s="47" t="str">
        <f t="shared" si="3"/>
        <v>C</v>
      </c>
      <c r="AG27" s="8" t="str">
        <f t="shared" si="6"/>
        <v>UTILIZOU O PDA CORRETAMENTE</v>
      </c>
      <c r="AH27" s="26" t="s">
        <v>108</v>
      </c>
      <c r="AI27" s="20" t="s">
        <v>1</v>
      </c>
      <c r="AJ27" s="22" t="str">
        <f t="shared" si="5"/>
        <v>GUARULHOS</v>
      </c>
      <c r="AK27" s="68" t="s">
        <v>4</v>
      </c>
    </row>
    <row r="28" spans="1:37" ht="30" customHeight="1" x14ac:dyDescent="0.2">
      <c r="A28" s="83" t="s">
        <v>101</v>
      </c>
      <c r="B28" s="83">
        <v>2613905393</v>
      </c>
      <c r="C28" s="83" t="s">
        <v>47</v>
      </c>
      <c r="D28" s="83" t="s">
        <v>29</v>
      </c>
      <c r="E28" s="83" t="s">
        <v>102</v>
      </c>
      <c r="F28" s="83" t="s">
        <v>244</v>
      </c>
      <c r="G28" s="83">
        <v>185</v>
      </c>
      <c r="H28" s="83" t="s">
        <v>174</v>
      </c>
      <c r="I28" s="83" t="s">
        <v>245</v>
      </c>
      <c r="J28" s="83" t="s">
        <v>170</v>
      </c>
      <c r="K28" s="83" t="s">
        <v>117</v>
      </c>
      <c r="L28" s="84" t="s">
        <v>217</v>
      </c>
      <c r="M28" s="84">
        <v>46057.515277777777</v>
      </c>
      <c r="N28" s="83" t="s">
        <v>180</v>
      </c>
      <c r="O28" s="36" t="s">
        <v>108</v>
      </c>
      <c r="P28" s="18"/>
      <c r="Q28" s="28" t="s">
        <v>108</v>
      </c>
      <c r="R28" s="18"/>
      <c r="S28" s="28" t="s">
        <v>108</v>
      </c>
      <c r="T28" s="18"/>
      <c r="U28" s="28" t="s">
        <v>108</v>
      </c>
      <c r="V28" s="18"/>
      <c r="W28" s="28" t="s">
        <v>108</v>
      </c>
      <c r="X28" s="18"/>
      <c r="Y28" s="28" t="s">
        <v>14</v>
      </c>
      <c r="Z28" s="18"/>
      <c r="AA28" s="28" t="s">
        <v>108</v>
      </c>
      <c r="AB28" s="18"/>
      <c r="AC28" s="28" t="s">
        <v>108</v>
      </c>
      <c r="AD28" s="18"/>
      <c r="AE28" s="28" t="s">
        <v>108</v>
      </c>
      <c r="AF28" s="47" t="str">
        <f t="shared" si="3"/>
        <v>C</v>
      </c>
      <c r="AG28" s="8" t="str">
        <f t="shared" si="6"/>
        <v>UTILIZOU O PDA CORRETAMENTE</v>
      </c>
      <c r="AH28" s="26" t="s">
        <v>108</v>
      </c>
      <c r="AI28" s="20" t="s">
        <v>1</v>
      </c>
      <c r="AJ28" s="22" t="str">
        <f t="shared" si="5"/>
        <v>GUARULHOS</v>
      </c>
      <c r="AK28" s="68" t="s">
        <v>4</v>
      </c>
    </row>
    <row r="29" spans="1:37" ht="30" customHeight="1" x14ac:dyDescent="0.2">
      <c r="A29" s="83" t="s">
        <v>101</v>
      </c>
      <c r="B29" s="83">
        <v>2689499149</v>
      </c>
      <c r="C29" s="83" t="s">
        <v>48</v>
      </c>
      <c r="D29" s="83" t="s">
        <v>29</v>
      </c>
      <c r="E29" s="83" t="s">
        <v>102</v>
      </c>
      <c r="F29" s="83" t="s">
        <v>248</v>
      </c>
      <c r="G29" s="83">
        <v>116</v>
      </c>
      <c r="H29" s="83" t="s">
        <v>117</v>
      </c>
      <c r="I29" s="83" t="s">
        <v>104</v>
      </c>
      <c r="J29" s="83" t="s">
        <v>170</v>
      </c>
      <c r="K29" s="89" t="s">
        <v>249</v>
      </c>
      <c r="L29" s="84" t="s">
        <v>217</v>
      </c>
      <c r="M29" s="84">
        <v>46057.693749999999</v>
      </c>
      <c r="N29" s="83" t="s">
        <v>146</v>
      </c>
      <c r="O29" s="36" t="s">
        <v>108</v>
      </c>
      <c r="P29" s="18"/>
      <c r="Q29" s="28" t="s">
        <v>108</v>
      </c>
      <c r="R29" s="18"/>
      <c r="S29" s="28" t="s">
        <v>108</v>
      </c>
      <c r="T29" s="18"/>
      <c r="U29" s="28" t="s">
        <v>108</v>
      </c>
      <c r="V29" s="18"/>
      <c r="W29" s="28" t="s">
        <v>108</v>
      </c>
      <c r="X29" s="18"/>
      <c r="Y29" s="28" t="s">
        <v>14</v>
      </c>
      <c r="Z29" s="18"/>
      <c r="AA29" s="28" t="s">
        <v>108</v>
      </c>
      <c r="AB29" s="18"/>
      <c r="AC29" s="28" t="s">
        <v>108</v>
      </c>
      <c r="AD29" s="18"/>
      <c r="AE29" s="28" t="s">
        <v>108</v>
      </c>
      <c r="AF29" s="47" t="str">
        <f t="shared" si="3"/>
        <v>C</v>
      </c>
      <c r="AG29" s="8" t="str">
        <f t="shared" si="6"/>
        <v>UTILIZOU O PDA CORRETAMENTE</v>
      </c>
      <c r="AH29" s="26" t="s">
        <v>108</v>
      </c>
      <c r="AI29" s="20" t="s">
        <v>1</v>
      </c>
      <c r="AJ29" s="22" t="str">
        <f t="shared" si="5"/>
        <v>GUARULHOS</v>
      </c>
      <c r="AK29" s="68" t="s">
        <v>4</v>
      </c>
    </row>
    <row r="30" spans="1:37" ht="30" customHeight="1" x14ac:dyDescent="0.2">
      <c r="A30" s="83" t="s">
        <v>101</v>
      </c>
      <c r="B30" s="83">
        <v>2689511296</v>
      </c>
      <c r="C30" s="83" t="s">
        <v>47</v>
      </c>
      <c r="D30" s="83" t="s">
        <v>29</v>
      </c>
      <c r="E30" s="83" t="s">
        <v>102</v>
      </c>
      <c r="F30" s="83" t="s">
        <v>259</v>
      </c>
      <c r="G30" s="83">
        <v>233</v>
      </c>
      <c r="H30" s="83" t="s">
        <v>260</v>
      </c>
      <c r="I30" s="83" t="s">
        <v>261</v>
      </c>
      <c r="J30" s="83" t="s">
        <v>170</v>
      </c>
      <c r="K30" s="83"/>
      <c r="L30" s="84" t="s">
        <v>217</v>
      </c>
      <c r="M30" s="84">
        <v>46057.604166666664</v>
      </c>
      <c r="N30" s="83" t="s">
        <v>160</v>
      </c>
      <c r="O30" s="36" t="s">
        <v>108</v>
      </c>
      <c r="P30" s="18"/>
      <c r="Q30" s="28" t="s">
        <v>108</v>
      </c>
      <c r="R30" s="18"/>
      <c r="S30" s="28" t="s">
        <v>108</v>
      </c>
      <c r="T30" s="18"/>
      <c r="U30" s="28" t="s">
        <v>108</v>
      </c>
      <c r="V30" s="18"/>
      <c r="W30" s="28" t="s">
        <v>108</v>
      </c>
      <c r="X30" s="18"/>
      <c r="Y30" s="28" t="s">
        <v>14</v>
      </c>
      <c r="Z30" s="18"/>
      <c r="AA30" s="28" t="s">
        <v>108</v>
      </c>
      <c r="AB30" s="18"/>
      <c r="AC30" s="28" t="s">
        <v>108</v>
      </c>
      <c r="AD30" s="18"/>
      <c r="AE30" s="28" t="s">
        <v>108</v>
      </c>
      <c r="AF30" s="47" t="str">
        <f t="shared" si="3"/>
        <v>C</v>
      </c>
      <c r="AG30" s="8" t="str">
        <f t="shared" si="6"/>
        <v>UTILIZOU O PDA CORRETAMENTE</v>
      </c>
      <c r="AH30" s="26" t="s">
        <v>108</v>
      </c>
      <c r="AI30" s="20" t="s">
        <v>1</v>
      </c>
      <c r="AJ30" s="22" t="str">
        <f t="shared" si="5"/>
        <v>GUARULHOS</v>
      </c>
      <c r="AK30" s="68" t="s">
        <v>4</v>
      </c>
    </row>
    <row r="31" spans="1:37" ht="30" customHeight="1" x14ac:dyDescent="0.2">
      <c r="A31" s="83" t="s">
        <v>101</v>
      </c>
      <c r="B31" s="83">
        <v>2614147108</v>
      </c>
      <c r="C31" s="83" t="s">
        <v>32</v>
      </c>
      <c r="D31" s="83" t="s">
        <v>28</v>
      </c>
      <c r="E31" s="83" t="s">
        <v>102</v>
      </c>
      <c r="F31" s="83" t="s">
        <v>255</v>
      </c>
      <c r="G31" s="83">
        <v>4746</v>
      </c>
      <c r="H31" s="83" t="s">
        <v>110</v>
      </c>
      <c r="I31" s="83" t="s">
        <v>145</v>
      </c>
      <c r="J31" s="83" t="s">
        <v>262</v>
      </c>
      <c r="K31" s="89" t="s">
        <v>263</v>
      </c>
      <c r="L31" s="84" t="s">
        <v>217</v>
      </c>
      <c r="M31" s="84">
        <v>46057.588194444441</v>
      </c>
      <c r="N31" s="83" t="s">
        <v>205</v>
      </c>
      <c r="O31" s="35" t="s">
        <v>14</v>
      </c>
      <c r="P31" s="10"/>
      <c r="Q31" s="26" t="s">
        <v>14</v>
      </c>
      <c r="R31" s="10"/>
      <c r="S31" s="26" t="s">
        <v>14</v>
      </c>
      <c r="T31" s="10"/>
      <c r="U31" s="26" t="s">
        <v>14</v>
      </c>
      <c r="V31" s="10"/>
      <c r="W31" s="26" t="s">
        <v>14</v>
      </c>
      <c r="X31" s="10"/>
      <c r="Y31" s="26" t="s">
        <v>14</v>
      </c>
      <c r="Z31" s="10"/>
      <c r="AA31" s="26" t="s">
        <v>14</v>
      </c>
      <c r="AB31" s="10"/>
      <c r="AC31" s="26" t="s">
        <v>14</v>
      </c>
      <c r="AD31" s="10"/>
      <c r="AE31" s="26" t="s">
        <v>14</v>
      </c>
      <c r="AF31" s="47" t="str">
        <f t="shared" si="3"/>
        <v>NA</v>
      </c>
      <c r="AG31" s="8" t="str">
        <f t="shared" si="6"/>
        <v>NÃO AVALIADO POR FALHA DE SINCRONISMO</v>
      </c>
      <c r="AH31" s="26" t="s">
        <v>108</v>
      </c>
      <c r="AI31" s="20" t="s">
        <v>1</v>
      </c>
      <c r="AJ31" s="22" t="str">
        <f t="shared" si="5"/>
        <v>GUARULHOS</v>
      </c>
      <c r="AK31" s="68" t="s">
        <v>4</v>
      </c>
    </row>
    <row r="32" spans="1:37" ht="30" customHeight="1" x14ac:dyDescent="0.2">
      <c r="A32" s="83" t="s">
        <v>101</v>
      </c>
      <c r="B32" s="83">
        <v>2614146219</v>
      </c>
      <c r="C32" s="83" t="s">
        <v>32</v>
      </c>
      <c r="D32" s="83" t="s">
        <v>28</v>
      </c>
      <c r="E32" s="83" t="s">
        <v>102</v>
      </c>
      <c r="F32" s="83" t="s">
        <v>255</v>
      </c>
      <c r="G32" s="83">
        <v>4752</v>
      </c>
      <c r="H32" s="83"/>
      <c r="I32" s="83" t="s">
        <v>264</v>
      </c>
      <c r="J32" s="83" t="s">
        <v>262</v>
      </c>
      <c r="K32" s="89" t="s">
        <v>265</v>
      </c>
      <c r="L32" s="84" t="s">
        <v>217</v>
      </c>
      <c r="M32" s="84">
        <v>46057.595833333333</v>
      </c>
      <c r="N32" s="83" t="s">
        <v>205</v>
      </c>
      <c r="O32" s="35" t="s">
        <v>14</v>
      </c>
      <c r="P32" s="10"/>
      <c r="Q32" s="26" t="s">
        <v>14</v>
      </c>
      <c r="R32" s="10"/>
      <c r="S32" s="26" t="s">
        <v>14</v>
      </c>
      <c r="T32" s="10"/>
      <c r="U32" s="26" t="s">
        <v>14</v>
      </c>
      <c r="V32" s="10"/>
      <c r="W32" s="26" t="s">
        <v>14</v>
      </c>
      <c r="X32" s="10"/>
      <c r="Y32" s="26" t="s">
        <v>14</v>
      </c>
      <c r="Z32" s="10"/>
      <c r="AA32" s="26" t="s">
        <v>14</v>
      </c>
      <c r="AB32" s="10"/>
      <c r="AC32" s="26" t="s">
        <v>14</v>
      </c>
      <c r="AD32" s="10"/>
      <c r="AE32" s="26" t="s">
        <v>14</v>
      </c>
      <c r="AF32" s="47" t="str">
        <f t="shared" si="3"/>
        <v>NA</v>
      </c>
      <c r="AG32" s="8" t="str">
        <f t="shared" si="6"/>
        <v>NÃO AVALIADO POR FALHA DE SINCRONISMO</v>
      </c>
      <c r="AH32" s="26" t="s">
        <v>108</v>
      </c>
      <c r="AI32" s="20" t="s">
        <v>1</v>
      </c>
      <c r="AJ32" s="22" t="str">
        <f t="shared" si="5"/>
        <v>GUARULHOS</v>
      </c>
      <c r="AK32" s="68" t="s">
        <v>4</v>
      </c>
    </row>
    <row r="33" spans="1:37" ht="30" customHeight="1" x14ac:dyDescent="0.2">
      <c r="A33" s="83" t="s">
        <v>101</v>
      </c>
      <c r="B33" s="83">
        <v>2689519302</v>
      </c>
      <c r="C33" s="83" t="s">
        <v>51</v>
      </c>
      <c r="D33" s="83" t="s">
        <v>29</v>
      </c>
      <c r="E33" s="83" t="s">
        <v>102</v>
      </c>
      <c r="F33" s="83" t="s">
        <v>266</v>
      </c>
      <c r="G33" s="83">
        <v>220</v>
      </c>
      <c r="H33" s="83"/>
      <c r="I33" s="83" t="s">
        <v>267</v>
      </c>
      <c r="J33" s="83" t="s">
        <v>159</v>
      </c>
      <c r="K33" s="83"/>
      <c r="L33" s="84" t="s">
        <v>217</v>
      </c>
      <c r="M33" s="84">
        <v>46057.658333333333</v>
      </c>
      <c r="N33" s="83" t="s">
        <v>209</v>
      </c>
      <c r="O33" s="36" t="s">
        <v>108</v>
      </c>
      <c r="P33" s="18"/>
      <c r="Q33" s="28" t="s">
        <v>108</v>
      </c>
      <c r="R33" s="18"/>
      <c r="S33" s="28" t="s">
        <v>108</v>
      </c>
      <c r="T33" s="18"/>
      <c r="U33" s="28" t="s">
        <v>108</v>
      </c>
      <c r="V33" s="18"/>
      <c r="W33" s="28" t="s">
        <v>108</v>
      </c>
      <c r="X33" s="18"/>
      <c r="Y33" s="28" t="s">
        <v>14</v>
      </c>
      <c r="Z33" s="18"/>
      <c r="AA33" s="28" t="s">
        <v>108</v>
      </c>
      <c r="AB33" s="18"/>
      <c r="AC33" s="28" t="s">
        <v>108</v>
      </c>
      <c r="AD33" s="18"/>
      <c r="AE33" s="28" t="s">
        <v>108</v>
      </c>
      <c r="AF33" s="47" t="str">
        <f t="shared" si="3"/>
        <v>C</v>
      </c>
      <c r="AG33" s="8" t="str">
        <f t="shared" si="6"/>
        <v>UTILIZOU O PDA CORRETAMENTE</v>
      </c>
      <c r="AH33" s="26" t="s">
        <v>108</v>
      </c>
      <c r="AI33" s="20" t="s">
        <v>1</v>
      </c>
      <c r="AJ33" s="22" t="str">
        <f t="shared" si="5"/>
        <v>GUARULHOS</v>
      </c>
      <c r="AK33" s="68" t="s">
        <v>4</v>
      </c>
    </row>
    <row r="34" spans="1:37" ht="30" customHeight="1" x14ac:dyDescent="0.2">
      <c r="A34" s="83" t="s">
        <v>101</v>
      </c>
      <c r="B34" s="83">
        <v>2689494720</v>
      </c>
      <c r="C34" s="83" t="s">
        <v>43</v>
      </c>
      <c r="D34" s="83" t="s">
        <v>29</v>
      </c>
      <c r="E34" s="83" t="s">
        <v>102</v>
      </c>
      <c r="F34" s="83" t="s">
        <v>270</v>
      </c>
      <c r="G34" s="83">
        <v>456</v>
      </c>
      <c r="H34" s="83"/>
      <c r="I34" s="83" t="s">
        <v>247</v>
      </c>
      <c r="J34" s="83" t="s">
        <v>188</v>
      </c>
      <c r="K34" s="83" t="s">
        <v>271</v>
      </c>
      <c r="L34" s="84" t="s">
        <v>217</v>
      </c>
      <c r="M34" s="84">
        <v>46057.567361111112</v>
      </c>
      <c r="N34" s="83" t="s">
        <v>144</v>
      </c>
      <c r="O34" s="35" t="s">
        <v>214</v>
      </c>
      <c r="P34" s="25"/>
      <c r="Q34" s="26" t="s">
        <v>214</v>
      </c>
      <c r="R34" s="25"/>
      <c r="S34" s="26" t="s">
        <v>214</v>
      </c>
      <c r="T34" s="25"/>
      <c r="U34" s="26" t="s">
        <v>214</v>
      </c>
      <c r="V34" s="25"/>
      <c r="W34" s="26" t="s">
        <v>214</v>
      </c>
      <c r="X34" s="25"/>
      <c r="Y34" s="26" t="s">
        <v>214</v>
      </c>
      <c r="Z34" s="25"/>
      <c r="AA34" s="26" t="s">
        <v>214</v>
      </c>
      <c r="AB34" s="25"/>
      <c r="AC34" s="26" t="s">
        <v>214</v>
      </c>
      <c r="AD34" s="10"/>
      <c r="AE34" s="26" t="s">
        <v>114</v>
      </c>
      <c r="AF34" s="47" t="str">
        <f t="shared" si="3"/>
        <v>NC</v>
      </c>
      <c r="AG34" s="8" t="str">
        <f t="shared" si="6"/>
        <v>NÃO UTILIZOU O PDA</v>
      </c>
      <c r="AH34" s="26" t="s">
        <v>108</v>
      </c>
      <c r="AI34" s="20" t="s">
        <v>1</v>
      </c>
      <c r="AJ34" s="22" t="str">
        <f t="shared" si="5"/>
        <v>GUARULHOS</v>
      </c>
      <c r="AK34" s="68" t="s">
        <v>4</v>
      </c>
    </row>
    <row r="35" spans="1:37" ht="30" customHeight="1" x14ac:dyDescent="0.2">
      <c r="A35" s="83" t="s">
        <v>101</v>
      </c>
      <c r="B35" s="83">
        <v>2614128186</v>
      </c>
      <c r="C35" s="83" t="s">
        <v>37</v>
      </c>
      <c r="D35" s="83" t="s">
        <v>26</v>
      </c>
      <c r="E35" s="83" t="s">
        <v>102</v>
      </c>
      <c r="F35" s="83" t="s">
        <v>250</v>
      </c>
      <c r="G35" s="83">
        <v>286</v>
      </c>
      <c r="H35" s="83" t="s">
        <v>251</v>
      </c>
      <c r="I35" s="83" t="s">
        <v>252</v>
      </c>
      <c r="J35" s="83" t="s">
        <v>230</v>
      </c>
      <c r="K35" s="83" t="s">
        <v>275</v>
      </c>
      <c r="L35" s="84" t="s">
        <v>217</v>
      </c>
      <c r="M35" s="84">
        <v>46057.709027777775</v>
      </c>
      <c r="N35" s="83" t="s">
        <v>253</v>
      </c>
      <c r="O35" s="35" t="s">
        <v>108</v>
      </c>
      <c r="P35" s="10"/>
      <c r="Q35" s="26" t="s">
        <v>108</v>
      </c>
      <c r="R35" s="10"/>
      <c r="S35" s="26" t="s">
        <v>108</v>
      </c>
      <c r="T35" s="10"/>
      <c r="U35" s="26" t="s">
        <v>108</v>
      </c>
      <c r="V35" s="10"/>
      <c r="W35" s="26" t="s">
        <v>108</v>
      </c>
      <c r="X35" s="10"/>
      <c r="Y35" s="26" t="s">
        <v>14</v>
      </c>
      <c r="Z35" s="10"/>
      <c r="AA35" s="26" t="s">
        <v>108</v>
      </c>
      <c r="AB35" s="10"/>
      <c r="AC35" s="26" t="s">
        <v>108</v>
      </c>
      <c r="AD35" s="10"/>
      <c r="AE35" s="26" t="s">
        <v>108</v>
      </c>
      <c r="AF35" s="47" t="str">
        <f t="shared" si="3"/>
        <v>C</v>
      </c>
      <c r="AG35" s="8" t="str">
        <f t="shared" si="6"/>
        <v>UTILIZOU O PDA CORRETAMENTE</v>
      </c>
      <c r="AH35" s="26" t="s">
        <v>108</v>
      </c>
      <c r="AI35" s="20" t="s">
        <v>1</v>
      </c>
      <c r="AJ35" s="22" t="str">
        <f t="shared" si="5"/>
        <v>GUARULHOS</v>
      </c>
      <c r="AK35" s="68" t="s">
        <v>4</v>
      </c>
    </row>
    <row r="36" spans="1:37" ht="30" customHeight="1" x14ac:dyDescent="0.2">
      <c r="A36" s="83" t="s">
        <v>101</v>
      </c>
      <c r="B36" s="83">
        <v>2614194300</v>
      </c>
      <c r="C36" s="83" t="s">
        <v>45</v>
      </c>
      <c r="D36" s="83" t="s">
        <v>27</v>
      </c>
      <c r="E36" s="83" t="s">
        <v>102</v>
      </c>
      <c r="F36" s="83" t="s">
        <v>257</v>
      </c>
      <c r="G36" s="83">
        <v>100</v>
      </c>
      <c r="H36" s="83" t="s">
        <v>278</v>
      </c>
      <c r="I36" s="83" t="s">
        <v>162</v>
      </c>
      <c r="J36" s="83" t="s">
        <v>150</v>
      </c>
      <c r="K36" s="83" t="s">
        <v>117</v>
      </c>
      <c r="L36" s="84" t="s">
        <v>273</v>
      </c>
      <c r="M36" s="84">
        <v>46085.500694444447</v>
      </c>
      <c r="N36" s="83" t="s">
        <v>209</v>
      </c>
      <c r="O36" s="35" t="s">
        <v>114</v>
      </c>
      <c r="P36" s="25"/>
      <c r="Q36" s="26" t="s">
        <v>114</v>
      </c>
      <c r="R36" s="25"/>
      <c r="S36" s="26" t="s">
        <v>114</v>
      </c>
      <c r="T36" s="25"/>
      <c r="U36" s="26" t="s">
        <v>114</v>
      </c>
      <c r="V36" s="25"/>
      <c r="W36" s="26" t="s">
        <v>114</v>
      </c>
      <c r="X36" s="25"/>
      <c r="Y36" s="26" t="s">
        <v>114</v>
      </c>
      <c r="Z36" s="25"/>
      <c r="AA36" s="26" t="s">
        <v>114</v>
      </c>
      <c r="AB36" s="25"/>
      <c r="AC36" s="26" t="s">
        <v>114</v>
      </c>
      <c r="AD36" s="10"/>
      <c r="AE36" s="26" t="s">
        <v>114</v>
      </c>
      <c r="AF36" s="47" t="str">
        <f t="shared" ref="AF36:AF73" si="7">IF(AND(O36="",Q36="",S36="",U36="",W36="",Y36="",AA36="",AC36=""),"",IF(OR(AND(O36&lt;&gt;"NA",O36&lt;&gt;"C",O36&lt;&gt;"NC",O36&lt;&gt;"SF",O36&lt;&gt;""),AND(Q36&lt;&gt;"NA",Q36&lt;&gt;"C",Q36&lt;&gt;"NC",Q36&lt;&gt;"SF",Q36&lt;&gt;""),AND(S36&lt;&gt;"NA",S36&lt;&gt;"C",S36&lt;&gt;"NC",S36&lt;&gt;"SF",S36&lt;&gt;""),AND(U36&lt;&gt;"NA",U36&lt;&gt;"C",U36&lt;&gt;"NC",U36&lt;&gt;"SF",U36&lt;&gt;""),AND(W36&lt;&gt;"NA",W36&lt;&gt;"C",W36&lt;&gt;"NC",W36&lt;&gt;"SF",W36&lt;&gt;""),AND(Y36&lt;&gt;"NA",Y36&lt;&gt;"C",Y36&lt;&gt;"NC",Y36&lt;&gt;"SF",Y36&lt;&gt;""),AND(AA36&lt;&gt;"NA",AA36&lt;&gt;"C",AA36&lt;&gt;"NC",AA36&lt;&gt;"SF",AA36&lt;&gt;""),AND(AC36&lt;&gt;"NA",AC36&lt;&gt;"C",AC36&lt;&gt;"NC",AC36&lt;&gt;"SF",AC36&lt;&gt;"")),"FALSO",IF(AND(O36="NA",Q36="NA",S36="NA",U36="NA",W36="NA",Y36="NA",AA36="NA",AC36="NA"),"NA",IF(OR(O36="NC",Q36="NC",S36="NC",U36="NC",W36="NC",Y36="NC",AA36="NC",AC36="NC",O36="SF",Q36="SF",S36="SF",U36="SF",W36="SF",Y36="SF",AA36="SF",AC36="SF"),"NC",IF(OR(O36="C",Q36="C",S36="C",U36="C",W36="C",Y36="C",AA36="C",AC36="C"),"C","")))))</f>
        <v>NC</v>
      </c>
      <c r="AG36" s="8" t="s">
        <v>279</v>
      </c>
      <c r="AH36" s="26" t="s">
        <v>108</v>
      </c>
      <c r="AI36" s="20" t="s">
        <v>1</v>
      </c>
      <c r="AJ36" s="22" t="str">
        <f t="shared" ref="AJ36:AJ73" si="8">E36</f>
        <v>GUARULHOS</v>
      </c>
      <c r="AK36" s="68" t="s">
        <v>4</v>
      </c>
    </row>
    <row r="37" spans="1:37" ht="30" customHeight="1" x14ac:dyDescent="0.2">
      <c r="A37" s="83" t="s">
        <v>101</v>
      </c>
      <c r="B37" s="83">
        <v>2613764387</v>
      </c>
      <c r="C37" s="83" t="s">
        <v>39</v>
      </c>
      <c r="D37" s="83" t="s">
        <v>25</v>
      </c>
      <c r="E37" s="83" t="s">
        <v>102</v>
      </c>
      <c r="F37" s="83" t="s">
        <v>283</v>
      </c>
      <c r="G37" s="83">
        <v>387</v>
      </c>
      <c r="H37" s="83" t="s">
        <v>284</v>
      </c>
      <c r="I37" s="83" t="s">
        <v>104</v>
      </c>
      <c r="J37" s="83" t="s">
        <v>39</v>
      </c>
      <c r="K37" s="89" t="s">
        <v>285</v>
      </c>
      <c r="L37" s="84" t="s">
        <v>273</v>
      </c>
      <c r="M37" s="84">
        <v>46085.292361111111</v>
      </c>
      <c r="N37" s="83" t="s">
        <v>107</v>
      </c>
      <c r="O37" s="35" t="s">
        <v>14</v>
      </c>
      <c r="P37" s="10"/>
      <c r="Q37" s="26" t="s">
        <v>14</v>
      </c>
      <c r="R37" s="10"/>
      <c r="S37" s="26" t="s">
        <v>14</v>
      </c>
      <c r="T37" s="10"/>
      <c r="U37" s="26" t="s">
        <v>14</v>
      </c>
      <c r="V37" s="10"/>
      <c r="W37" s="26" t="s">
        <v>14</v>
      </c>
      <c r="X37" s="10"/>
      <c r="Y37" s="26" t="s">
        <v>14</v>
      </c>
      <c r="Z37" s="10"/>
      <c r="AA37" s="26" t="s">
        <v>14</v>
      </c>
      <c r="AB37" s="10"/>
      <c r="AC37" s="26" t="s">
        <v>14</v>
      </c>
      <c r="AD37" s="10"/>
      <c r="AE37" s="26" t="s">
        <v>14</v>
      </c>
      <c r="AF37" s="47" t="str">
        <f t="shared" si="7"/>
        <v>NA</v>
      </c>
      <c r="AG37" s="8" t="str">
        <f t="shared" ref="AG37:AG56" si="9">IF(AND(AE37="C",AF37="C"),"UTILIZOU O PDA CORRETAMENTE",IF(AND(AE37="C",AF37="NC"),"UTILIZOU O PDA CORRETAMENTE. NÃO HÁ FOTOS DE TODAS AS ETAPAS",IF(AND(AE37="NC",AF37="NC"),"NÃO UTILIZOU O PDA",IF(AND(AE37="NA",AF37="NA"),"NÃO AVALIADO POR FALHA DE SINCRONISMO"))))</f>
        <v>NÃO AVALIADO POR FALHA DE SINCRONISMO</v>
      </c>
      <c r="AH37" s="26" t="s">
        <v>108</v>
      </c>
      <c r="AI37" s="20" t="s">
        <v>1</v>
      </c>
      <c r="AJ37" s="22" t="str">
        <f t="shared" si="8"/>
        <v>GUARULHOS</v>
      </c>
      <c r="AK37" s="68" t="s">
        <v>4</v>
      </c>
    </row>
    <row r="38" spans="1:37" ht="30" customHeight="1" x14ac:dyDescent="0.2">
      <c r="A38" s="83" t="s">
        <v>101</v>
      </c>
      <c r="B38" s="83">
        <v>2613764428</v>
      </c>
      <c r="C38" s="83" t="s">
        <v>41</v>
      </c>
      <c r="D38" s="83" t="s">
        <v>25</v>
      </c>
      <c r="E38" s="83" t="s">
        <v>102</v>
      </c>
      <c r="F38" s="83" t="s">
        <v>283</v>
      </c>
      <c r="G38" s="83">
        <v>387</v>
      </c>
      <c r="H38" s="83" t="s">
        <v>286</v>
      </c>
      <c r="I38" s="83" t="s">
        <v>104</v>
      </c>
      <c r="J38" s="83" t="s">
        <v>41</v>
      </c>
      <c r="K38" s="83" t="s">
        <v>287</v>
      </c>
      <c r="L38" s="84" t="s">
        <v>273</v>
      </c>
      <c r="M38" s="84">
        <v>46085.292361111111</v>
      </c>
      <c r="N38" s="83" t="s">
        <v>107</v>
      </c>
      <c r="O38" s="35" t="s">
        <v>14</v>
      </c>
      <c r="P38" s="10"/>
      <c r="Q38" s="26" t="s">
        <v>14</v>
      </c>
      <c r="R38" s="10"/>
      <c r="S38" s="26" t="s">
        <v>14</v>
      </c>
      <c r="T38" s="10"/>
      <c r="U38" s="26" t="s">
        <v>14</v>
      </c>
      <c r="V38" s="10"/>
      <c r="W38" s="26" t="s">
        <v>14</v>
      </c>
      <c r="X38" s="10"/>
      <c r="Y38" s="26" t="s">
        <v>14</v>
      </c>
      <c r="Z38" s="10"/>
      <c r="AA38" s="26" t="s">
        <v>14</v>
      </c>
      <c r="AB38" s="10"/>
      <c r="AC38" s="26" t="s">
        <v>14</v>
      </c>
      <c r="AD38" s="10"/>
      <c r="AE38" s="26" t="s">
        <v>14</v>
      </c>
      <c r="AF38" s="47" t="str">
        <f t="shared" si="7"/>
        <v>NA</v>
      </c>
      <c r="AG38" s="8" t="str">
        <f t="shared" si="9"/>
        <v>NÃO AVALIADO POR FALHA DE SINCRONISMO</v>
      </c>
      <c r="AH38" s="26" t="s">
        <v>108</v>
      </c>
      <c r="AI38" s="20" t="s">
        <v>1</v>
      </c>
      <c r="AJ38" s="22" t="str">
        <f t="shared" si="8"/>
        <v>GUARULHOS</v>
      </c>
      <c r="AK38" s="68" t="s">
        <v>4</v>
      </c>
    </row>
    <row r="39" spans="1:37" ht="30" customHeight="1" x14ac:dyDescent="0.2">
      <c r="A39" s="83" t="s">
        <v>101</v>
      </c>
      <c r="B39" s="83">
        <v>2613764423</v>
      </c>
      <c r="C39" s="83" t="s">
        <v>41</v>
      </c>
      <c r="D39" s="83" t="s">
        <v>25</v>
      </c>
      <c r="E39" s="83" t="s">
        <v>102</v>
      </c>
      <c r="F39" s="83" t="s">
        <v>283</v>
      </c>
      <c r="G39" s="83">
        <v>387</v>
      </c>
      <c r="H39" s="83" t="s">
        <v>288</v>
      </c>
      <c r="I39" s="83" t="s">
        <v>104</v>
      </c>
      <c r="J39" s="83" t="s">
        <v>41</v>
      </c>
      <c r="K39" s="83" t="s">
        <v>287</v>
      </c>
      <c r="L39" s="84" t="s">
        <v>273</v>
      </c>
      <c r="M39" s="84">
        <v>46085.292361111111</v>
      </c>
      <c r="N39" s="83" t="s">
        <v>107</v>
      </c>
      <c r="O39" s="35" t="s">
        <v>14</v>
      </c>
      <c r="P39" s="10"/>
      <c r="Q39" s="26" t="s">
        <v>14</v>
      </c>
      <c r="R39" s="10"/>
      <c r="S39" s="26" t="s">
        <v>14</v>
      </c>
      <c r="T39" s="10"/>
      <c r="U39" s="26" t="s">
        <v>14</v>
      </c>
      <c r="V39" s="10"/>
      <c r="W39" s="26" t="s">
        <v>14</v>
      </c>
      <c r="X39" s="10"/>
      <c r="Y39" s="26" t="s">
        <v>14</v>
      </c>
      <c r="Z39" s="10"/>
      <c r="AA39" s="26" t="s">
        <v>14</v>
      </c>
      <c r="AB39" s="10"/>
      <c r="AC39" s="26" t="s">
        <v>14</v>
      </c>
      <c r="AD39" s="10"/>
      <c r="AE39" s="26" t="s">
        <v>14</v>
      </c>
      <c r="AF39" s="47" t="str">
        <f t="shared" si="7"/>
        <v>NA</v>
      </c>
      <c r="AG39" s="8" t="str">
        <f t="shared" si="9"/>
        <v>NÃO AVALIADO POR FALHA DE SINCRONISMO</v>
      </c>
      <c r="AH39" s="26" t="s">
        <v>108</v>
      </c>
      <c r="AI39" s="20" t="s">
        <v>1</v>
      </c>
      <c r="AJ39" s="22" t="str">
        <f t="shared" si="8"/>
        <v>GUARULHOS</v>
      </c>
      <c r="AK39" s="68" t="s">
        <v>4</v>
      </c>
    </row>
    <row r="40" spans="1:37" ht="30" customHeight="1" x14ac:dyDescent="0.2">
      <c r="A40" s="83" t="s">
        <v>101</v>
      </c>
      <c r="B40" s="83">
        <v>2689567475</v>
      </c>
      <c r="C40" s="83" t="s">
        <v>51</v>
      </c>
      <c r="D40" s="83" t="s">
        <v>29</v>
      </c>
      <c r="E40" s="83" t="s">
        <v>102</v>
      </c>
      <c r="F40" s="83" t="s">
        <v>289</v>
      </c>
      <c r="G40" s="83">
        <v>208</v>
      </c>
      <c r="H40" s="83" t="s">
        <v>290</v>
      </c>
      <c r="I40" s="83" t="s">
        <v>291</v>
      </c>
      <c r="J40" s="83" t="s">
        <v>159</v>
      </c>
      <c r="K40" s="83" t="s">
        <v>292</v>
      </c>
      <c r="L40" s="84" t="s">
        <v>273</v>
      </c>
      <c r="M40" s="84">
        <v>46085.456944444442</v>
      </c>
      <c r="N40" s="83" t="s">
        <v>180</v>
      </c>
      <c r="O40" s="36" t="s">
        <v>108</v>
      </c>
      <c r="P40" s="18"/>
      <c r="Q40" s="28" t="s">
        <v>108</v>
      </c>
      <c r="R40" s="18"/>
      <c r="S40" s="28" t="s">
        <v>108</v>
      </c>
      <c r="T40" s="18"/>
      <c r="U40" s="28" t="s">
        <v>108</v>
      </c>
      <c r="V40" s="18"/>
      <c r="W40" s="28" t="s">
        <v>108</v>
      </c>
      <c r="X40" s="18"/>
      <c r="Y40" s="28" t="s">
        <v>14</v>
      </c>
      <c r="Z40" s="18"/>
      <c r="AA40" s="28" t="s">
        <v>108</v>
      </c>
      <c r="AB40" s="18"/>
      <c r="AC40" s="28" t="s">
        <v>108</v>
      </c>
      <c r="AD40" s="18"/>
      <c r="AE40" s="28" t="s">
        <v>108</v>
      </c>
      <c r="AF40" s="47" t="str">
        <f t="shared" si="7"/>
        <v>C</v>
      </c>
      <c r="AG40" s="8" t="str">
        <f t="shared" si="9"/>
        <v>UTILIZOU O PDA CORRETAMENTE</v>
      </c>
      <c r="AH40" s="26" t="s">
        <v>108</v>
      </c>
      <c r="AI40" s="20" t="s">
        <v>1</v>
      </c>
      <c r="AJ40" s="22" t="str">
        <f t="shared" si="8"/>
        <v>GUARULHOS</v>
      </c>
      <c r="AK40" s="68" t="s">
        <v>4</v>
      </c>
    </row>
    <row r="41" spans="1:37" ht="30" customHeight="1" x14ac:dyDescent="0.2">
      <c r="A41" s="83" t="s">
        <v>101</v>
      </c>
      <c r="B41" s="83">
        <v>2614223573</v>
      </c>
      <c r="C41" s="83" t="s">
        <v>50</v>
      </c>
      <c r="D41" s="83" t="s">
        <v>29</v>
      </c>
      <c r="E41" s="83" t="s">
        <v>102</v>
      </c>
      <c r="F41" s="83" t="s">
        <v>293</v>
      </c>
      <c r="G41" s="83">
        <v>466</v>
      </c>
      <c r="H41" s="83" t="s">
        <v>294</v>
      </c>
      <c r="I41" s="83" t="s">
        <v>154</v>
      </c>
      <c r="J41" s="83" t="s">
        <v>130</v>
      </c>
      <c r="K41" s="83"/>
      <c r="L41" s="84" t="s">
        <v>273</v>
      </c>
      <c r="M41" s="84">
        <v>46085.57708333333</v>
      </c>
      <c r="N41" s="83" t="s">
        <v>180</v>
      </c>
      <c r="O41" s="36" t="s">
        <v>108</v>
      </c>
      <c r="P41" s="18"/>
      <c r="Q41" s="28" t="s">
        <v>108</v>
      </c>
      <c r="R41" s="18"/>
      <c r="S41" s="28" t="s">
        <v>108</v>
      </c>
      <c r="T41" s="18"/>
      <c r="U41" s="28" t="s">
        <v>108</v>
      </c>
      <c r="V41" s="18"/>
      <c r="W41" s="28" t="s">
        <v>108</v>
      </c>
      <c r="X41" s="18"/>
      <c r="Y41" s="28" t="s">
        <v>14</v>
      </c>
      <c r="Z41" s="18"/>
      <c r="AA41" s="28" t="s">
        <v>108</v>
      </c>
      <c r="AB41" s="18"/>
      <c r="AC41" s="28" t="s">
        <v>108</v>
      </c>
      <c r="AD41" s="18"/>
      <c r="AE41" s="28" t="s">
        <v>108</v>
      </c>
      <c r="AF41" s="47" t="str">
        <f t="shared" si="7"/>
        <v>C</v>
      </c>
      <c r="AG41" s="8" t="str">
        <f t="shared" si="9"/>
        <v>UTILIZOU O PDA CORRETAMENTE</v>
      </c>
      <c r="AH41" s="26" t="s">
        <v>108</v>
      </c>
      <c r="AI41" s="20" t="s">
        <v>1</v>
      </c>
      <c r="AJ41" s="22" t="str">
        <f t="shared" si="8"/>
        <v>GUARULHOS</v>
      </c>
      <c r="AK41" s="68" t="s">
        <v>4</v>
      </c>
    </row>
    <row r="42" spans="1:37" ht="30" customHeight="1" x14ac:dyDescent="0.2">
      <c r="A42" s="83" t="s">
        <v>101</v>
      </c>
      <c r="B42" s="83">
        <v>2689550040</v>
      </c>
      <c r="C42" s="83" t="s">
        <v>43</v>
      </c>
      <c r="D42" s="83" t="s">
        <v>29</v>
      </c>
      <c r="E42" s="83" t="s">
        <v>102</v>
      </c>
      <c r="F42" s="83" t="s">
        <v>299</v>
      </c>
      <c r="G42" s="83">
        <v>543</v>
      </c>
      <c r="H42" s="83" t="s">
        <v>300</v>
      </c>
      <c r="I42" s="83" t="s">
        <v>301</v>
      </c>
      <c r="J42" s="83" t="s">
        <v>188</v>
      </c>
      <c r="K42" s="83" t="s">
        <v>302</v>
      </c>
      <c r="L42" s="84" t="s">
        <v>273</v>
      </c>
      <c r="M42" s="84">
        <v>46085.432638888888</v>
      </c>
      <c r="N42" s="83" t="s">
        <v>297</v>
      </c>
      <c r="O42" s="35" t="s">
        <v>108</v>
      </c>
      <c r="P42" s="25"/>
      <c r="Q42" s="26" t="s">
        <v>108</v>
      </c>
      <c r="R42" s="25"/>
      <c r="S42" s="26" t="s">
        <v>108</v>
      </c>
      <c r="T42" s="25"/>
      <c r="U42" s="26" t="s">
        <v>108</v>
      </c>
      <c r="V42" s="25"/>
      <c r="W42" s="26" t="s">
        <v>108</v>
      </c>
      <c r="X42" s="25"/>
      <c r="Y42" s="26" t="s">
        <v>14</v>
      </c>
      <c r="Z42" s="25" t="s">
        <v>303</v>
      </c>
      <c r="AA42" s="26" t="s">
        <v>108</v>
      </c>
      <c r="AB42" s="25"/>
      <c r="AC42" s="26" t="s">
        <v>108</v>
      </c>
      <c r="AD42" s="10"/>
      <c r="AE42" s="26" t="s">
        <v>108</v>
      </c>
      <c r="AF42" s="47" t="str">
        <f t="shared" si="7"/>
        <v>C</v>
      </c>
      <c r="AG42" s="8" t="str">
        <f t="shared" si="9"/>
        <v>UTILIZOU O PDA CORRETAMENTE</v>
      </c>
      <c r="AH42" s="26" t="s">
        <v>108</v>
      </c>
      <c r="AI42" s="20" t="s">
        <v>1</v>
      </c>
      <c r="AJ42" s="22" t="str">
        <f t="shared" si="8"/>
        <v>GUARULHOS</v>
      </c>
      <c r="AK42" s="68" t="s">
        <v>4</v>
      </c>
    </row>
    <row r="43" spans="1:37" ht="30" customHeight="1" x14ac:dyDescent="0.2">
      <c r="A43" s="83" t="s">
        <v>101</v>
      </c>
      <c r="B43" s="83">
        <v>2689576697</v>
      </c>
      <c r="C43" s="83" t="s">
        <v>46</v>
      </c>
      <c r="D43" s="83" t="s">
        <v>29</v>
      </c>
      <c r="E43" s="83" t="s">
        <v>102</v>
      </c>
      <c r="F43" s="83" t="s">
        <v>304</v>
      </c>
      <c r="G43" s="83">
        <v>200</v>
      </c>
      <c r="H43" s="83" t="s">
        <v>305</v>
      </c>
      <c r="I43" s="83" t="s">
        <v>118</v>
      </c>
      <c r="J43" s="83" t="s">
        <v>159</v>
      </c>
      <c r="K43" s="83" t="s">
        <v>306</v>
      </c>
      <c r="L43" s="84" t="s">
        <v>273</v>
      </c>
      <c r="M43" s="84">
        <v>46085.682638888888</v>
      </c>
      <c r="N43" s="83" t="s">
        <v>180</v>
      </c>
      <c r="O43" s="36" t="s">
        <v>108</v>
      </c>
      <c r="P43" s="18"/>
      <c r="Q43" s="28" t="s">
        <v>108</v>
      </c>
      <c r="R43" s="18"/>
      <c r="S43" s="28" t="s">
        <v>108</v>
      </c>
      <c r="T43" s="18"/>
      <c r="U43" s="28" t="s">
        <v>108</v>
      </c>
      <c r="V43" s="18"/>
      <c r="W43" s="28" t="s">
        <v>108</v>
      </c>
      <c r="X43" s="18"/>
      <c r="Y43" s="28" t="s">
        <v>14</v>
      </c>
      <c r="Z43" s="18"/>
      <c r="AA43" s="28" t="s">
        <v>108</v>
      </c>
      <c r="AB43" s="18"/>
      <c r="AC43" s="28" t="s">
        <v>108</v>
      </c>
      <c r="AD43" s="18"/>
      <c r="AE43" s="28" t="s">
        <v>108</v>
      </c>
      <c r="AF43" s="47" t="str">
        <f t="shared" si="7"/>
        <v>C</v>
      </c>
      <c r="AG43" s="8" t="str">
        <f t="shared" si="9"/>
        <v>UTILIZOU O PDA CORRETAMENTE</v>
      </c>
      <c r="AH43" s="26" t="s">
        <v>108</v>
      </c>
      <c r="AI43" s="20" t="s">
        <v>1</v>
      </c>
      <c r="AJ43" s="22" t="str">
        <f t="shared" si="8"/>
        <v>GUARULHOS</v>
      </c>
      <c r="AK43" s="68" t="s">
        <v>4</v>
      </c>
    </row>
    <row r="44" spans="1:37" ht="30" customHeight="1" x14ac:dyDescent="0.2">
      <c r="A44" s="83" t="s">
        <v>101</v>
      </c>
      <c r="B44" s="83">
        <v>2613629112</v>
      </c>
      <c r="C44" s="83" t="s">
        <v>33</v>
      </c>
      <c r="D44" s="83" t="s">
        <v>25</v>
      </c>
      <c r="E44" s="83" t="s">
        <v>102</v>
      </c>
      <c r="F44" s="83" t="s">
        <v>311</v>
      </c>
      <c r="G44" s="83">
        <v>125</v>
      </c>
      <c r="H44" s="83"/>
      <c r="I44" s="83" t="s">
        <v>204</v>
      </c>
      <c r="J44" s="83" t="s">
        <v>33</v>
      </c>
      <c r="K44" s="83" t="s">
        <v>312</v>
      </c>
      <c r="L44" s="84" t="s">
        <v>310</v>
      </c>
      <c r="M44" s="84">
        <v>46116.628472222219</v>
      </c>
      <c r="N44" s="83" t="s">
        <v>274</v>
      </c>
      <c r="O44" s="35" t="s">
        <v>108</v>
      </c>
      <c r="P44" s="10"/>
      <c r="Q44" s="26" t="s">
        <v>108</v>
      </c>
      <c r="R44" s="10"/>
      <c r="S44" s="26" t="s">
        <v>108</v>
      </c>
      <c r="T44" s="10"/>
      <c r="U44" s="26" t="s">
        <v>108</v>
      </c>
      <c r="V44" s="10"/>
      <c r="W44" s="26" t="s">
        <v>108</v>
      </c>
      <c r="X44" s="10"/>
      <c r="Y44" s="26" t="s">
        <v>108</v>
      </c>
      <c r="Z44" s="10"/>
      <c r="AA44" s="26" t="s">
        <v>108</v>
      </c>
      <c r="AB44" s="10"/>
      <c r="AC44" s="26" t="s">
        <v>108</v>
      </c>
      <c r="AD44" s="10"/>
      <c r="AE44" s="26" t="s">
        <v>108</v>
      </c>
      <c r="AF44" s="47" t="str">
        <f t="shared" si="7"/>
        <v>C</v>
      </c>
      <c r="AG44" s="8" t="str">
        <f t="shared" si="9"/>
        <v>UTILIZOU O PDA CORRETAMENTE</v>
      </c>
      <c r="AH44" s="26" t="s">
        <v>108</v>
      </c>
      <c r="AI44" s="20" t="s">
        <v>1</v>
      </c>
      <c r="AJ44" s="22" t="str">
        <f t="shared" si="8"/>
        <v>GUARULHOS</v>
      </c>
      <c r="AK44" s="68" t="s">
        <v>4</v>
      </c>
    </row>
    <row r="45" spans="1:37" ht="30" customHeight="1" x14ac:dyDescent="0.2">
      <c r="A45" s="83" t="s">
        <v>101</v>
      </c>
      <c r="B45" s="83">
        <v>2613858773</v>
      </c>
      <c r="C45" s="83" t="s">
        <v>39</v>
      </c>
      <c r="D45" s="83" t="s">
        <v>25</v>
      </c>
      <c r="E45" s="83" t="s">
        <v>102</v>
      </c>
      <c r="F45" s="83" t="s">
        <v>313</v>
      </c>
      <c r="G45" s="83">
        <v>313</v>
      </c>
      <c r="H45" s="83" t="s">
        <v>110</v>
      </c>
      <c r="I45" s="83" t="s">
        <v>314</v>
      </c>
      <c r="J45" s="83" t="s">
        <v>39</v>
      </c>
      <c r="K45" s="83" t="s">
        <v>315</v>
      </c>
      <c r="L45" s="84" t="s">
        <v>316</v>
      </c>
      <c r="M45" s="84">
        <v>46146.480555555558</v>
      </c>
      <c r="N45" s="83" t="s">
        <v>274</v>
      </c>
      <c r="O45" s="35" t="s">
        <v>108</v>
      </c>
      <c r="P45" s="10"/>
      <c r="Q45" s="26" t="s">
        <v>108</v>
      </c>
      <c r="R45" s="10"/>
      <c r="S45" s="26" t="s">
        <v>108</v>
      </c>
      <c r="T45" s="10"/>
      <c r="U45" s="26" t="s">
        <v>108</v>
      </c>
      <c r="V45" s="10"/>
      <c r="W45" s="26" t="s">
        <v>108</v>
      </c>
      <c r="X45" s="10"/>
      <c r="Y45" s="26" t="s">
        <v>114</v>
      </c>
      <c r="Z45" s="10" t="s">
        <v>317</v>
      </c>
      <c r="AA45" s="26" t="s">
        <v>108</v>
      </c>
      <c r="AB45" s="10"/>
      <c r="AC45" s="26" t="s">
        <v>108</v>
      </c>
      <c r="AD45" s="10"/>
      <c r="AE45" s="26" t="s">
        <v>108</v>
      </c>
      <c r="AF45" s="47" t="str">
        <f t="shared" si="7"/>
        <v>NC</v>
      </c>
      <c r="AG45" s="8" t="str">
        <f t="shared" si="9"/>
        <v>UTILIZOU O PDA CORRETAMENTE. NÃO HÁ FOTOS DE TODAS AS ETAPAS</v>
      </c>
      <c r="AH45" s="26" t="s">
        <v>108</v>
      </c>
      <c r="AI45" s="20" t="s">
        <v>1</v>
      </c>
      <c r="AJ45" s="22" t="str">
        <f t="shared" si="8"/>
        <v>GUARULHOS</v>
      </c>
      <c r="AK45" s="68" t="s">
        <v>4</v>
      </c>
    </row>
    <row r="46" spans="1:37" ht="30" customHeight="1" x14ac:dyDescent="0.2">
      <c r="A46" s="83" t="s">
        <v>101</v>
      </c>
      <c r="B46" s="83">
        <v>2613858852</v>
      </c>
      <c r="C46" s="83" t="s">
        <v>41</v>
      </c>
      <c r="D46" s="83" t="s">
        <v>25</v>
      </c>
      <c r="E46" s="83" t="s">
        <v>102</v>
      </c>
      <c r="F46" s="83" t="s">
        <v>313</v>
      </c>
      <c r="G46" s="83">
        <v>313</v>
      </c>
      <c r="H46" s="83" t="s">
        <v>318</v>
      </c>
      <c r="I46" s="83" t="s">
        <v>314</v>
      </c>
      <c r="J46" s="83" t="s">
        <v>41</v>
      </c>
      <c r="K46" s="83" t="s">
        <v>319</v>
      </c>
      <c r="L46" s="84" t="s">
        <v>316</v>
      </c>
      <c r="M46" s="84">
        <v>46146.496527777781</v>
      </c>
      <c r="N46" s="83" t="s">
        <v>274</v>
      </c>
      <c r="O46" s="35" t="s">
        <v>108</v>
      </c>
      <c r="P46" s="10"/>
      <c r="Q46" s="26" t="s">
        <v>108</v>
      </c>
      <c r="R46" s="10"/>
      <c r="S46" s="26" t="s">
        <v>108</v>
      </c>
      <c r="T46" s="10"/>
      <c r="U46" s="26" t="s">
        <v>108</v>
      </c>
      <c r="V46" s="10"/>
      <c r="W46" s="26" t="s">
        <v>108</v>
      </c>
      <c r="X46" s="10"/>
      <c r="Y46" s="26" t="s">
        <v>114</v>
      </c>
      <c r="Z46" s="10" t="s">
        <v>317</v>
      </c>
      <c r="AA46" s="26" t="s">
        <v>108</v>
      </c>
      <c r="AB46" s="10"/>
      <c r="AC46" s="26" t="s">
        <v>108</v>
      </c>
      <c r="AD46" s="10" t="s">
        <v>108</v>
      </c>
      <c r="AE46" s="26" t="s">
        <v>108</v>
      </c>
      <c r="AF46" s="47" t="str">
        <f t="shared" si="7"/>
        <v>NC</v>
      </c>
      <c r="AG46" s="8" t="str">
        <f t="shared" si="9"/>
        <v>UTILIZOU O PDA CORRETAMENTE. NÃO HÁ FOTOS DE TODAS AS ETAPAS</v>
      </c>
      <c r="AH46" s="26" t="s">
        <v>108</v>
      </c>
      <c r="AI46" s="20" t="s">
        <v>1</v>
      </c>
      <c r="AJ46" s="22" t="str">
        <f t="shared" si="8"/>
        <v>GUARULHOS</v>
      </c>
      <c r="AK46" s="68" t="s">
        <v>4</v>
      </c>
    </row>
    <row r="47" spans="1:37" ht="30" customHeight="1" x14ac:dyDescent="0.2">
      <c r="A47" s="83" t="s">
        <v>101</v>
      </c>
      <c r="B47" s="83">
        <v>2613858851</v>
      </c>
      <c r="C47" s="83" t="s">
        <v>41</v>
      </c>
      <c r="D47" s="83" t="s">
        <v>25</v>
      </c>
      <c r="E47" s="83" t="s">
        <v>102</v>
      </c>
      <c r="F47" s="83" t="s">
        <v>313</v>
      </c>
      <c r="G47" s="83">
        <v>313</v>
      </c>
      <c r="H47" s="83" t="s">
        <v>320</v>
      </c>
      <c r="I47" s="83" t="s">
        <v>314</v>
      </c>
      <c r="J47" s="83" t="s">
        <v>41</v>
      </c>
      <c r="K47" s="83" t="s">
        <v>319</v>
      </c>
      <c r="L47" s="84" t="s">
        <v>316</v>
      </c>
      <c r="M47" s="84">
        <v>46146.494444444441</v>
      </c>
      <c r="N47" s="83" t="s">
        <v>274</v>
      </c>
      <c r="O47" s="35" t="s">
        <v>108</v>
      </c>
      <c r="P47" s="10"/>
      <c r="Q47" s="26" t="s">
        <v>108</v>
      </c>
      <c r="R47" s="10"/>
      <c r="S47" s="26" t="s">
        <v>108</v>
      </c>
      <c r="T47" s="10"/>
      <c r="U47" s="26" t="s">
        <v>108</v>
      </c>
      <c r="V47" s="10"/>
      <c r="W47" s="26" t="s">
        <v>108</v>
      </c>
      <c r="X47" s="10"/>
      <c r="Y47" s="26" t="s">
        <v>114</v>
      </c>
      <c r="Z47" s="10" t="s">
        <v>317</v>
      </c>
      <c r="AA47" s="26" t="s">
        <v>108</v>
      </c>
      <c r="AB47" s="10"/>
      <c r="AC47" s="26" t="s">
        <v>108</v>
      </c>
      <c r="AD47" s="10" t="s">
        <v>108</v>
      </c>
      <c r="AE47" s="26" t="s">
        <v>108</v>
      </c>
      <c r="AF47" s="47" t="str">
        <f t="shared" si="7"/>
        <v>NC</v>
      </c>
      <c r="AG47" s="8" t="str">
        <f t="shared" si="9"/>
        <v>UTILIZOU O PDA CORRETAMENTE. NÃO HÁ FOTOS DE TODAS AS ETAPAS</v>
      </c>
      <c r="AH47" s="26" t="s">
        <v>108</v>
      </c>
      <c r="AI47" s="20" t="s">
        <v>1</v>
      </c>
      <c r="AJ47" s="22" t="str">
        <f t="shared" si="8"/>
        <v>GUARULHOS</v>
      </c>
      <c r="AK47" s="68" t="s">
        <v>4</v>
      </c>
    </row>
    <row r="48" spans="1:37" ht="30" customHeight="1" x14ac:dyDescent="0.2">
      <c r="A48" s="83" t="s">
        <v>101</v>
      </c>
      <c r="B48" s="83">
        <v>2613858849</v>
      </c>
      <c r="C48" s="83" t="s">
        <v>41</v>
      </c>
      <c r="D48" s="83" t="s">
        <v>25</v>
      </c>
      <c r="E48" s="83" t="s">
        <v>102</v>
      </c>
      <c r="F48" s="83" t="s">
        <v>313</v>
      </c>
      <c r="G48" s="83">
        <v>313</v>
      </c>
      <c r="H48" s="83" t="s">
        <v>321</v>
      </c>
      <c r="I48" s="83" t="s">
        <v>314</v>
      </c>
      <c r="J48" s="83" t="s">
        <v>41</v>
      </c>
      <c r="K48" s="83" t="s">
        <v>319</v>
      </c>
      <c r="L48" s="84" t="s">
        <v>316</v>
      </c>
      <c r="M48" s="84">
        <v>46146.492361111108</v>
      </c>
      <c r="N48" s="83" t="s">
        <v>274</v>
      </c>
      <c r="O48" s="35" t="s">
        <v>108</v>
      </c>
      <c r="P48" s="10"/>
      <c r="Q48" s="26" t="s">
        <v>108</v>
      </c>
      <c r="R48" s="10"/>
      <c r="S48" s="26" t="s">
        <v>108</v>
      </c>
      <c r="T48" s="10"/>
      <c r="U48" s="26" t="s">
        <v>108</v>
      </c>
      <c r="V48" s="10"/>
      <c r="W48" s="26" t="s">
        <v>108</v>
      </c>
      <c r="X48" s="10"/>
      <c r="Y48" s="26" t="s">
        <v>114</v>
      </c>
      <c r="Z48" s="10" t="s">
        <v>317</v>
      </c>
      <c r="AA48" s="26" t="s">
        <v>108</v>
      </c>
      <c r="AB48" s="10"/>
      <c r="AC48" s="26" t="s">
        <v>108</v>
      </c>
      <c r="AD48" s="10" t="s">
        <v>108</v>
      </c>
      <c r="AE48" s="26" t="s">
        <v>108</v>
      </c>
      <c r="AF48" s="47" t="str">
        <f t="shared" si="7"/>
        <v>NC</v>
      </c>
      <c r="AG48" s="8" t="str">
        <f t="shared" si="9"/>
        <v>UTILIZOU O PDA CORRETAMENTE. NÃO HÁ FOTOS DE TODAS AS ETAPAS</v>
      </c>
      <c r="AH48" s="26" t="s">
        <v>108</v>
      </c>
      <c r="AI48" s="20" t="s">
        <v>1</v>
      </c>
      <c r="AJ48" s="22" t="str">
        <f t="shared" si="8"/>
        <v>GUARULHOS</v>
      </c>
      <c r="AK48" s="68" t="s">
        <v>4</v>
      </c>
    </row>
    <row r="49" spans="1:37" ht="30" customHeight="1" x14ac:dyDescent="0.2">
      <c r="A49" s="83" t="s">
        <v>101</v>
      </c>
      <c r="B49" s="83">
        <v>2613858828</v>
      </c>
      <c r="C49" s="83" t="s">
        <v>41</v>
      </c>
      <c r="D49" s="83" t="s">
        <v>25</v>
      </c>
      <c r="E49" s="83" t="s">
        <v>102</v>
      </c>
      <c r="F49" s="83" t="s">
        <v>313</v>
      </c>
      <c r="G49" s="83">
        <v>313</v>
      </c>
      <c r="H49" s="83" t="s">
        <v>121</v>
      </c>
      <c r="I49" s="83" t="s">
        <v>314</v>
      </c>
      <c r="J49" s="83" t="s">
        <v>41</v>
      </c>
      <c r="K49" s="83" t="s">
        <v>319</v>
      </c>
      <c r="L49" s="84" t="s">
        <v>316</v>
      </c>
      <c r="M49" s="84">
        <v>46146.486805555556</v>
      </c>
      <c r="N49" s="83" t="s">
        <v>274</v>
      </c>
      <c r="O49" s="35" t="s">
        <v>108</v>
      </c>
      <c r="P49" s="10"/>
      <c r="Q49" s="26" t="s">
        <v>108</v>
      </c>
      <c r="R49" s="10"/>
      <c r="S49" s="26" t="s">
        <v>108</v>
      </c>
      <c r="T49" s="10"/>
      <c r="U49" s="26" t="s">
        <v>108</v>
      </c>
      <c r="V49" s="10"/>
      <c r="W49" s="26" t="s">
        <v>108</v>
      </c>
      <c r="X49" s="10"/>
      <c r="Y49" s="26" t="s">
        <v>114</v>
      </c>
      <c r="Z49" s="10" t="s">
        <v>317</v>
      </c>
      <c r="AA49" s="26" t="s">
        <v>108</v>
      </c>
      <c r="AB49" s="10"/>
      <c r="AC49" s="26" t="s">
        <v>108</v>
      </c>
      <c r="AD49" s="10" t="s">
        <v>108</v>
      </c>
      <c r="AE49" s="26" t="s">
        <v>108</v>
      </c>
      <c r="AF49" s="47" t="str">
        <f t="shared" si="7"/>
        <v>NC</v>
      </c>
      <c r="AG49" s="8" t="str">
        <f t="shared" si="9"/>
        <v>UTILIZOU O PDA CORRETAMENTE. NÃO HÁ FOTOS DE TODAS AS ETAPAS</v>
      </c>
      <c r="AH49" s="26" t="s">
        <v>108</v>
      </c>
      <c r="AI49" s="20" t="s">
        <v>1</v>
      </c>
      <c r="AJ49" s="22" t="str">
        <f t="shared" si="8"/>
        <v>GUARULHOS</v>
      </c>
      <c r="AK49" s="68" t="s">
        <v>4</v>
      </c>
    </row>
    <row r="50" spans="1:37" ht="30" customHeight="1" x14ac:dyDescent="0.2">
      <c r="A50" s="83" t="s">
        <v>101</v>
      </c>
      <c r="B50" s="83">
        <v>2613858835</v>
      </c>
      <c r="C50" s="83" t="s">
        <v>41</v>
      </c>
      <c r="D50" s="83" t="s">
        <v>25</v>
      </c>
      <c r="E50" s="83" t="s">
        <v>102</v>
      </c>
      <c r="F50" s="83" t="s">
        <v>313</v>
      </c>
      <c r="G50" s="83">
        <v>313</v>
      </c>
      <c r="H50" s="83" t="s">
        <v>322</v>
      </c>
      <c r="I50" s="83" t="s">
        <v>314</v>
      </c>
      <c r="J50" s="83" t="s">
        <v>41</v>
      </c>
      <c r="K50" s="83" t="s">
        <v>319</v>
      </c>
      <c r="L50" s="84" t="s">
        <v>316</v>
      </c>
      <c r="M50" s="84">
        <v>46146.488888888889</v>
      </c>
      <c r="N50" s="83" t="s">
        <v>274</v>
      </c>
      <c r="O50" s="35" t="s">
        <v>108</v>
      </c>
      <c r="P50" s="10"/>
      <c r="Q50" s="26" t="s">
        <v>108</v>
      </c>
      <c r="R50" s="10"/>
      <c r="S50" s="26" t="s">
        <v>108</v>
      </c>
      <c r="T50" s="10"/>
      <c r="U50" s="26" t="s">
        <v>108</v>
      </c>
      <c r="V50" s="10"/>
      <c r="W50" s="26" t="s">
        <v>108</v>
      </c>
      <c r="X50" s="10"/>
      <c r="Y50" s="26" t="s">
        <v>114</v>
      </c>
      <c r="Z50" s="10" t="s">
        <v>317</v>
      </c>
      <c r="AA50" s="26" t="s">
        <v>108</v>
      </c>
      <c r="AB50" s="10"/>
      <c r="AC50" s="26" t="s">
        <v>108</v>
      </c>
      <c r="AD50" s="10" t="s">
        <v>108</v>
      </c>
      <c r="AE50" s="26" t="s">
        <v>108</v>
      </c>
      <c r="AF50" s="47" t="str">
        <f t="shared" si="7"/>
        <v>NC</v>
      </c>
      <c r="AG50" s="8" t="str">
        <f t="shared" si="9"/>
        <v>UTILIZOU O PDA CORRETAMENTE. NÃO HÁ FOTOS DE TODAS AS ETAPAS</v>
      </c>
      <c r="AH50" s="26" t="s">
        <v>108</v>
      </c>
      <c r="AI50" s="20" t="s">
        <v>1</v>
      </c>
      <c r="AJ50" s="22" t="str">
        <f t="shared" si="8"/>
        <v>GUARULHOS</v>
      </c>
      <c r="AK50" s="68" t="s">
        <v>4</v>
      </c>
    </row>
    <row r="51" spans="1:37" ht="30" customHeight="1" x14ac:dyDescent="0.2">
      <c r="A51" s="83" t="s">
        <v>101</v>
      </c>
      <c r="B51" s="83">
        <v>2613858784</v>
      </c>
      <c r="C51" s="83" t="s">
        <v>41</v>
      </c>
      <c r="D51" s="83" t="s">
        <v>25</v>
      </c>
      <c r="E51" s="83" t="s">
        <v>102</v>
      </c>
      <c r="F51" s="83" t="s">
        <v>313</v>
      </c>
      <c r="G51" s="83">
        <v>313</v>
      </c>
      <c r="H51" s="83" t="s">
        <v>115</v>
      </c>
      <c r="I51" s="83" t="s">
        <v>314</v>
      </c>
      <c r="J51" s="83" t="s">
        <v>41</v>
      </c>
      <c r="K51" s="83" t="s">
        <v>319</v>
      </c>
      <c r="L51" s="84" t="s">
        <v>316</v>
      </c>
      <c r="M51" s="84">
        <v>46146.48541666667</v>
      </c>
      <c r="N51" s="83" t="s">
        <v>274</v>
      </c>
      <c r="O51" s="35" t="s">
        <v>108</v>
      </c>
      <c r="P51" s="10"/>
      <c r="Q51" s="26" t="s">
        <v>108</v>
      </c>
      <c r="R51" s="10"/>
      <c r="S51" s="26" t="s">
        <v>108</v>
      </c>
      <c r="T51" s="10"/>
      <c r="U51" s="26" t="s">
        <v>108</v>
      </c>
      <c r="V51" s="10"/>
      <c r="W51" s="26" t="s">
        <v>108</v>
      </c>
      <c r="X51" s="10"/>
      <c r="Y51" s="26" t="s">
        <v>114</v>
      </c>
      <c r="Z51" s="10" t="s">
        <v>317</v>
      </c>
      <c r="AA51" s="26" t="s">
        <v>108</v>
      </c>
      <c r="AB51" s="10"/>
      <c r="AC51" s="26" t="s">
        <v>108</v>
      </c>
      <c r="AD51" s="10" t="s">
        <v>108</v>
      </c>
      <c r="AE51" s="26" t="s">
        <v>108</v>
      </c>
      <c r="AF51" s="47" t="str">
        <f t="shared" si="7"/>
        <v>NC</v>
      </c>
      <c r="AG51" s="8" t="str">
        <f t="shared" si="9"/>
        <v>UTILIZOU O PDA CORRETAMENTE. NÃO HÁ FOTOS DE TODAS AS ETAPAS</v>
      </c>
      <c r="AH51" s="26" t="s">
        <v>108</v>
      </c>
      <c r="AI51" s="20" t="s">
        <v>1</v>
      </c>
      <c r="AJ51" s="22" t="str">
        <f t="shared" si="8"/>
        <v>GUARULHOS</v>
      </c>
      <c r="AK51" s="68" t="s">
        <v>4</v>
      </c>
    </row>
    <row r="52" spans="1:37" ht="30" customHeight="1" x14ac:dyDescent="0.2">
      <c r="A52" s="83" t="s">
        <v>101</v>
      </c>
      <c r="B52" s="83">
        <v>2613698148</v>
      </c>
      <c r="C52" s="83" t="s">
        <v>45</v>
      </c>
      <c r="D52" s="83" t="s">
        <v>27</v>
      </c>
      <c r="E52" s="83" t="s">
        <v>102</v>
      </c>
      <c r="F52" s="83" t="s">
        <v>197</v>
      </c>
      <c r="G52" s="83">
        <v>426</v>
      </c>
      <c r="H52" s="83" t="s">
        <v>198</v>
      </c>
      <c r="I52" s="83" t="s">
        <v>162</v>
      </c>
      <c r="J52" s="83" t="s">
        <v>150</v>
      </c>
      <c r="K52" s="89" t="s">
        <v>323</v>
      </c>
      <c r="L52" s="84" t="s">
        <v>310</v>
      </c>
      <c r="M52" s="84">
        <v>46116.449305555558</v>
      </c>
      <c r="N52" s="83" t="s">
        <v>253</v>
      </c>
      <c r="O52" s="35" t="s">
        <v>108</v>
      </c>
      <c r="P52" s="10"/>
      <c r="Q52" s="26" t="s">
        <v>108</v>
      </c>
      <c r="R52" s="10"/>
      <c r="S52" s="26" t="s">
        <v>108</v>
      </c>
      <c r="T52" s="10"/>
      <c r="U52" s="26" t="s">
        <v>108</v>
      </c>
      <c r="V52" s="10"/>
      <c r="W52" s="26" t="s">
        <v>108</v>
      </c>
      <c r="X52" s="10"/>
      <c r="Y52" s="26" t="s">
        <v>108</v>
      </c>
      <c r="Z52" s="10"/>
      <c r="AA52" s="26" t="s">
        <v>108</v>
      </c>
      <c r="AB52" s="10"/>
      <c r="AC52" s="26" t="s">
        <v>114</v>
      </c>
      <c r="AD52" s="10" t="s">
        <v>324</v>
      </c>
      <c r="AE52" s="26" t="s">
        <v>108</v>
      </c>
      <c r="AF52" s="47" t="str">
        <f t="shared" si="7"/>
        <v>NC</v>
      </c>
      <c r="AG52" s="8" t="str">
        <f t="shared" si="9"/>
        <v>UTILIZOU O PDA CORRETAMENTE. NÃO HÁ FOTOS DE TODAS AS ETAPAS</v>
      </c>
      <c r="AH52" s="26" t="s">
        <v>108</v>
      </c>
      <c r="AI52" s="20" t="s">
        <v>1</v>
      </c>
      <c r="AJ52" s="22" t="str">
        <f t="shared" si="8"/>
        <v>GUARULHOS</v>
      </c>
      <c r="AK52" s="68" t="s">
        <v>4</v>
      </c>
    </row>
    <row r="53" spans="1:37" ht="30" customHeight="1" x14ac:dyDescent="0.2">
      <c r="A53" s="83" t="s">
        <v>101</v>
      </c>
      <c r="B53" s="83">
        <v>2613870525</v>
      </c>
      <c r="C53" s="83" t="s">
        <v>50</v>
      </c>
      <c r="D53" s="83" t="s">
        <v>29</v>
      </c>
      <c r="E53" s="83" t="s">
        <v>102</v>
      </c>
      <c r="F53" s="83" t="s">
        <v>325</v>
      </c>
      <c r="G53" s="83">
        <v>993</v>
      </c>
      <c r="H53" s="83" t="s">
        <v>326</v>
      </c>
      <c r="I53" s="83" t="s">
        <v>327</v>
      </c>
      <c r="J53" s="83" t="s">
        <v>328</v>
      </c>
      <c r="K53" s="83" t="s">
        <v>117</v>
      </c>
      <c r="L53" s="84" t="s">
        <v>310</v>
      </c>
      <c r="M53" s="84">
        <v>46116.517361111109</v>
      </c>
      <c r="N53" s="83" t="s">
        <v>231</v>
      </c>
      <c r="O53" s="36" t="s">
        <v>108</v>
      </c>
      <c r="P53" s="18"/>
      <c r="Q53" s="28" t="s">
        <v>108</v>
      </c>
      <c r="R53" s="18"/>
      <c r="S53" s="28" t="s">
        <v>108</v>
      </c>
      <c r="T53" s="18"/>
      <c r="U53" s="28" t="s">
        <v>108</v>
      </c>
      <c r="V53" s="18"/>
      <c r="W53" s="28" t="s">
        <v>108</v>
      </c>
      <c r="X53" s="18"/>
      <c r="Y53" s="28" t="s">
        <v>14</v>
      </c>
      <c r="Z53" s="18"/>
      <c r="AA53" s="28" t="s">
        <v>108</v>
      </c>
      <c r="AB53" s="18"/>
      <c r="AC53" s="28" t="s">
        <v>108</v>
      </c>
      <c r="AD53" s="18"/>
      <c r="AE53" s="28" t="s">
        <v>108</v>
      </c>
      <c r="AF53" s="47" t="str">
        <f t="shared" si="7"/>
        <v>C</v>
      </c>
      <c r="AG53" s="8" t="str">
        <f t="shared" si="9"/>
        <v>UTILIZOU O PDA CORRETAMENTE</v>
      </c>
      <c r="AH53" s="26" t="s">
        <v>108</v>
      </c>
      <c r="AI53" s="20" t="s">
        <v>1</v>
      </c>
      <c r="AJ53" s="22" t="str">
        <f t="shared" si="8"/>
        <v>GUARULHOS</v>
      </c>
      <c r="AK53" s="68" t="s">
        <v>4</v>
      </c>
    </row>
    <row r="54" spans="1:37" ht="30" customHeight="1" x14ac:dyDescent="0.2">
      <c r="A54" s="83" t="s">
        <v>101</v>
      </c>
      <c r="B54" s="83">
        <v>2689605905</v>
      </c>
      <c r="C54" s="83" t="s">
        <v>47</v>
      </c>
      <c r="D54" s="83" t="s">
        <v>29</v>
      </c>
      <c r="E54" s="83" t="s">
        <v>102</v>
      </c>
      <c r="F54" s="83" t="s">
        <v>334</v>
      </c>
      <c r="G54" s="83">
        <v>94</v>
      </c>
      <c r="H54" s="83" t="s">
        <v>335</v>
      </c>
      <c r="I54" s="83" t="s">
        <v>118</v>
      </c>
      <c r="J54" s="83" t="s">
        <v>170</v>
      </c>
      <c r="K54" s="83" t="s">
        <v>117</v>
      </c>
      <c r="L54" s="84" t="s">
        <v>310</v>
      </c>
      <c r="M54" s="84">
        <v>46116.654861111114</v>
      </c>
      <c r="N54" s="83" t="s">
        <v>253</v>
      </c>
      <c r="O54" s="36" t="s">
        <v>108</v>
      </c>
      <c r="P54" s="18"/>
      <c r="Q54" s="28" t="s">
        <v>108</v>
      </c>
      <c r="R54" s="18"/>
      <c r="S54" s="28" t="s">
        <v>108</v>
      </c>
      <c r="T54" s="18"/>
      <c r="U54" s="28" t="s">
        <v>108</v>
      </c>
      <c r="V54" s="18"/>
      <c r="W54" s="28" t="s">
        <v>108</v>
      </c>
      <c r="X54" s="18"/>
      <c r="Y54" s="28" t="s">
        <v>14</v>
      </c>
      <c r="Z54" s="18"/>
      <c r="AA54" s="28" t="s">
        <v>108</v>
      </c>
      <c r="AB54" s="18"/>
      <c r="AC54" s="28" t="s">
        <v>108</v>
      </c>
      <c r="AD54" s="18"/>
      <c r="AE54" s="28" t="s">
        <v>108</v>
      </c>
      <c r="AF54" s="47" t="str">
        <f t="shared" si="7"/>
        <v>C</v>
      </c>
      <c r="AG54" s="8" t="str">
        <f t="shared" si="9"/>
        <v>UTILIZOU O PDA CORRETAMENTE</v>
      </c>
      <c r="AH54" s="26" t="s">
        <v>108</v>
      </c>
      <c r="AI54" s="66" t="s">
        <v>1</v>
      </c>
      <c r="AJ54" s="22" t="str">
        <f t="shared" si="8"/>
        <v>GUARULHOS</v>
      </c>
      <c r="AK54" s="69" t="s">
        <v>4</v>
      </c>
    </row>
    <row r="55" spans="1:37" ht="30" customHeight="1" x14ac:dyDescent="0.2">
      <c r="A55" s="83" t="s">
        <v>101</v>
      </c>
      <c r="B55" s="83">
        <v>2689585267</v>
      </c>
      <c r="C55" s="83" t="s">
        <v>43</v>
      </c>
      <c r="D55" s="83" t="s">
        <v>29</v>
      </c>
      <c r="E55" s="83" t="s">
        <v>102</v>
      </c>
      <c r="F55" s="83" t="s">
        <v>338</v>
      </c>
      <c r="G55" s="83">
        <v>10</v>
      </c>
      <c r="H55" s="83" t="s">
        <v>339</v>
      </c>
      <c r="I55" s="83" t="s">
        <v>340</v>
      </c>
      <c r="J55" s="83" t="s">
        <v>188</v>
      </c>
      <c r="K55" s="83" t="s">
        <v>341</v>
      </c>
      <c r="L55" s="84" t="s">
        <v>310</v>
      </c>
      <c r="M55" s="84">
        <v>46116.614583333336</v>
      </c>
      <c r="N55" s="83" t="s">
        <v>144</v>
      </c>
      <c r="O55" s="35" t="s">
        <v>108</v>
      </c>
      <c r="P55" s="25"/>
      <c r="Q55" s="26" t="s">
        <v>108</v>
      </c>
      <c r="R55" s="25"/>
      <c r="S55" s="26" t="s">
        <v>108</v>
      </c>
      <c r="T55" s="25"/>
      <c r="U55" s="26" t="s">
        <v>108</v>
      </c>
      <c r="V55" s="25"/>
      <c r="W55" s="26" t="s">
        <v>108</v>
      </c>
      <c r="X55" s="25"/>
      <c r="Y55" s="26" t="s">
        <v>108</v>
      </c>
      <c r="Z55" s="25"/>
      <c r="AA55" s="26" t="s">
        <v>108</v>
      </c>
      <c r="AB55" s="25"/>
      <c r="AC55" s="26" t="s">
        <v>108</v>
      </c>
      <c r="AD55" s="10"/>
      <c r="AE55" s="26" t="s">
        <v>108</v>
      </c>
      <c r="AF55" s="47" t="str">
        <f t="shared" si="7"/>
        <v>C</v>
      </c>
      <c r="AG55" s="8" t="str">
        <f t="shared" si="9"/>
        <v>UTILIZOU O PDA CORRETAMENTE</v>
      </c>
      <c r="AH55" s="26" t="s">
        <v>108</v>
      </c>
      <c r="AI55" s="66" t="s">
        <v>1</v>
      </c>
      <c r="AJ55" s="22" t="str">
        <f t="shared" si="8"/>
        <v>GUARULHOS</v>
      </c>
      <c r="AK55" s="69" t="s">
        <v>4</v>
      </c>
    </row>
    <row r="56" spans="1:37" ht="30" customHeight="1" x14ac:dyDescent="0.2">
      <c r="A56" s="83" t="s">
        <v>101</v>
      </c>
      <c r="B56" s="83">
        <v>2689608468</v>
      </c>
      <c r="C56" s="83" t="s">
        <v>43</v>
      </c>
      <c r="D56" s="83" t="s">
        <v>29</v>
      </c>
      <c r="E56" s="83" t="s">
        <v>102</v>
      </c>
      <c r="F56" s="83" t="s">
        <v>344</v>
      </c>
      <c r="G56" s="83">
        <v>263</v>
      </c>
      <c r="H56" s="83" t="s">
        <v>117</v>
      </c>
      <c r="I56" s="83" t="s">
        <v>345</v>
      </c>
      <c r="J56" s="83" t="s">
        <v>188</v>
      </c>
      <c r="K56" s="83" t="s">
        <v>346</v>
      </c>
      <c r="L56" s="84" t="s">
        <v>310</v>
      </c>
      <c r="M56" s="84">
        <v>46116.740972222222</v>
      </c>
      <c r="N56" s="83" t="s">
        <v>231</v>
      </c>
      <c r="O56" s="35" t="s">
        <v>14</v>
      </c>
      <c r="P56" s="25"/>
      <c r="Q56" s="26" t="s">
        <v>14</v>
      </c>
      <c r="R56" s="25"/>
      <c r="S56" s="26" t="s">
        <v>14</v>
      </c>
      <c r="T56" s="25"/>
      <c r="U56" s="26" t="s">
        <v>14</v>
      </c>
      <c r="V56" s="25"/>
      <c r="W56" s="26" t="s">
        <v>14</v>
      </c>
      <c r="X56" s="25"/>
      <c r="Y56" s="26" t="s">
        <v>14</v>
      </c>
      <c r="Z56" s="25"/>
      <c r="AA56" s="26" t="s">
        <v>14</v>
      </c>
      <c r="AB56" s="25"/>
      <c r="AC56" s="26" t="s">
        <v>14</v>
      </c>
      <c r="AD56" s="10"/>
      <c r="AE56" s="26" t="s">
        <v>14</v>
      </c>
      <c r="AF56" s="47" t="str">
        <f t="shared" si="7"/>
        <v>NA</v>
      </c>
      <c r="AG56" s="8" t="str">
        <f t="shared" si="9"/>
        <v>NÃO AVALIADO POR FALHA DE SINCRONISMO</v>
      </c>
      <c r="AH56" s="26" t="s">
        <v>108</v>
      </c>
      <c r="AI56" s="66" t="s">
        <v>1</v>
      </c>
      <c r="AJ56" s="22" t="str">
        <f t="shared" si="8"/>
        <v>GUARULHOS</v>
      </c>
      <c r="AK56" s="69" t="s">
        <v>4</v>
      </c>
    </row>
    <row r="57" spans="1:37" ht="30" customHeight="1" x14ac:dyDescent="0.2">
      <c r="A57" s="83" t="s">
        <v>101</v>
      </c>
      <c r="B57" s="83">
        <v>2614130666</v>
      </c>
      <c r="C57" s="83" t="s">
        <v>39</v>
      </c>
      <c r="D57" s="83" t="s">
        <v>25</v>
      </c>
      <c r="E57" s="83" t="s">
        <v>102</v>
      </c>
      <c r="F57" s="83" t="s">
        <v>353</v>
      </c>
      <c r="G57" s="83">
        <v>242</v>
      </c>
      <c r="H57" s="83" t="s">
        <v>354</v>
      </c>
      <c r="I57" s="83" t="s">
        <v>247</v>
      </c>
      <c r="J57" s="83" t="s">
        <v>39</v>
      </c>
      <c r="K57" s="83" t="s">
        <v>355</v>
      </c>
      <c r="L57" s="84" t="s">
        <v>316</v>
      </c>
      <c r="M57" s="84">
        <v>46146.616666666669</v>
      </c>
      <c r="N57" s="83" t="s">
        <v>274</v>
      </c>
      <c r="O57" s="36" t="s">
        <v>108</v>
      </c>
      <c r="P57" s="18"/>
      <c r="Q57" s="28" t="s">
        <v>108</v>
      </c>
      <c r="R57" s="18"/>
      <c r="S57" s="28" t="s">
        <v>108</v>
      </c>
      <c r="T57" s="18"/>
      <c r="U57" s="28" t="s">
        <v>108</v>
      </c>
      <c r="V57" s="18"/>
      <c r="W57" s="28" t="s">
        <v>108</v>
      </c>
      <c r="X57" s="18"/>
      <c r="Y57" s="28" t="s">
        <v>108</v>
      </c>
      <c r="Z57" s="18"/>
      <c r="AA57" s="28" t="s">
        <v>108</v>
      </c>
      <c r="AB57" s="18"/>
      <c r="AC57" s="28" t="s">
        <v>108</v>
      </c>
      <c r="AD57" s="18"/>
      <c r="AE57" s="28" t="s">
        <v>108</v>
      </c>
      <c r="AF57" s="47" t="str">
        <f t="shared" si="7"/>
        <v>C</v>
      </c>
      <c r="AG57" s="8" t="str">
        <f t="shared" ref="AG57:AG73" si="10">IF(AND(AE57="C",AF57="C"),"UTILIZOU O PDA CORRETAMENTE",IF(AND(AE57="C",AF57="NC"),"UTILIZOU O PDA CORRETAMENTE. NÃO HÁ FOTOS DE TODAS AS ETAPAS",IF(AND(AE57="NC",AF57="NC"),"NÃO UTILIZOU O PDA",IF(AND(AE57="NA",AF57="NA"),"NÃO AVALIADO POR FALHA DE SINCRONISMO"))))</f>
        <v>UTILIZOU O PDA CORRETAMENTE</v>
      </c>
      <c r="AH57" s="28" t="s">
        <v>108</v>
      </c>
      <c r="AI57" s="66" t="s">
        <v>1</v>
      </c>
      <c r="AJ57" s="22" t="str">
        <f t="shared" si="8"/>
        <v>GUARULHOS</v>
      </c>
      <c r="AK57" s="69" t="s">
        <v>4</v>
      </c>
    </row>
    <row r="58" spans="1:37" ht="30" customHeight="1" x14ac:dyDescent="0.2">
      <c r="A58" s="83" t="s">
        <v>101</v>
      </c>
      <c r="B58" s="83">
        <v>2614130669</v>
      </c>
      <c r="C58" s="83" t="s">
        <v>41</v>
      </c>
      <c r="D58" s="83" t="s">
        <v>25</v>
      </c>
      <c r="E58" s="83" t="s">
        <v>102</v>
      </c>
      <c r="F58" s="83" t="s">
        <v>353</v>
      </c>
      <c r="G58" s="83">
        <v>242</v>
      </c>
      <c r="H58" s="83" t="s">
        <v>356</v>
      </c>
      <c r="I58" s="83" t="s">
        <v>247</v>
      </c>
      <c r="J58" s="83" t="s">
        <v>41</v>
      </c>
      <c r="K58" s="83" t="s">
        <v>357</v>
      </c>
      <c r="L58" s="84" t="s">
        <v>316</v>
      </c>
      <c r="M58" s="84">
        <v>46146.618055555555</v>
      </c>
      <c r="N58" s="83" t="s">
        <v>274</v>
      </c>
      <c r="O58" s="36" t="s">
        <v>108</v>
      </c>
      <c r="P58" s="18"/>
      <c r="Q58" s="28" t="s">
        <v>108</v>
      </c>
      <c r="R58" s="18"/>
      <c r="S58" s="28" t="s">
        <v>108</v>
      </c>
      <c r="T58" s="18"/>
      <c r="U58" s="28" t="s">
        <v>108</v>
      </c>
      <c r="V58" s="18"/>
      <c r="W58" s="28" t="s">
        <v>108</v>
      </c>
      <c r="X58" s="18"/>
      <c r="Y58" s="28" t="s">
        <v>108</v>
      </c>
      <c r="Z58" s="18"/>
      <c r="AA58" s="28" t="s">
        <v>108</v>
      </c>
      <c r="AB58" s="18"/>
      <c r="AC58" s="28" t="s">
        <v>108</v>
      </c>
      <c r="AD58" s="18"/>
      <c r="AE58" s="28" t="s">
        <v>108</v>
      </c>
      <c r="AF58" s="47" t="str">
        <f t="shared" si="7"/>
        <v>C</v>
      </c>
      <c r="AG58" s="8" t="str">
        <f t="shared" si="10"/>
        <v>UTILIZOU O PDA CORRETAMENTE</v>
      </c>
      <c r="AH58" s="28" t="s">
        <v>108</v>
      </c>
      <c r="AI58" s="66" t="s">
        <v>1</v>
      </c>
      <c r="AJ58" s="22" t="str">
        <f t="shared" si="8"/>
        <v>GUARULHOS</v>
      </c>
      <c r="AK58" s="69" t="s">
        <v>4</v>
      </c>
    </row>
    <row r="59" spans="1:37" ht="30" customHeight="1" x14ac:dyDescent="0.2">
      <c r="A59" s="83" t="s">
        <v>101</v>
      </c>
      <c r="B59" s="83">
        <v>2614130667</v>
      </c>
      <c r="C59" s="83" t="s">
        <v>41</v>
      </c>
      <c r="D59" s="83" t="s">
        <v>25</v>
      </c>
      <c r="E59" s="83" t="s">
        <v>102</v>
      </c>
      <c r="F59" s="83" t="s">
        <v>353</v>
      </c>
      <c r="G59" s="83">
        <v>242</v>
      </c>
      <c r="H59" s="83" t="s">
        <v>358</v>
      </c>
      <c r="I59" s="83" t="s">
        <v>247</v>
      </c>
      <c r="J59" s="83" t="s">
        <v>41</v>
      </c>
      <c r="K59" s="83" t="s">
        <v>357</v>
      </c>
      <c r="L59" s="84" t="s">
        <v>316</v>
      </c>
      <c r="M59" s="84">
        <v>46146.620138888888</v>
      </c>
      <c r="N59" s="83" t="s">
        <v>274</v>
      </c>
      <c r="O59" s="36" t="s">
        <v>108</v>
      </c>
      <c r="P59" s="18"/>
      <c r="Q59" s="28" t="s">
        <v>108</v>
      </c>
      <c r="R59" s="18"/>
      <c r="S59" s="28" t="s">
        <v>108</v>
      </c>
      <c r="T59" s="18"/>
      <c r="U59" s="28" t="s">
        <v>108</v>
      </c>
      <c r="V59" s="18"/>
      <c r="W59" s="28" t="s">
        <v>108</v>
      </c>
      <c r="X59" s="18"/>
      <c r="Y59" s="28" t="s">
        <v>108</v>
      </c>
      <c r="Z59" s="18"/>
      <c r="AA59" s="28" t="s">
        <v>108</v>
      </c>
      <c r="AB59" s="18"/>
      <c r="AC59" s="28" t="s">
        <v>108</v>
      </c>
      <c r="AD59" s="18"/>
      <c r="AE59" s="28" t="s">
        <v>108</v>
      </c>
      <c r="AF59" s="47" t="str">
        <f t="shared" si="7"/>
        <v>C</v>
      </c>
      <c r="AG59" s="8" t="str">
        <f t="shared" si="10"/>
        <v>UTILIZOU O PDA CORRETAMENTE</v>
      </c>
      <c r="AH59" s="28" t="s">
        <v>108</v>
      </c>
      <c r="AI59" s="66" t="s">
        <v>1</v>
      </c>
      <c r="AJ59" s="22" t="str">
        <f t="shared" si="8"/>
        <v>GUARULHOS</v>
      </c>
      <c r="AK59" s="69" t="s">
        <v>4</v>
      </c>
    </row>
    <row r="60" spans="1:37" ht="30" customHeight="1" x14ac:dyDescent="0.2">
      <c r="A60" s="83" t="s">
        <v>101</v>
      </c>
      <c r="B60" s="83">
        <v>2614162798</v>
      </c>
      <c r="C60" s="83" t="s">
        <v>39</v>
      </c>
      <c r="D60" s="83" t="s">
        <v>25</v>
      </c>
      <c r="E60" s="83" t="s">
        <v>102</v>
      </c>
      <c r="F60" s="83" t="s">
        <v>359</v>
      </c>
      <c r="G60" s="83">
        <v>129</v>
      </c>
      <c r="H60" s="83" t="s">
        <v>360</v>
      </c>
      <c r="I60" s="83" t="s">
        <v>361</v>
      </c>
      <c r="J60" s="83" t="s">
        <v>39</v>
      </c>
      <c r="K60" s="83" t="s">
        <v>362</v>
      </c>
      <c r="L60" s="84" t="s">
        <v>316</v>
      </c>
      <c r="M60" s="84">
        <v>46146.663888888892</v>
      </c>
      <c r="N60" s="83" t="s">
        <v>274</v>
      </c>
      <c r="O60" s="36" t="s">
        <v>108</v>
      </c>
      <c r="P60" s="18"/>
      <c r="Q60" s="28" t="s">
        <v>108</v>
      </c>
      <c r="R60" s="18"/>
      <c r="S60" s="28" t="s">
        <v>14</v>
      </c>
      <c r="T60" s="18"/>
      <c r="U60" s="28" t="s">
        <v>14</v>
      </c>
      <c r="V60" s="18"/>
      <c r="W60" s="28" t="s">
        <v>14</v>
      </c>
      <c r="X60" s="18"/>
      <c r="Y60" s="28" t="s">
        <v>14</v>
      </c>
      <c r="Z60" s="18"/>
      <c r="AA60" s="28" t="s">
        <v>14</v>
      </c>
      <c r="AB60" s="18"/>
      <c r="AC60" s="28" t="s">
        <v>108</v>
      </c>
      <c r="AD60" s="18"/>
      <c r="AE60" s="28" t="s">
        <v>108</v>
      </c>
      <c r="AF60" s="47" t="str">
        <f t="shared" si="7"/>
        <v>C</v>
      </c>
      <c r="AG60" s="8" t="str">
        <f t="shared" si="10"/>
        <v>UTILIZOU O PDA CORRETAMENTE</v>
      </c>
      <c r="AH60" s="28" t="s">
        <v>108</v>
      </c>
      <c r="AI60" s="66" t="s">
        <v>1</v>
      </c>
      <c r="AJ60" s="22" t="str">
        <f t="shared" si="8"/>
        <v>GUARULHOS</v>
      </c>
      <c r="AK60" s="69" t="s">
        <v>4</v>
      </c>
    </row>
    <row r="61" spans="1:37" ht="30" customHeight="1" x14ac:dyDescent="0.2">
      <c r="A61" s="83" t="s">
        <v>101</v>
      </c>
      <c r="B61" s="83">
        <v>2614162824</v>
      </c>
      <c r="C61" s="83" t="s">
        <v>41</v>
      </c>
      <c r="D61" s="83" t="s">
        <v>25</v>
      </c>
      <c r="E61" s="83" t="s">
        <v>102</v>
      </c>
      <c r="F61" s="83" t="s">
        <v>359</v>
      </c>
      <c r="G61" s="83">
        <v>129</v>
      </c>
      <c r="H61" s="83" t="s">
        <v>363</v>
      </c>
      <c r="I61" s="83" t="s">
        <v>361</v>
      </c>
      <c r="J61" s="83" t="s">
        <v>41</v>
      </c>
      <c r="K61" s="83" t="s">
        <v>364</v>
      </c>
      <c r="L61" s="84" t="s">
        <v>316</v>
      </c>
      <c r="M61" s="84">
        <v>46146.665277777778</v>
      </c>
      <c r="N61" s="83" t="s">
        <v>274</v>
      </c>
      <c r="O61" s="36" t="s">
        <v>108</v>
      </c>
      <c r="P61" s="18"/>
      <c r="Q61" s="28" t="s">
        <v>108</v>
      </c>
      <c r="R61" s="18"/>
      <c r="S61" s="28" t="s">
        <v>14</v>
      </c>
      <c r="T61" s="18"/>
      <c r="U61" s="28" t="s">
        <v>14</v>
      </c>
      <c r="V61" s="18"/>
      <c r="W61" s="28" t="s">
        <v>14</v>
      </c>
      <c r="X61" s="18"/>
      <c r="Y61" s="28" t="s">
        <v>14</v>
      </c>
      <c r="Z61" s="18"/>
      <c r="AA61" s="28" t="s">
        <v>14</v>
      </c>
      <c r="AB61" s="18"/>
      <c r="AC61" s="28" t="s">
        <v>108</v>
      </c>
      <c r="AD61" s="18"/>
      <c r="AE61" s="28" t="s">
        <v>108</v>
      </c>
      <c r="AF61" s="47" t="str">
        <f t="shared" si="7"/>
        <v>C</v>
      </c>
      <c r="AG61" s="8" t="str">
        <f t="shared" si="10"/>
        <v>UTILIZOU O PDA CORRETAMENTE</v>
      </c>
      <c r="AH61" s="28" t="s">
        <v>108</v>
      </c>
      <c r="AI61" s="66" t="s">
        <v>1</v>
      </c>
      <c r="AJ61" s="22" t="str">
        <f t="shared" si="8"/>
        <v>GUARULHOS</v>
      </c>
      <c r="AK61" s="69" t="s">
        <v>4</v>
      </c>
    </row>
    <row r="62" spans="1:37" ht="30" customHeight="1" x14ac:dyDescent="0.2">
      <c r="A62" s="83" t="s">
        <v>101</v>
      </c>
      <c r="B62" s="83">
        <v>2614169265</v>
      </c>
      <c r="C62" s="83" t="s">
        <v>375</v>
      </c>
      <c r="D62" s="83" t="s">
        <v>28</v>
      </c>
      <c r="E62" s="83" t="s">
        <v>102</v>
      </c>
      <c r="F62" s="83" t="s">
        <v>228</v>
      </c>
      <c r="G62" s="83">
        <v>438</v>
      </c>
      <c r="H62" s="83" t="s">
        <v>110</v>
      </c>
      <c r="I62" s="83" t="s">
        <v>229</v>
      </c>
      <c r="J62" s="83" t="s">
        <v>376</v>
      </c>
      <c r="K62" s="83"/>
      <c r="L62" s="84" t="s">
        <v>377</v>
      </c>
      <c r="M62" s="84">
        <v>46177.364583333336</v>
      </c>
      <c r="N62" s="83" t="s">
        <v>231</v>
      </c>
      <c r="O62" s="36" t="s">
        <v>108</v>
      </c>
      <c r="P62" s="18"/>
      <c r="Q62" s="28" t="s">
        <v>108</v>
      </c>
      <c r="R62" s="18"/>
      <c r="S62" s="28" t="s">
        <v>14</v>
      </c>
      <c r="T62" s="18"/>
      <c r="U62" s="28" t="s">
        <v>14</v>
      </c>
      <c r="V62" s="18"/>
      <c r="W62" s="28" t="s">
        <v>14</v>
      </c>
      <c r="X62" s="18"/>
      <c r="Y62" s="28" t="s">
        <v>14</v>
      </c>
      <c r="Z62" s="18"/>
      <c r="AA62" s="28" t="s">
        <v>14</v>
      </c>
      <c r="AB62" s="18"/>
      <c r="AC62" s="28" t="s">
        <v>108</v>
      </c>
      <c r="AD62" s="18"/>
      <c r="AE62" s="28" t="s">
        <v>108</v>
      </c>
      <c r="AF62" s="47" t="str">
        <f t="shared" si="7"/>
        <v>C</v>
      </c>
      <c r="AG62" s="8" t="str">
        <f t="shared" si="10"/>
        <v>UTILIZOU O PDA CORRETAMENTE</v>
      </c>
      <c r="AH62" s="28" t="s">
        <v>108</v>
      </c>
      <c r="AI62" s="66" t="s">
        <v>1</v>
      </c>
      <c r="AJ62" s="22" t="str">
        <f t="shared" si="8"/>
        <v>GUARULHOS</v>
      </c>
      <c r="AK62" s="69" t="s">
        <v>4</v>
      </c>
    </row>
    <row r="63" spans="1:37" ht="30" customHeight="1" x14ac:dyDescent="0.2">
      <c r="A63" s="83" t="s">
        <v>101</v>
      </c>
      <c r="B63" s="83">
        <v>2613751438</v>
      </c>
      <c r="C63" s="83" t="s">
        <v>38</v>
      </c>
      <c r="D63" s="83" t="s">
        <v>25</v>
      </c>
      <c r="E63" s="83" t="s">
        <v>102</v>
      </c>
      <c r="F63" s="83" t="s">
        <v>384</v>
      </c>
      <c r="G63" s="83">
        <v>298</v>
      </c>
      <c r="H63" s="83" t="s">
        <v>385</v>
      </c>
      <c r="I63" s="83" t="s">
        <v>118</v>
      </c>
      <c r="J63" s="83" t="s">
        <v>309</v>
      </c>
      <c r="K63" s="89" t="s">
        <v>386</v>
      </c>
      <c r="L63" s="84" t="s">
        <v>377</v>
      </c>
      <c r="M63" s="84">
        <v>46177.584027777775</v>
      </c>
      <c r="N63" s="83" t="s">
        <v>119</v>
      </c>
      <c r="O63" s="36" t="s">
        <v>108</v>
      </c>
      <c r="P63" s="18"/>
      <c r="Q63" s="28" t="s">
        <v>108</v>
      </c>
      <c r="R63" s="18"/>
      <c r="S63" s="28" t="s">
        <v>108</v>
      </c>
      <c r="T63" s="18"/>
      <c r="U63" s="28" t="s">
        <v>214</v>
      </c>
      <c r="V63" s="18"/>
      <c r="W63" s="28" t="s">
        <v>214</v>
      </c>
      <c r="X63" s="18"/>
      <c r="Y63" s="28" t="s">
        <v>214</v>
      </c>
      <c r="Z63" s="18"/>
      <c r="AA63" s="28" t="s">
        <v>214</v>
      </c>
      <c r="AB63" s="18"/>
      <c r="AC63" s="28" t="s">
        <v>214</v>
      </c>
      <c r="AD63" s="18"/>
      <c r="AE63" s="28" t="s">
        <v>108</v>
      </c>
      <c r="AF63" s="47" t="str">
        <f t="shared" si="7"/>
        <v>NC</v>
      </c>
      <c r="AG63" s="8" t="str">
        <f t="shared" si="10"/>
        <v>UTILIZOU O PDA CORRETAMENTE. NÃO HÁ FOTOS DE TODAS AS ETAPAS</v>
      </c>
      <c r="AH63" s="28" t="s">
        <v>108</v>
      </c>
      <c r="AI63" s="66" t="s">
        <v>1</v>
      </c>
      <c r="AJ63" s="22" t="str">
        <f t="shared" si="8"/>
        <v>GUARULHOS</v>
      </c>
      <c r="AK63" s="69" t="s">
        <v>4</v>
      </c>
    </row>
    <row r="64" spans="1:37" ht="30" customHeight="1" x14ac:dyDescent="0.2">
      <c r="A64" s="83" t="s">
        <v>101</v>
      </c>
      <c r="B64" s="83">
        <v>2613762762</v>
      </c>
      <c r="C64" s="83" t="s">
        <v>31</v>
      </c>
      <c r="D64" s="83" t="s">
        <v>25</v>
      </c>
      <c r="E64" s="83" t="s">
        <v>102</v>
      </c>
      <c r="F64" s="83" t="s">
        <v>384</v>
      </c>
      <c r="G64" s="83">
        <v>298</v>
      </c>
      <c r="H64" s="83" t="s">
        <v>320</v>
      </c>
      <c r="I64" s="83" t="s">
        <v>118</v>
      </c>
      <c r="J64" s="83" t="s">
        <v>123</v>
      </c>
      <c r="K64" s="89" t="s">
        <v>390</v>
      </c>
      <c r="L64" s="84" t="s">
        <v>316</v>
      </c>
      <c r="M64" s="84">
        <v>46146.709027777775</v>
      </c>
      <c r="N64" s="83" t="s">
        <v>119</v>
      </c>
      <c r="O64" s="36" t="s">
        <v>108</v>
      </c>
      <c r="P64" s="18"/>
      <c r="Q64" s="28" t="s">
        <v>108</v>
      </c>
      <c r="R64" s="18"/>
      <c r="S64" s="28" t="s">
        <v>108</v>
      </c>
      <c r="T64" s="18"/>
      <c r="U64" s="28" t="s">
        <v>214</v>
      </c>
      <c r="V64" s="18"/>
      <c r="W64" s="28" t="s">
        <v>214</v>
      </c>
      <c r="X64" s="18"/>
      <c r="Y64" s="28" t="s">
        <v>214</v>
      </c>
      <c r="Z64" s="18"/>
      <c r="AA64" s="28" t="s">
        <v>214</v>
      </c>
      <c r="AB64" s="18"/>
      <c r="AC64" s="28" t="s">
        <v>214</v>
      </c>
      <c r="AD64" s="18"/>
      <c r="AE64" s="28" t="s">
        <v>108</v>
      </c>
      <c r="AF64" s="47" t="str">
        <f t="shared" si="7"/>
        <v>NC</v>
      </c>
      <c r="AG64" s="8" t="str">
        <f t="shared" si="10"/>
        <v>UTILIZOU O PDA CORRETAMENTE. NÃO HÁ FOTOS DE TODAS AS ETAPAS</v>
      </c>
      <c r="AH64" s="28" t="s">
        <v>108</v>
      </c>
      <c r="AI64" s="66" t="s">
        <v>1</v>
      </c>
      <c r="AJ64" s="22" t="str">
        <f t="shared" si="8"/>
        <v>GUARULHOS</v>
      </c>
      <c r="AK64" s="69" t="s">
        <v>4</v>
      </c>
    </row>
    <row r="65" spans="1:37" ht="30" customHeight="1" x14ac:dyDescent="0.2">
      <c r="A65" s="83" t="s">
        <v>101</v>
      </c>
      <c r="B65" s="83">
        <v>2613761609</v>
      </c>
      <c r="C65" s="83" t="s">
        <v>31</v>
      </c>
      <c r="D65" s="83" t="s">
        <v>25</v>
      </c>
      <c r="E65" s="83" t="s">
        <v>102</v>
      </c>
      <c r="F65" s="83" t="s">
        <v>384</v>
      </c>
      <c r="G65" s="83">
        <v>298</v>
      </c>
      <c r="H65" s="83" t="s">
        <v>321</v>
      </c>
      <c r="I65" s="83" t="s">
        <v>118</v>
      </c>
      <c r="J65" s="83" t="s">
        <v>123</v>
      </c>
      <c r="K65" s="89" t="s">
        <v>391</v>
      </c>
      <c r="L65" s="84" t="s">
        <v>316</v>
      </c>
      <c r="M65" s="84">
        <v>46146.709027777775</v>
      </c>
      <c r="N65" s="83" t="s">
        <v>119</v>
      </c>
      <c r="O65" s="36" t="s">
        <v>108</v>
      </c>
      <c r="P65" s="18"/>
      <c r="Q65" s="28" t="s">
        <v>108</v>
      </c>
      <c r="R65" s="18"/>
      <c r="S65" s="28" t="s">
        <v>108</v>
      </c>
      <c r="T65" s="18"/>
      <c r="U65" s="28" t="s">
        <v>214</v>
      </c>
      <c r="V65" s="18"/>
      <c r="W65" s="28" t="s">
        <v>214</v>
      </c>
      <c r="X65" s="18"/>
      <c r="Y65" s="28" t="s">
        <v>214</v>
      </c>
      <c r="Z65" s="18"/>
      <c r="AA65" s="28" t="s">
        <v>214</v>
      </c>
      <c r="AB65" s="18"/>
      <c r="AC65" s="28" t="s">
        <v>214</v>
      </c>
      <c r="AD65" s="18"/>
      <c r="AE65" s="28" t="s">
        <v>108</v>
      </c>
      <c r="AF65" s="47" t="str">
        <f t="shared" si="7"/>
        <v>NC</v>
      </c>
      <c r="AG65" s="8" t="str">
        <f t="shared" si="10"/>
        <v>UTILIZOU O PDA CORRETAMENTE. NÃO HÁ FOTOS DE TODAS AS ETAPAS</v>
      </c>
      <c r="AH65" s="28" t="s">
        <v>108</v>
      </c>
      <c r="AI65" s="66" t="s">
        <v>1</v>
      </c>
      <c r="AJ65" s="22" t="str">
        <f t="shared" si="8"/>
        <v>GUARULHOS</v>
      </c>
      <c r="AK65" s="69" t="s">
        <v>4</v>
      </c>
    </row>
    <row r="66" spans="1:37" ht="30" customHeight="1" x14ac:dyDescent="0.2">
      <c r="A66" s="83" t="s">
        <v>101</v>
      </c>
      <c r="B66" s="83">
        <v>2613760503</v>
      </c>
      <c r="C66" s="83" t="s">
        <v>31</v>
      </c>
      <c r="D66" s="83" t="s">
        <v>25</v>
      </c>
      <c r="E66" s="83" t="s">
        <v>102</v>
      </c>
      <c r="F66" s="83" t="s">
        <v>384</v>
      </c>
      <c r="G66" s="83">
        <v>298</v>
      </c>
      <c r="H66" s="83" t="s">
        <v>322</v>
      </c>
      <c r="I66" s="83" t="s">
        <v>118</v>
      </c>
      <c r="J66" s="83" t="s">
        <v>123</v>
      </c>
      <c r="K66" s="89" t="s">
        <v>386</v>
      </c>
      <c r="L66" s="84" t="s">
        <v>316</v>
      </c>
      <c r="M66" s="84">
        <v>46146.709027777775</v>
      </c>
      <c r="N66" s="83" t="s">
        <v>119</v>
      </c>
      <c r="O66" s="36" t="s">
        <v>108</v>
      </c>
      <c r="P66" s="18"/>
      <c r="Q66" s="28" t="s">
        <v>108</v>
      </c>
      <c r="R66" s="18"/>
      <c r="S66" s="28" t="s">
        <v>108</v>
      </c>
      <c r="T66" s="18"/>
      <c r="U66" s="28" t="s">
        <v>214</v>
      </c>
      <c r="V66" s="18"/>
      <c r="W66" s="28" t="s">
        <v>214</v>
      </c>
      <c r="X66" s="18"/>
      <c r="Y66" s="28" t="s">
        <v>214</v>
      </c>
      <c r="Z66" s="18"/>
      <c r="AA66" s="28" t="s">
        <v>214</v>
      </c>
      <c r="AB66" s="18"/>
      <c r="AC66" s="28" t="s">
        <v>214</v>
      </c>
      <c r="AD66" s="18"/>
      <c r="AE66" s="28" t="s">
        <v>108</v>
      </c>
      <c r="AF66" s="47" t="str">
        <f t="shared" si="7"/>
        <v>NC</v>
      </c>
      <c r="AG66" s="8" t="str">
        <f t="shared" si="10"/>
        <v>UTILIZOU O PDA CORRETAMENTE. NÃO HÁ FOTOS DE TODAS AS ETAPAS</v>
      </c>
      <c r="AH66" s="28" t="s">
        <v>108</v>
      </c>
      <c r="AI66" s="66" t="s">
        <v>1</v>
      </c>
      <c r="AJ66" s="22" t="str">
        <f t="shared" si="8"/>
        <v>GUARULHOS</v>
      </c>
      <c r="AK66" s="69" t="s">
        <v>4</v>
      </c>
    </row>
    <row r="67" spans="1:37" ht="30" customHeight="1" x14ac:dyDescent="0.2">
      <c r="A67" s="83" t="s">
        <v>101</v>
      </c>
      <c r="B67" s="83">
        <v>2614166839</v>
      </c>
      <c r="C67" s="83" t="s">
        <v>45</v>
      </c>
      <c r="D67" s="83" t="s">
        <v>27</v>
      </c>
      <c r="E67" s="83" t="s">
        <v>102</v>
      </c>
      <c r="F67" s="83" t="s">
        <v>161</v>
      </c>
      <c r="G67" s="83">
        <v>200</v>
      </c>
      <c r="H67" s="83" t="s">
        <v>392</v>
      </c>
      <c r="I67" s="83" t="s">
        <v>162</v>
      </c>
      <c r="J67" s="83" t="s">
        <v>150</v>
      </c>
      <c r="K67" s="83"/>
      <c r="L67" s="84" t="s">
        <v>377</v>
      </c>
      <c r="M67" s="84">
        <v>46177.479861111111</v>
      </c>
      <c r="N67" s="83" t="s">
        <v>163</v>
      </c>
      <c r="O67" s="36" t="s">
        <v>108</v>
      </c>
      <c r="P67" s="18"/>
      <c r="Q67" s="28" t="s">
        <v>108</v>
      </c>
      <c r="R67" s="18"/>
      <c r="S67" s="28" t="s">
        <v>108</v>
      </c>
      <c r="T67" s="18"/>
      <c r="U67" s="28" t="s">
        <v>108</v>
      </c>
      <c r="V67" s="18"/>
      <c r="W67" s="28" t="s">
        <v>108</v>
      </c>
      <c r="X67" s="18"/>
      <c r="Y67" s="28" t="s">
        <v>14</v>
      </c>
      <c r="Z67" s="18"/>
      <c r="AA67" s="28" t="s">
        <v>108</v>
      </c>
      <c r="AB67" s="18"/>
      <c r="AC67" s="28" t="s">
        <v>108</v>
      </c>
      <c r="AD67" s="18"/>
      <c r="AE67" s="28" t="s">
        <v>108</v>
      </c>
      <c r="AF67" s="47" t="str">
        <f t="shared" si="7"/>
        <v>C</v>
      </c>
      <c r="AG67" s="8" t="str">
        <f t="shared" si="10"/>
        <v>UTILIZOU O PDA CORRETAMENTE</v>
      </c>
      <c r="AH67" s="28" t="s">
        <v>108</v>
      </c>
      <c r="AI67" s="66" t="s">
        <v>1</v>
      </c>
      <c r="AJ67" s="22" t="str">
        <f t="shared" si="8"/>
        <v>GUARULHOS</v>
      </c>
      <c r="AK67" s="69" t="s">
        <v>4</v>
      </c>
    </row>
    <row r="68" spans="1:37" ht="30" customHeight="1" x14ac:dyDescent="0.2">
      <c r="A68" s="83" t="s">
        <v>101</v>
      </c>
      <c r="B68" s="83">
        <v>2613688151</v>
      </c>
      <c r="C68" s="83" t="s">
        <v>40</v>
      </c>
      <c r="D68" s="83" t="s">
        <v>25</v>
      </c>
      <c r="E68" s="83" t="s">
        <v>102</v>
      </c>
      <c r="F68" s="83" t="s">
        <v>393</v>
      </c>
      <c r="G68" s="83">
        <v>34</v>
      </c>
      <c r="H68" s="83" t="s">
        <v>117</v>
      </c>
      <c r="I68" s="83" t="s">
        <v>220</v>
      </c>
      <c r="J68" s="83" t="s">
        <v>40</v>
      </c>
      <c r="K68" s="83" t="s">
        <v>394</v>
      </c>
      <c r="L68" s="84" t="s">
        <v>377</v>
      </c>
      <c r="M68" s="84">
        <v>46177.689583333333</v>
      </c>
      <c r="N68" s="83" t="s">
        <v>107</v>
      </c>
      <c r="O68" s="36" t="s">
        <v>108</v>
      </c>
      <c r="P68" s="18"/>
      <c r="Q68" s="28" t="s">
        <v>108</v>
      </c>
      <c r="R68" s="18"/>
      <c r="S68" s="28" t="s">
        <v>108</v>
      </c>
      <c r="T68" s="18"/>
      <c r="U68" s="28" t="s">
        <v>108</v>
      </c>
      <c r="V68" s="18"/>
      <c r="W68" s="28" t="s">
        <v>108</v>
      </c>
      <c r="X68" s="18"/>
      <c r="Y68" s="28" t="s">
        <v>108</v>
      </c>
      <c r="Z68" s="18"/>
      <c r="AA68" s="28" t="s">
        <v>108</v>
      </c>
      <c r="AB68" s="18"/>
      <c r="AC68" s="28" t="s">
        <v>108</v>
      </c>
      <c r="AD68" s="18"/>
      <c r="AE68" s="28" t="s">
        <v>108</v>
      </c>
      <c r="AF68" s="47" t="str">
        <f t="shared" si="7"/>
        <v>C</v>
      </c>
      <c r="AG68" s="8" t="str">
        <f t="shared" si="10"/>
        <v>UTILIZOU O PDA CORRETAMENTE</v>
      </c>
      <c r="AH68" s="28" t="s">
        <v>108</v>
      </c>
      <c r="AI68" s="66" t="s">
        <v>1</v>
      </c>
      <c r="AJ68" s="22" t="str">
        <f t="shared" si="8"/>
        <v>GUARULHOS</v>
      </c>
      <c r="AK68" s="69" t="s">
        <v>4</v>
      </c>
    </row>
    <row r="69" spans="1:37" ht="30" customHeight="1" x14ac:dyDescent="0.2">
      <c r="A69" s="83" t="s">
        <v>101</v>
      </c>
      <c r="B69" s="83">
        <v>2613688156</v>
      </c>
      <c r="C69" s="83" t="s">
        <v>42</v>
      </c>
      <c r="D69" s="83" t="s">
        <v>25</v>
      </c>
      <c r="E69" s="83" t="s">
        <v>102</v>
      </c>
      <c r="F69" s="83" t="s">
        <v>393</v>
      </c>
      <c r="G69" s="83">
        <v>34</v>
      </c>
      <c r="H69" s="83" t="s">
        <v>115</v>
      </c>
      <c r="I69" s="83" t="s">
        <v>220</v>
      </c>
      <c r="J69" s="83" t="s">
        <v>42</v>
      </c>
      <c r="K69" s="83"/>
      <c r="L69" s="84" t="s">
        <v>377</v>
      </c>
      <c r="M69" s="84">
        <v>46177.679166666669</v>
      </c>
      <c r="N69" s="83" t="s">
        <v>107</v>
      </c>
      <c r="O69" s="36" t="s">
        <v>108</v>
      </c>
      <c r="P69" s="18"/>
      <c r="Q69" s="28" t="s">
        <v>108</v>
      </c>
      <c r="R69" s="18"/>
      <c r="S69" s="28" t="s">
        <v>108</v>
      </c>
      <c r="T69" s="18"/>
      <c r="U69" s="28" t="s">
        <v>108</v>
      </c>
      <c r="V69" s="18"/>
      <c r="W69" s="28" t="s">
        <v>108</v>
      </c>
      <c r="X69" s="18"/>
      <c r="Y69" s="28" t="s">
        <v>108</v>
      </c>
      <c r="Z69" s="18"/>
      <c r="AA69" s="28" t="s">
        <v>108</v>
      </c>
      <c r="AB69" s="18"/>
      <c r="AC69" s="28" t="s">
        <v>108</v>
      </c>
      <c r="AD69" s="18"/>
      <c r="AE69" s="28" t="s">
        <v>108</v>
      </c>
      <c r="AF69" s="47" t="str">
        <f t="shared" si="7"/>
        <v>C</v>
      </c>
      <c r="AG69" s="8" t="str">
        <f t="shared" si="10"/>
        <v>UTILIZOU O PDA CORRETAMENTE</v>
      </c>
      <c r="AH69" s="28" t="s">
        <v>108</v>
      </c>
      <c r="AI69" s="66" t="s">
        <v>1</v>
      </c>
      <c r="AJ69" s="22" t="str">
        <f t="shared" si="8"/>
        <v>GUARULHOS</v>
      </c>
      <c r="AK69" s="69" t="s">
        <v>4</v>
      </c>
    </row>
    <row r="70" spans="1:37" ht="30" customHeight="1" x14ac:dyDescent="0.2">
      <c r="A70" s="83" t="s">
        <v>101</v>
      </c>
      <c r="B70" s="83">
        <v>2614132681</v>
      </c>
      <c r="C70" s="83" t="s">
        <v>39</v>
      </c>
      <c r="D70" s="83" t="s">
        <v>25</v>
      </c>
      <c r="E70" s="83" t="s">
        <v>102</v>
      </c>
      <c r="F70" s="83" t="s">
        <v>395</v>
      </c>
      <c r="G70" s="83">
        <v>73</v>
      </c>
      <c r="H70" s="83" t="s">
        <v>110</v>
      </c>
      <c r="I70" s="83" t="s">
        <v>154</v>
      </c>
      <c r="J70" s="83" t="s">
        <v>39</v>
      </c>
      <c r="K70" s="83" t="s">
        <v>396</v>
      </c>
      <c r="L70" s="84" t="s">
        <v>377</v>
      </c>
      <c r="M70" s="84">
        <v>46177.736111111109</v>
      </c>
      <c r="N70" s="83" t="s">
        <v>107</v>
      </c>
      <c r="O70" s="36" t="s">
        <v>108</v>
      </c>
      <c r="P70" s="18"/>
      <c r="Q70" s="28" t="s">
        <v>108</v>
      </c>
      <c r="R70" s="18"/>
      <c r="S70" s="28" t="s">
        <v>108</v>
      </c>
      <c r="T70" s="18"/>
      <c r="U70" s="28" t="s">
        <v>108</v>
      </c>
      <c r="V70" s="18"/>
      <c r="W70" s="28" t="s">
        <v>108</v>
      </c>
      <c r="X70" s="18"/>
      <c r="Y70" s="28" t="s">
        <v>14</v>
      </c>
      <c r="Z70" s="18"/>
      <c r="AA70" s="28" t="s">
        <v>108</v>
      </c>
      <c r="AB70" s="18"/>
      <c r="AC70" s="28" t="s">
        <v>108</v>
      </c>
      <c r="AD70" s="18"/>
      <c r="AE70" s="28" t="s">
        <v>108</v>
      </c>
      <c r="AF70" s="47" t="str">
        <f t="shared" si="7"/>
        <v>C</v>
      </c>
      <c r="AG70" s="8" t="str">
        <f t="shared" si="10"/>
        <v>UTILIZOU O PDA CORRETAMENTE</v>
      </c>
      <c r="AH70" s="28" t="s">
        <v>108</v>
      </c>
      <c r="AI70" s="66" t="s">
        <v>1</v>
      </c>
      <c r="AJ70" s="22" t="str">
        <f t="shared" si="8"/>
        <v>GUARULHOS</v>
      </c>
      <c r="AK70" s="69" t="s">
        <v>4</v>
      </c>
    </row>
    <row r="71" spans="1:37" ht="30" customHeight="1" x14ac:dyDescent="0.2">
      <c r="A71" s="83" t="s">
        <v>101</v>
      </c>
      <c r="B71" s="83">
        <v>2614132769</v>
      </c>
      <c r="C71" s="83" t="s">
        <v>41</v>
      </c>
      <c r="D71" s="83" t="s">
        <v>25</v>
      </c>
      <c r="E71" s="83" t="s">
        <v>102</v>
      </c>
      <c r="F71" s="83" t="s">
        <v>395</v>
      </c>
      <c r="G71" s="83">
        <v>73</v>
      </c>
      <c r="H71" s="83" t="s">
        <v>115</v>
      </c>
      <c r="I71" s="83" t="s">
        <v>154</v>
      </c>
      <c r="J71" s="83" t="s">
        <v>41</v>
      </c>
      <c r="K71" s="83"/>
      <c r="L71" s="84" t="s">
        <v>377</v>
      </c>
      <c r="M71" s="84">
        <v>46177.738194444442</v>
      </c>
      <c r="N71" s="83" t="s">
        <v>107</v>
      </c>
      <c r="O71" s="36" t="s">
        <v>108</v>
      </c>
      <c r="P71" s="18"/>
      <c r="Q71" s="28" t="s">
        <v>108</v>
      </c>
      <c r="R71" s="18"/>
      <c r="S71" s="28" t="s">
        <v>108</v>
      </c>
      <c r="T71" s="18"/>
      <c r="U71" s="28" t="s">
        <v>108</v>
      </c>
      <c r="V71" s="18"/>
      <c r="W71" s="28" t="s">
        <v>108</v>
      </c>
      <c r="X71" s="18"/>
      <c r="Y71" s="28" t="s">
        <v>14</v>
      </c>
      <c r="Z71" s="18"/>
      <c r="AA71" s="28" t="s">
        <v>108</v>
      </c>
      <c r="AB71" s="18"/>
      <c r="AC71" s="28" t="s">
        <v>108</v>
      </c>
      <c r="AD71" s="18"/>
      <c r="AE71" s="28" t="s">
        <v>108</v>
      </c>
      <c r="AF71" s="47" t="str">
        <f t="shared" si="7"/>
        <v>C</v>
      </c>
      <c r="AG71" s="8" t="str">
        <f t="shared" si="10"/>
        <v>UTILIZOU O PDA CORRETAMENTE</v>
      </c>
      <c r="AH71" s="28" t="s">
        <v>108</v>
      </c>
      <c r="AI71" s="66" t="s">
        <v>1</v>
      </c>
      <c r="AJ71" s="22" t="str">
        <f t="shared" si="8"/>
        <v>GUARULHOS</v>
      </c>
      <c r="AK71" s="69" t="s">
        <v>4</v>
      </c>
    </row>
    <row r="72" spans="1:37" ht="30" customHeight="1" x14ac:dyDescent="0.2">
      <c r="A72" s="83" t="s">
        <v>101</v>
      </c>
      <c r="B72" s="83">
        <v>2614451014</v>
      </c>
      <c r="C72" s="83" t="s">
        <v>45</v>
      </c>
      <c r="D72" s="83" t="s">
        <v>27</v>
      </c>
      <c r="E72" s="83" t="s">
        <v>102</v>
      </c>
      <c r="F72" s="83" t="s">
        <v>197</v>
      </c>
      <c r="G72" s="83">
        <v>540</v>
      </c>
      <c r="H72" s="83" t="s">
        <v>117</v>
      </c>
      <c r="I72" s="83" t="s">
        <v>162</v>
      </c>
      <c r="J72" s="83" t="s">
        <v>150</v>
      </c>
      <c r="K72" s="83" t="s">
        <v>397</v>
      </c>
      <c r="L72" s="84" t="s">
        <v>377</v>
      </c>
      <c r="M72" s="84">
        <v>46177.663888888892</v>
      </c>
      <c r="N72" s="83" t="s">
        <v>160</v>
      </c>
      <c r="O72" s="36" t="s">
        <v>108</v>
      </c>
      <c r="P72" s="18"/>
      <c r="Q72" s="28" t="s">
        <v>108</v>
      </c>
      <c r="R72" s="18"/>
      <c r="S72" s="28" t="s">
        <v>108</v>
      </c>
      <c r="T72" s="18"/>
      <c r="U72" s="28" t="s">
        <v>108</v>
      </c>
      <c r="V72" s="18"/>
      <c r="W72" s="28" t="s">
        <v>108</v>
      </c>
      <c r="X72" s="18"/>
      <c r="Y72" s="28" t="s">
        <v>108</v>
      </c>
      <c r="Z72" s="18"/>
      <c r="AA72" s="28" t="s">
        <v>108</v>
      </c>
      <c r="AB72" s="18"/>
      <c r="AC72" s="28" t="s">
        <v>114</v>
      </c>
      <c r="AD72" s="18" t="s">
        <v>164</v>
      </c>
      <c r="AE72" s="28" t="s">
        <v>108</v>
      </c>
      <c r="AF72" s="47" t="str">
        <f t="shared" si="7"/>
        <v>NC</v>
      </c>
      <c r="AG72" s="8" t="str">
        <f t="shared" si="10"/>
        <v>UTILIZOU O PDA CORRETAMENTE. NÃO HÁ FOTOS DE TODAS AS ETAPAS</v>
      </c>
      <c r="AH72" s="28" t="s">
        <v>108</v>
      </c>
      <c r="AI72" s="66" t="s">
        <v>1</v>
      </c>
      <c r="AJ72" s="22" t="str">
        <f t="shared" si="8"/>
        <v>GUARULHOS</v>
      </c>
      <c r="AK72" s="69" t="s">
        <v>4</v>
      </c>
    </row>
    <row r="73" spans="1:37" ht="30" customHeight="1" x14ac:dyDescent="0.2">
      <c r="A73" s="83" t="s">
        <v>101</v>
      </c>
      <c r="B73" s="83">
        <v>2614451472</v>
      </c>
      <c r="C73" s="83" t="s">
        <v>45</v>
      </c>
      <c r="D73" s="83" t="s">
        <v>27</v>
      </c>
      <c r="E73" s="83" t="s">
        <v>102</v>
      </c>
      <c r="F73" s="83" t="s">
        <v>197</v>
      </c>
      <c r="G73" s="83">
        <v>544</v>
      </c>
      <c r="H73" s="83"/>
      <c r="I73" s="83" t="s">
        <v>162</v>
      </c>
      <c r="J73" s="83" t="s">
        <v>150</v>
      </c>
      <c r="K73" s="83" t="s">
        <v>398</v>
      </c>
      <c r="L73" s="84" t="s">
        <v>377</v>
      </c>
      <c r="M73" s="84">
        <v>46177.668749999997</v>
      </c>
      <c r="N73" s="83" t="s">
        <v>160</v>
      </c>
      <c r="O73" s="36" t="s">
        <v>108</v>
      </c>
      <c r="P73" s="18"/>
      <c r="Q73" s="28" t="s">
        <v>108</v>
      </c>
      <c r="R73" s="18"/>
      <c r="S73" s="28" t="s">
        <v>108</v>
      </c>
      <c r="T73" s="18"/>
      <c r="U73" s="28" t="s">
        <v>108</v>
      </c>
      <c r="V73" s="18"/>
      <c r="W73" s="28" t="s">
        <v>108</v>
      </c>
      <c r="X73" s="18"/>
      <c r="Y73" s="28" t="s">
        <v>108</v>
      </c>
      <c r="Z73" s="18"/>
      <c r="AA73" s="28" t="s">
        <v>108</v>
      </c>
      <c r="AB73" s="18"/>
      <c r="AC73" s="28" t="s">
        <v>114</v>
      </c>
      <c r="AD73" s="18" t="s">
        <v>164</v>
      </c>
      <c r="AE73" s="28" t="s">
        <v>108</v>
      </c>
      <c r="AF73" s="47" t="str">
        <f t="shared" si="7"/>
        <v>NC</v>
      </c>
      <c r="AG73" s="8" t="str">
        <f t="shared" si="10"/>
        <v>UTILIZOU O PDA CORRETAMENTE. NÃO HÁ FOTOS DE TODAS AS ETAPAS</v>
      </c>
      <c r="AH73" s="28" t="s">
        <v>108</v>
      </c>
      <c r="AI73" s="66" t="s">
        <v>1</v>
      </c>
      <c r="AJ73" s="22" t="str">
        <f t="shared" si="8"/>
        <v>GUARULHOS</v>
      </c>
      <c r="AK73" s="69" t="s">
        <v>4</v>
      </c>
    </row>
    <row r="74" spans="1:37" ht="30" customHeight="1" x14ac:dyDescent="0.2">
      <c r="A74" s="83" t="s">
        <v>101</v>
      </c>
      <c r="B74" s="83">
        <v>2614463350</v>
      </c>
      <c r="C74" s="83" t="s">
        <v>50</v>
      </c>
      <c r="D74" s="83" t="s">
        <v>29</v>
      </c>
      <c r="E74" s="83" t="s">
        <v>102</v>
      </c>
      <c r="F74" s="83" t="s">
        <v>173</v>
      </c>
      <c r="G74" s="83">
        <v>10</v>
      </c>
      <c r="H74" s="83" t="s">
        <v>404</v>
      </c>
      <c r="I74" s="83" t="s">
        <v>175</v>
      </c>
      <c r="J74" s="83" t="s">
        <v>130</v>
      </c>
      <c r="K74" s="83"/>
      <c r="L74" s="84" t="s">
        <v>377</v>
      </c>
      <c r="M74" s="84">
        <v>46177.691666666666</v>
      </c>
      <c r="N74" s="83" t="s">
        <v>209</v>
      </c>
      <c r="O74" s="36" t="s">
        <v>108</v>
      </c>
      <c r="P74" s="18"/>
      <c r="Q74" s="28" t="s">
        <v>108</v>
      </c>
      <c r="R74" s="18"/>
      <c r="S74" s="28" t="s">
        <v>108</v>
      </c>
      <c r="T74" s="18"/>
      <c r="U74" s="28" t="s">
        <v>108</v>
      </c>
      <c r="V74" s="18"/>
      <c r="W74" s="28" t="s">
        <v>108</v>
      </c>
      <c r="X74" s="18"/>
      <c r="Y74" s="28" t="s">
        <v>14</v>
      </c>
      <c r="Z74" s="18"/>
      <c r="AA74" s="28" t="s">
        <v>108</v>
      </c>
      <c r="AB74" s="18"/>
      <c r="AC74" s="28" t="s">
        <v>108</v>
      </c>
      <c r="AD74" s="18"/>
      <c r="AE74" s="28" t="s">
        <v>108</v>
      </c>
      <c r="AF74" s="47" t="str">
        <f t="shared" ref="AF74:AF104" si="11">IF(AND(O74="",Q74="",S74="",U74="",W74="",Y74="",AA74="",AC74=""),"",IF(OR(AND(O74&lt;&gt;"NA",O74&lt;&gt;"C",O74&lt;&gt;"NC",O74&lt;&gt;"SF",O74&lt;&gt;""),AND(Q74&lt;&gt;"NA",Q74&lt;&gt;"C",Q74&lt;&gt;"NC",Q74&lt;&gt;"SF",Q74&lt;&gt;""),AND(S74&lt;&gt;"NA",S74&lt;&gt;"C",S74&lt;&gt;"NC",S74&lt;&gt;"SF",S74&lt;&gt;""),AND(U74&lt;&gt;"NA",U74&lt;&gt;"C",U74&lt;&gt;"NC",U74&lt;&gt;"SF",U74&lt;&gt;""),AND(W74&lt;&gt;"NA",W74&lt;&gt;"C",W74&lt;&gt;"NC",W74&lt;&gt;"SF",W74&lt;&gt;""),AND(Y74&lt;&gt;"NA",Y74&lt;&gt;"C",Y74&lt;&gt;"NC",Y74&lt;&gt;"SF",Y74&lt;&gt;""),AND(AA74&lt;&gt;"NA",AA74&lt;&gt;"C",AA74&lt;&gt;"NC",AA74&lt;&gt;"SF",AA74&lt;&gt;""),AND(AC74&lt;&gt;"NA",AC74&lt;&gt;"C",AC74&lt;&gt;"NC",AC74&lt;&gt;"SF",AC74&lt;&gt;"")),"FALSO",IF(AND(O74="NA",Q74="NA",S74="NA",U74="NA",W74="NA",Y74="NA",AA74="NA",AC74="NA"),"NA",IF(OR(O74="NC",Q74="NC",S74="NC",U74="NC",W74="NC",Y74="NC",AA74="NC",AC74="NC",O74="SF",Q74="SF",S74="SF",U74="SF",W74="SF",Y74="SF",AA74="SF",AC74="SF"),"NC",IF(OR(O74="C",Q74="C",S74="C",U74="C",W74="C",Y74="C",AA74="C",AC74="C"),"C","")))))</f>
        <v>C</v>
      </c>
      <c r="AG74" s="8" t="str">
        <f t="shared" ref="AG74:AG92" si="12">IF(AND(AE74="C",AF74="C"),"UTILIZOU O PDA CORRETAMENTE",IF(AND(AE74="C",AF74="NC"),"UTILIZOU O PDA CORRETAMENTE. NÃO HÁ FOTOS DE TODAS AS ETAPAS",IF(AND(AE74="NC",AF74="NC"),"NÃO UTILIZOU O PDA",IF(AND(AE74="NA",AF74="NA"),"NÃO AVALIADO POR FALHA DE SINCRONISMO"))))</f>
        <v>UTILIZOU O PDA CORRETAMENTE</v>
      </c>
      <c r="AH74" s="26" t="s">
        <v>108</v>
      </c>
      <c r="AI74" s="66" t="s">
        <v>1</v>
      </c>
      <c r="AJ74" s="22" t="str">
        <f t="shared" ref="AJ74:AJ104" si="13">E74</f>
        <v>GUARULHOS</v>
      </c>
      <c r="AK74" s="69" t="s">
        <v>4</v>
      </c>
    </row>
    <row r="75" spans="1:37" ht="30" customHeight="1" x14ac:dyDescent="0.2">
      <c r="A75" s="83" t="s">
        <v>101</v>
      </c>
      <c r="B75" s="83">
        <v>2614497781</v>
      </c>
      <c r="C75" s="83" t="s">
        <v>45</v>
      </c>
      <c r="D75" s="83" t="s">
        <v>27</v>
      </c>
      <c r="E75" s="83" t="s">
        <v>102</v>
      </c>
      <c r="F75" s="83" t="s">
        <v>173</v>
      </c>
      <c r="G75" s="83">
        <v>10</v>
      </c>
      <c r="H75" s="83" t="s">
        <v>404</v>
      </c>
      <c r="I75" s="83" t="s">
        <v>175</v>
      </c>
      <c r="J75" s="83" t="s">
        <v>150</v>
      </c>
      <c r="K75" s="83" t="s">
        <v>208</v>
      </c>
      <c r="L75" s="84" t="s">
        <v>377</v>
      </c>
      <c r="M75" s="84">
        <v>46177.695138888892</v>
      </c>
      <c r="N75" s="83" t="s">
        <v>209</v>
      </c>
      <c r="O75" s="35" t="s">
        <v>214</v>
      </c>
      <c r="P75" s="25"/>
      <c r="Q75" s="26" t="s">
        <v>214</v>
      </c>
      <c r="R75" s="25"/>
      <c r="S75" s="26" t="s">
        <v>214</v>
      </c>
      <c r="T75" s="25"/>
      <c r="U75" s="26" t="s">
        <v>214</v>
      </c>
      <c r="V75" s="25"/>
      <c r="W75" s="26" t="s">
        <v>214</v>
      </c>
      <c r="X75" s="25"/>
      <c r="Y75" s="26" t="s">
        <v>214</v>
      </c>
      <c r="Z75" s="25"/>
      <c r="AA75" s="26" t="s">
        <v>214</v>
      </c>
      <c r="AB75" s="25"/>
      <c r="AC75" s="26" t="s">
        <v>214</v>
      </c>
      <c r="AD75" s="10"/>
      <c r="AE75" s="26" t="s">
        <v>114</v>
      </c>
      <c r="AF75" s="47" t="str">
        <f t="shared" si="11"/>
        <v>NC</v>
      </c>
      <c r="AG75" s="8" t="str">
        <f t="shared" si="12"/>
        <v>NÃO UTILIZOU O PDA</v>
      </c>
      <c r="AH75" s="26" t="s">
        <v>108</v>
      </c>
      <c r="AI75" s="66" t="s">
        <v>1</v>
      </c>
      <c r="AJ75" s="22" t="str">
        <f t="shared" si="13"/>
        <v>GUARULHOS</v>
      </c>
      <c r="AK75" s="69" t="s">
        <v>4</v>
      </c>
    </row>
    <row r="76" spans="1:37" ht="30" customHeight="1" x14ac:dyDescent="0.2">
      <c r="A76" s="83" t="s">
        <v>101</v>
      </c>
      <c r="B76" s="83">
        <v>2614498700</v>
      </c>
      <c r="C76" s="83" t="s">
        <v>50</v>
      </c>
      <c r="D76" s="83" t="s">
        <v>29</v>
      </c>
      <c r="E76" s="83" t="s">
        <v>102</v>
      </c>
      <c r="F76" s="83" t="s">
        <v>413</v>
      </c>
      <c r="G76" s="83">
        <v>3133</v>
      </c>
      <c r="H76" s="83" t="s">
        <v>414</v>
      </c>
      <c r="I76" s="83" t="s">
        <v>177</v>
      </c>
      <c r="J76" s="83" t="s">
        <v>130</v>
      </c>
      <c r="K76" s="89" t="s">
        <v>415</v>
      </c>
      <c r="L76" s="84" t="s">
        <v>377</v>
      </c>
      <c r="M76" s="84">
        <v>46177.680555555555</v>
      </c>
      <c r="N76" s="83" t="s">
        <v>171</v>
      </c>
      <c r="O76" s="36" t="s">
        <v>108</v>
      </c>
      <c r="P76" s="18"/>
      <c r="Q76" s="28" t="s">
        <v>108</v>
      </c>
      <c r="R76" s="18"/>
      <c r="S76" s="28" t="s">
        <v>108</v>
      </c>
      <c r="T76" s="18"/>
      <c r="U76" s="28" t="s">
        <v>108</v>
      </c>
      <c r="V76" s="18"/>
      <c r="W76" s="28" t="s">
        <v>108</v>
      </c>
      <c r="X76" s="18"/>
      <c r="Y76" s="28" t="s">
        <v>14</v>
      </c>
      <c r="Z76" s="18"/>
      <c r="AA76" s="28" t="s">
        <v>108</v>
      </c>
      <c r="AB76" s="18"/>
      <c r="AC76" s="28" t="s">
        <v>108</v>
      </c>
      <c r="AD76" s="18"/>
      <c r="AE76" s="28" t="s">
        <v>108</v>
      </c>
      <c r="AF76" s="47" t="str">
        <f t="shared" si="11"/>
        <v>C</v>
      </c>
      <c r="AG76" s="8" t="str">
        <f t="shared" si="12"/>
        <v>UTILIZOU O PDA CORRETAMENTE</v>
      </c>
      <c r="AH76" s="26" t="s">
        <v>108</v>
      </c>
      <c r="AI76" s="66" t="s">
        <v>1</v>
      </c>
      <c r="AJ76" s="22" t="str">
        <f t="shared" si="13"/>
        <v>GUARULHOS</v>
      </c>
      <c r="AK76" s="69" t="s">
        <v>4</v>
      </c>
    </row>
    <row r="77" spans="1:37" ht="30" customHeight="1" x14ac:dyDescent="0.2">
      <c r="A77" s="83" t="s">
        <v>101</v>
      </c>
      <c r="B77" s="83">
        <v>2614504003</v>
      </c>
      <c r="C77" s="83" t="s">
        <v>45</v>
      </c>
      <c r="D77" s="83" t="s">
        <v>27</v>
      </c>
      <c r="E77" s="83" t="s">
        <v>102</v>
      </c>
      <c r="F77" s="83" t="s">
        <v>384</v>
      </c>
      <c r="G77" s="83">
        <v>298</v>
      </c>
      <c r="H77" s="83" t="s">
        <v>321</v>
      </c>
      <c r="I77" s="83" t="s">
        <v>118</v>
      </c>
      <c r="J77" s="83" t="s">
        <v>150</v>
      </c>
      <c r="K77" s="89" t="s">
        <v>419</v>
      </c>
      <c r="L77" s="84" t="s">
        <v>377</v>
      </c>
      <c r="M77" s="84">
        <v>46177.670138888891</v>
      </c>
      <c r="N77" s="83" t="s">
        <v>119</v>
      </c>
      <c r="O77" s="36" t="s">
        <v>108</v>
      </c>
      <c r="P77" s="18"/>
      <c r="Q77" s="28" t="s">
        <v>108</v>
      </c>
      <c r="R77" s="18"/>
      <c r="S77" s="28" t="s">
        <v>108</v>
      </c>
      <c r="T77" s="18"/>
      <c r="U77" s="28" t="s">
        <v>214</v>
      </c>
      <c r="V77" s="18"/>
      <c r="W77" s="28" t="s">
        <v>214</v>
      </c>
      <c r="X77" s="18"/>
      <c r="Y77" s="28" t="s">
        <v>214</v>
      </c>
      <c r="Z77" s="18"/>
      <c r="AA77" s="28" t="s">
        <v>214</v>
      </c>
      <c r="AB77" s="18"/>
      <c r="AC77" s="28" t="s">
        <v>214</v>
      </c>
      <c r="AD77" s="18"/>
      <c r="AE77" s="28" t="s">
        <v>108</v>
      </c>
      <c r="AF77" s="47" t="str">
        <f t="shared" si="11"/>
        <v>NC</v>
      </c>
      <c r="AG77" s="8" t="str">
        <f t="shared" si="12"/>
        <v>UTILIZOU O PDA CORRETAMENTE. NÃO HÁ FOTOS DE TODAS AS ETAPAS</v>
      </c>
      <c r="AH77" s="28" t="s">
        <v>108</v>
      </c>
      <c r="AI77" s="66" t="s">
        <v>1</v>
      </c>
      <c r="AJ77" s="22" t="str">
        <f t="shared" si="13"/>
        <v>GUARULHOS</v>
      </c>
      <c r="AK77" s="69" t="s">
        <v>4</v>
      </c>
    </row>
    <row r="78" spans="1:37" ht="30" customHeight="1" x14ac:dyDescent="0.2">
      <c r="A78" s="83" t="s">
        <v>101</v>
      </c>
      <c r="B78" s="83">
        <v>2614168969</v>
      </c>
      <c r="C78" s="83" t="s">
        <v>31</v>
      </c>
      <c r="D78" s="83" t="s">
        <v>25</v>
      </c>
      <c r="E78" s="83" t="s">
        <v>102</v>
      </c>
      <c r="F78" s="83" t="s">
        <v>423</v>
      </c>
      <c r="G78" s="83">
        <v>132</v>
      </c>
      <c r="H78" s="83" t="s">
        <v>320</v>
      </c>
      <c r="I78" s="83" t="s">
        <v>424</v>
      </c>
      <c r="J78" s="83" t="s">
        <v>123</v>
      </c>
      <c r="K78" s="83" t="s">
        <v>117</v>
      </c>
      <c r="L78" s="84" t="s">
        <v>422</v>
      </c>
      <c r="M78" s="84">
        <v>46207.40625</v>
      </c>
      <c r="N78" s="83" t="s">
        <v>107</v>
      </c>
      <c r="O78" s="36" t="s">
        <v>108</v>
      </c>
      <c r="P78" s="18"/>
      <c r="Q78" s="28" t="s">
        <v>108</v>
      </c>
      <c r="R78" s="18"/>
      <c r="S78" s="28" t="s">
        <v>108</v>
      </c>
      <c r="T78" s="18"/>
      <c r="U78" s="28" t="s">
        <v>108</v>
      </c>
      <c r="V78" s="18"/>
      <c r="W78" s="28" t="s">
        <v>108</v>
      </c>
      <c r="X78" s="18"/>
      <c r="Y78" s="28" t="s">
        <v>14</v>
      </c>
      <c r="Z78" s="18"/>
      <c r="AA78" s="28" t="s">
        <v>108</v>
      </c>
      <c r="AB78" s="18"/>
      <c r="AC78" s="28" t="s">
        <v>108</v>
      </c>
      <c r="AD78" s="18"/>
      <c r="AE78" s="28" t="s">
        <v>108</v>
      </c>
      <c r="AF78" s="47" t="str">
        <f t="shared" si="11"/>
        <v>C</v>
      </c>
      <c r="AG78" s="8" t="str">
        <f t="shared" si="12"/>
        <v>UTILIZOU O PDA CORRETAMENTE</v>
      </c>
      <c r="AH78" s="28" t="s">
        <v>108</v>
      </c>
      <c r="AI78" s="66" t="s">
        <v>1</v>
      </c>
      <c r="AJ78" s="22" t="str">
        <f t="shared" si="13"/>
        <v>GUARULHOS</v>
      </c>
      <c r="AK78" s="69" t="s">
        <v>4</v>
      </c>
    </row>
    <row r="79" spans="1:37" ht="30" customHeight="1" x14ac:dyDescent="0.2">
      <c r="A79" s="83" t="s">
        <v>101</v>
      </c>
      <c r="B79" s="83">
        <v>2614160147</v>
      </c>
      <c r="C79" s="83" t="s">
        <v>39</v>
      </c>
      <c r="D79" s="83" t="s">
        <v>25</v>
      </c>
      <c r="E79" s="83" t="s">
        <v>102</v>
      </c>
      <c r="F79" s="83" t="s">
        <v>425</v>
      </c>
      <c r="G79" s="83">
        <v>207</v>
      </c>
      <c r="H79" s="83" t="s">
        <v>110</v>
      </c>
      <c r="I79" s="83" t="s">
        <v>426</v>
      </c>
      <c r="J79" s="83" t="s">
        <v>39</v>
      </c>
      <c r="K79" s="83"/>
      <c r="L79" s="84" t="s">
        <v>422</v>
      </c>
      <c r="M79" s="84">
        <v>46207.42083333333</v>
      </c>
      <c r="N79" s="83" t="s">
        <v>119</v>
      </c>
      <c r="O79" s="36" t="s">
        <v>108</v>
      </c>
      <c r="P79" s="18"/>
      <c r="Q79" s="28" t="s">
        <v>108</v>
      </c>
      <c r="R79" s="18"/>
      <c r="S79" s="28" t="s">
        <v>108</v>
      </c>
      <c r="T79" s="18"/>
      <c r="U79" s="28" t="s">
        <v>108</v>
      </c>
      <c r="V79" s="18"/>
      <c r="W79" s="28" t="s">
        <v>108</v>
      </c>
      <c r="X79" s="18"/>
      <c r="Y79" s="28" t="s">
        <v>14</v>
      </c>
      <c r="Z79" s="18"/>
      <c r="AA79" s="28" t="s">
        <v>108</v>
      </c>
      <c r="AB79" s="18"/>
      <c r="AC79" s="28" t="s">
        <v>108</v>
      </c>
      <c r="AD79" s="18"/>
      <c r="AE79" s="28" t="s">
        <v>108</v>
      </c>
      <c r="AF79" s="47" t="str">
        <f t="shared" si="11"/>
        <v>C</v>
      </c>
      <c r="AG79" s="8" t="str">
        <f t="shared" si="12"/>
        <v>UTILIZOU O PDA CORRETAMENTE</v>
      </c>
      <c r="AH79" s="28" t="s">
        <v>108</v>
      </c>
      <c r="AI79" s="66" t="s">
        <v>1</v>
      </c>
      <c r="AJ79" s="22" t="str">
        <f t="shared" si="13"/>
        <v>GUARULHOS</v>
      </c>
      <c r="AK79" s="69" t="s">
        <v>4</v>
      </c>
    </row>
    <row r="80" spans="1:37" ht="30" customHeight="1" x14ac:dyDescent="0.2">
      <c r="A80" s="83" t="s">
        <v>101</v>
      </c>
      <c r="B80" s="83">
        <v>2614160149</v>
      </c>
      <c r="C80" s="83" t="s">
        <v>41</v>
      </c>
      <c r="D80" s="83" t="s">
        <v>25</v>
      </c>
      <c r="E80" s="83" t="s">
        <v>102</v>
      </c>
      <c r="F80" s="83" t="s">
        <v>425</v>
      </c>
      <c r="G80" s="83">
        <v>207</v>
      </c>
      <c r="H80" s="83" t="s">
        <v>115</v>
      </c>
      <c r="I80" s="83" t="s">
        <v>426</v>
      </c>
      <c r="J80" s="83" t="s">
        <v>41</v>
      </c>
      <c r="K80" s="83" t="s">
        <v>117</v>
      </c>
      <c r="L80" s="84" t="s">
        <v>422</v>
      </c>
      <c r="M80" s="84">
        <v>46207.415972222225</v>
      </c>
      <c r="N80" s="83" t="s">
        <v>119</v>
      </c>
      <c r="O80" s="36" t="s">
        <v>108</v>
      </c>
      <c r="P80" s="18"/>
      <c r="Q80" s="28" t="s">
        <v>108</v>
      </c>
      <c r="R80" s="18"/>
      <c r="S80" s="28" t="s">
        <v>108</v>
      </c>
      <c r="T80" s="18"/>
      <c r="U80" s="28" t="s">
        <v>108</v>
      </c>
      <c r="V80" s="18"/>
      <c r="W80" s="28" t="s">
        <v>108</v>
      </c>
      <c r="X80" s="18"/>
      <c r="Y80" s="28" t="s">
        <v>14</v>
      </c>
      <c r="Z80" s="18"/>
      <c r="AA80" s="28" t="s">
        <v>108</v>
      </c>
      <c r="AB80" s="18"/>
      <c r="AC80" s="28" t="s">
        <v>108</v>
      </c>
      <c r="AD80" s="18"/>
      <c r="AE80" s="28" t="s">
        <v>108</v>
      </c>
      <c r="AF80" s="47" t="str">
        <f t="shared" si="11"/>
        <v>C</v>
      </c>
      <c r="AG80" s="8" t="str">
        <f t="shared" si="12"/>
        <v>UTILIZOU O PDA CORRETAMENTE</v>
      </c>
      <c r="AH80" s="28" t="s">
        <v>108</v>
      </c>
      <c r="AI80" s="66" t="s">
        <v>1</v>
      </c>
      <c r="AJ80" s="22" t="str">
        <f t="shared" si="13"/>
        <v>GUARULHOS</v>
      </c>
      <c r="AK80" s="69" t="s">
        <v>4</v>
      </c>
    </row>
    <row r="81" spans="1:37" ht="30" customHeight="1" x14ac:dyDescent="0.2">
      <c r="A81" s="83" t="s">
        <v>101</v>
      </c>
      <c r="B81" s="83">
        <v>2614114878</v>
      </c>
      <c r="C81" s="83" t="s">
        <v>33</v>
      </c>
      <c r="D81" s="83" t="s">
        <v>25</v>
      </c>
      <c r="E81" s="83" t="s">
        <v>102</v>
      </c>
      <c r="F81" s="83" t="s">
        <v>427</v>
      </c>
      <c r="G81" s="83">
        <v>2152</v>
      </c>
      <c r="H81" s="83"/>
      <c r="I81" s="83" t="s">
        <v>426</v>
      </c>
      <c r="J81" s="83" t="s">
        <v>33</v>
      </c>
      <c r="K81" s="83" t="s">
        <v>428</v>
      </c>
      <c r="L81" s="84" t="s">
        <v>422</v>
      </c>
      <c r="M81" s="84">
        <v>46207.484722222223</v>
      </c>
      <c r="N81" s="83" t="s">
        <v>119</v>
      </c>
      <c r="O81" s="36" t="s">
        <v>108</v>
      </c>
      <c r="P81" s="18"/>
      <c r="Q81" s="28" t="s">
        <v>108</v>
      </c>
      <c r="R81" s="18"/>
      <c r="S81" s="28" t="s">
        <v>108</v>
      </c>
      <c r="T81" s="18"/>
      <c r="U81" s="28" t="s">
        <v>108</v>
      </c>
      <c r="V81" s="18"/>
      <c r="W81" s="28" t="s">
        <v>108</v>
      </c>
      <c r="X81" s="18"/>
      <c r="Y81" s="28" t="s">
        <v>108</v>
      </c>
      <c r="Z81" s="18"/>
      <c r="AA81" s="28" t="s">
        <v>108</v>
      </c>
      <c r="AB81" s="18"/>
      <c r="AC81" s="28" t="s">
        <v>108</v>
      </c>
      <c r="AD81" s="18"/>
      <c r="AE81" s="28" t="s">
        <v>108</v>
      </c>
      <c r="AF81" s="47" t="str">
        <f t="shared" si="11"/>
        <v>C</v>
      </c>
      <c r="AG81" s="8" t="str">
        <f t="shared" si="12"/>
        <v>UTILIZOU O PDA CORRETAMENTE</v>
      </c>
      <c r="AH81" s="28" t="s">
        <v>108</v>
      </c>
      <c r="AI81" s="66" t="s">
        <v>1</v>
      </c>
      <c r="AJ81" s="22" t="str">
        <f t="shared" si="13"/>
        <v>GUARULHOS</v>
      </c>
      <c r="AK81" s="69" t="s">
        <v>4</v>
      </c>
    </row>
    <row r="82" spans="1:37" ht="30" customHeight="1" x14ac:dyDescent="0.2">
      <c r="A82" s="83" t="s">
        <v>101</v>
      </c>
      <c r="B82" s="83">
        <v>2614106528</v>
      </c>
      <c r="C82" s="83" t="s">
        <v>33</v>
      </c>
      <c r="D82" s="83" t="s">
        <v>25</v>
      </c>
      <c r="E82" s="83" t="s">
        <v>102</v>
      </c>
      <c r="F82" s="83" t="s">
        <v>429</v>
      </c>
      <c r="G82" s="83">
        <v>14</v>
      </c>
      <c r="H82" s="83" t="s">
        <v>117</v>
      </c>
      <c r="I82" s="83" t="s">
        <v>430</v>
      </c>
      <c r="J82" s="83" t="s">
        <v>33</v>
      </c>
      <c r="K82" s="83" t="s">
        <v>431</v>
      </c>
      <c r="L82" s="84" t="s">
        <v>422</v>
      </c>
      <c r="M82" s="84">
        <v>46207.682638888888</v>
      </c>
      <c r="N82" s="83" t="s">
        <v>107</v>
      </c>
      <c r="O82" s="36" t="s">
        <v>108</v>
      </c>
      <c r="P82" s="18"/>
      <c r="Q82" s="28" t="s">
        <v>108</v>
      </c>
      <c r="R82" s="18"/>
      <c r="S82" s="28" t="s">
        <v>108</v>
      </c>
      <c r="T82" s="18"/>
      <c r="U82" s="28" t="s">
        <v>108</v>
      </c>
      <c r="V82" s="18"/>
      <c r="W82" s="28" t="s">
        <v>108</v>
      </c>
      <c r="X82" s="18"/>
      <c r="Y82" s="28" t="s">
        <v>108</v>
      </c>
      <c r="Z82" s="18"/>
      <c r="AA82" s="28" t="s">
        <v>108</v>
      </c>
      <c r="AB82" s="18"/>
      <c r="AC82" s="28" t="s">
        <v>108</v>
      </c>
      <c r="AD82" s="18"/>
      <c r="AE82" s="28" t="s">
        <v>108</v>
      </c>
      <c r="AF82" s="47" t="str">
        <f t="shared" si="11"/>
        <v>C</v>
      </c>
      <c r="AG82" s="8" t="str">
        <f t="shared" si="12"/>
        <v>UTILIZOU O PDA CORRETAMENTE</v>
      </c>
      <c r="AH82" s="28" t="s">
        <v>108</v>
      </c>
      <c r="AI82" s="66" t="s">
        <v>1</v>
      </c>
      <c r="AJ82" s="22" t="str">
        <f t="shared" si="13"/>
        <v>GUARULHOS</v>
      </c>
      <c r="AK82" s="69" t="s">
        <v>4</v>
      </c>
    </row>
    <row r="83" spans="1:37" ht="30" customHeight="1" x14ac:dyDescent="0.2">
      <c r="A83" s="83" t="s">
        <v>101</v>
      </c>
      <c r="B83" s="83">
        <v>2613829776</v>
      </c>
      <c r="C83" s="83" t="s">
        <v>132</v>
      </c>
      <c r="D83" s="83" t="s">
        <v>25</v>
      </c>
      <c r="E83" s="83" t="s">
        <v>102</v>
      </c>
      <c r="F83" s="83" t="s">
        <v>432</v>
      </c>
      <c r="G83" s="83">
        <v>42</v>
      </c>
      <c r="H83" s="83" t="s">
        <v>115</v>
      </c>
      <c r="I83" s="83" t="s">
        <v>433</v>
      </c>
      <c r="J83" s="83" t="s">
        <v>135</v>
      </c>
      <c r="K83" s="83" t="s">
        <v>434</v>
      </c>
      <c r="L83" s="84" t="s">
        <v>422</v>
      </c>
      <c r="M83" s="84">
        <v>46207.594444444447</v>
      </c>
      <c r="N83" s="83" t="s">
        <v>274</v>
      </c>
      <c r="O83" s="36" t="s">
        <v>108</v>
      </c>
      <c r="P83" s="18"/>
      <c r="Q83" s="28" t="s">
        <v>108</v>
      </c>
      <c r="R83" s="18"/>
      <c r="S83" s="28" t="s">
        <v>108</v>
      </c>
      <c r="T83" s="18"/>
      <c r="U83" s="28" t="s">
        <v>108</v>
      </c>
      <c r="V83" s="18"/>
      <c r="W83" s="28" t="s">
        <v>108</v>
      </c>
      <c r="X83" s="18"/>
      <c r="Y83" s="28" t="s">
        <v>14</v>
      </c>
      <c r="Z83" s="18"/>
      <c r="AA83" s="28" t="s">
        <v>108</v>
      </c>
      <c r="AB83" s="18"/>
      <c r="AC83" s="28" t="s">
        <v>108</v>
      </c>
      <c r="AD83" s="18"/>
      <c r="AE83" s="28" t="s">
        <v>108</v>
      </c>
      <c r="AF83" s="47" t="str">
        <f t="shared" si="11"/>
        <v>C</v>
      </c>
      <c r="AG83" s="8" t="str">
        <f t="shared" si="12"/>
        <v>UTILIZOU O PDA CORRETAMENTE</v>
      </c>
      <c r="AH83" s="28" t="s">
        <v>108</v>
      </c>
      <c r="AI83" s="66" t="s">
        <v>1</v>
      </c>
      <c r="AJ83" s="22" t="str">
        <f t="shared" si="13"/>
        <v>GUARULHOS</v>
      </c>
      <c r="AK83" s="69" t="s">
        <v>4</v>
      </c>
    </row>
    <row r="84" spans="1:37" ht="30" customHeight="1" x14ac:dyDescent="0.2">
      <c r="A84" s="83" t="s">
        <v>101</v>
      </c>
      <c r="B84" s="83">
        <v>2613740858</v>
      </c>
      <c r="C84" s="83" t="s">
        <v>33</v>
      </c>
      <c r="D84" s="83" t="s">
        <v>25</v>
      </c>
      <c r="E84" s="83" t="s">
        <v>102</v>
      </c>
      <c r="F84" s="83" t="s">
        <v>435</v>
      </c>
      <c r="G84" s="83">
        <v>1212</v>
      </c>
      <c r="H84" s="83" t="s">
        <v>117</v>
      </c>
      <c r="I84" s="83" t="s">
        <v>154</v>
      </c>
      <c r="J84" s="83" t="s">
        <v>33</v>
      </c>
      <c r="K84" s="83" t="s">
        <v>117</v>
      </c>
      <c r="L84" s="84" t="s">
        <v>422</v>
      </c>
      <c r="M84" s="84">
        <v>46207.537499999999</v>
      </c>
      <c r="N84" s="83" t="s">
        <v>107</v>
      </c>
      <c r="O84" s="36" t="s">
        <v>108</v>
      </c>
      <c r="P84" s="18"/>
      <c r="Q84" s="28" t="s">
        <v>108</v>
      </c>
      <c r="R84" s="18"/>
      <c r="S84" s="28" t="s">
        <v>108</v>
      </c>
      <c r="T84" s="18"/>
      <c r="U84" s="28" t="s">
        <v>108</v>
      </c>
      <c r="V84" s="18"/>
      <c r="W84" s="28" t="s">
        <v>108</v>
      </c>
      <c r="X84" s="18"/>
      <c r="Y84" s="28" t="s">
        <v>108</v>
      </c>
      <c r="Z84" s="18"/>
      <c r="AA84" s="28" t="s">
        <v>108</v>
      </c>
      <c r="AB84" s="18"/>
      <c r="AC84" s="28" t="s">
        <v>108</v>
      </c>
      <c r="AD84" s="18"/>
      <c r="AE84" s="28" t="s">
        <v>108</v>
      </c>
      <c r="AF84" s="47" t="str">
        <f t="shared" si="11"/>
        <v>C</v>
      </c>
      <c r="AG84" s="8" t="str">
        <f t="shared" si="12"/>
        <v>UTILIZOU O PDA CORRETAMENTE</v>
      </c>
      <c r="AH84" s="28" t="s">
        <v>108</v>
      </c>
      <c r="AI84" s="66" t="s">
        <v>1</v>
      </c>
      <c r="AJ84" s="22" t="str">
        <f t="shared" si="13"/>
        <v>GUARULHOS</v>
      </c>
      <c r="AK84" s="69" t="s">
        <v>4</v>
      </c>
    </row>
    <row r="85" spans="1:37" ht="30" customHeight="1" x14ac:dyDescent="0.2">
      <c r="A85" s="83" t="s">
        <v>101</v>
      </c>
      <c r="B85" s="83">
        <v>2614166953</v>
      </c>
      <c r="C85" s="83" t="s">
        <v>39</v>
      </c>
      <c r="D85" s="83" t="s">
        <v>25</v>
      </c>
      <c r="E85" s="83" t="s">
        <v>102</v>
      </c>
      <c r="F85" s="83" t="s">
        <v>436</v>
      </c>
      <c r="G85" s="83">
        <v>138</v>
      </c>
      <c r="H85" s="83" t="s">
        <v>437</v>
      </c>
      <c r="I85" s="83" t="s">
        <v>438</v>
      </c>
      <c r="J85" s="83" t="s">
        <v>39</v>
      </c>
      <c r="K85" s="83" t="s">
        <v>439</v>
      </c>
      <c r="L85" s="84" t="s">
        <v>422</v>
      </c>
      <c r="M85" s="84">
        <v>46207.507638888892</v>
      </c>
      <c r="N85" s="83" t="s">
        <v>274</v>
      </c>
      <c r="O85" s="36" t="s">
        <v>108</v>
      </c>
      <c r="P85" s="18"/>
      <c r="Q85" s="28" t="s">
        <v>108</v>
      </c>
      <c r="R85" s="18"/>
      <c r="S85" s="28" t="s">
        <v>14</v>
      </c>
      <c r="T85" s="18"/>
      <c r="U85" s="28" t="s">
        <v>14</v>
      </c>
      <c r="V85" s="18"/>
      <c r="W85" s="28" t="s">
        <v>14</v>
      </c>
      <c r="X85" s="18"/>
      <c r="Y85" s="28" t="s">
        <v>14</v>
      </c>
      <c r="Z85" s="18"/>
      <c r="AA85" s="28" t="s">
        <v>14</v>
      </c>
      <c r="AB85" s="18"/>
      <c r="AC85" s="28" t="s">
        <v>108</v>
      </c>
      <c r="AD85" s="18"/>
      <c r="AE85" s="28" t="s">
        <v>108</v>
      </c>
      <c r="AF85" s="47" t="str">
        <f t="shared" si="11"/>
        <v>C</v>
      </c>
      <c r="AG85" s="8" t="str">
        <f t="shared" si="12"/>
        <v>UTILIZOU O PDA CORRETAMENTE</v>
      </c>
      <c r="AH85" s="28" t="s">
        <v>108</v>
      </c>
      <c r="AI85" s="66" t="s">
        <v>1</v>
      </c>
      <c r="AJ85" s="22" t="str">
        <f t="shared" si="13"/>
        <v>GUARULHOS</v>
      </c>
      <c r="AK85" s="69" t="s">
        <v>4</v>
      </c>
    </row>
    <row r="86" spans="1:37" ht="30" customHeight="1" x14ac:dyDescent="0.2">
      <c r="A86" s="83" t="s">
        <v>101</v>
      </c>
      <c r="B86" s="83">
        <v>2614135155</v>
      </c>
      <c r="C86" s="83" t="s">
        <v>39</v>
      </c>
      <c r="D86" s="83" t="s">
        <v>25</v>
      </c>
      <c r="E86" s="83" t="s">
        <v>102</v>
      </c>
      <c r="F86" s="83" t="s">
        <v>441</v>
      </c>
      <c r="G86" s="83">
        <v>752</v>
      </c>
      <c r="H86" s="83" t="s">
        <v>442</v>
      </c>
      <c r="I86" s="83" t="s">
        <v>382</v>
      </c>
      <c r="J86" s="83" t="s">
        <v>39</v>
      </c>
      <c r="K86" s="83" t="s">
        <v>117</v>
      </c>
      <c r="L86" s="84" t="s">
        <v>422</v>
      </c>
      <c r="M86" s="84">
        <v>46207.458333333336</v>
      </c>
      <c r="N86" s="83" t="s">
        <v>274</v>
      </c>
      <c r="O86" s="36" t="s">
        <v>108</v>
      </c>
      <c r="P86" s="18"/>
      <c r="Q86" s="28" t="s">
        <v>108</v>
      </c>
      <c r="R86" s="18"/>
      <c r="S86" s="28" t="s">
        <v>108</v>
      </c>
      <c r="T86" s="18"/>
      <c r="U86" s="28" t="s">
        <v>108</v>
      </c>
      <c r="V86" s="18"/>
      <c r="W86" s="28" t="s">
        <v>108</v>
      </c>
      <c r="X86" s="18"/>
      <c r="Y86" s="28" t="s">
        <v>14</v>
      </c>
      <c r="Z86" s="18"/>
      <c r="AA86" s="28" t="s">
        <v>108</v>
      </c>
      <c r="AB86" s="18"/>
      <c r="AC86" s="28" t="s">
        <v>114</v>
      </c>
      <c r="AD86" s="18" t="s">
        <v>443</v>
      </c>
      <c r="AE86" s="28" t="s">
        <v>108</v>
      </c>
      <c r="AF86" s="47" t="str">
        <f t="shared" si="11"/>
        <v>NC</v>
      </c>
      <c r="AG86" s="8" t="str">
        <f t="shared" si="12"/>
        <v>UTILIZOU O PDA CORRETAMENTE. NÃO HÁ FOTOS DE TODAS AS ETAPAS</v>
      </c>
      <c r="AH86" s="28" t="s">
        <v>108</v>
      </c>
      <c r="AI86" s="66" t="s">
        <v>1</v>
      </c>
      <c r="AJ86" s="22" t="str">
        <f t="shared" si="13"/>
        <v>GUARULHOS</v>
      </c>
      <c r="AK86" s="69" t="s">
        <v>4</v>
      </c>
    </row>
    <row r="87" spans="1:37" ht="30" customHeight="1" x14ac:dyDescent="0.2">
      <c r="A87" s="83" t="s">
        <v>101</v>
      </c>
      <c r="B87" s="83">
        <v>2614166963</v>
      </c>
      <c r="C87" s="83" t="s">
        <v>41</v>
      </c>
      <c r="D87" s="83" t="s">
        <v>25</v>
      </c>
      <c r="E87" s="83" t="s">
        <v>102</v>
      </c>
      <c r="F87" s="83" t="s">
        <v>436</v>
      </c>
      <c r="G87" s="83">
        <v>138</v>
      </c>
      <c r="H87" s="83" t="s">
        <v>444</v>
      </c>
      <c r="I87" s="83" t="s">
        <v>438</v>
      </c>
      <c r="J87" s="83" t="s">
        <v>41</v>
      </c>
      <c r="K87" s="83" t="s">
        <v>445</v>
      </c>
      <c r="L87" s="84" t="s">
        <v>422</v>
      </c>
      <c r="M87" s="84">
        <v>46207.510416666664</v>
      </c>
      <c r="N87" s="83" t="s">
        <v>274</v>
      </c>
      <c r="O87" s="36" t="s">
        <v>108</v>
      </c>
      <c r="P87" s="18"/>
      <c r="Q87" s="28" t="s">
        <v>108</v>
      </c>
      <c r="R87" s="18"/>
      <c r="S87" s="28" t="s">
        <v>14</v>
      </c>
      <c r="T87" s="18"/>
      <c r="U87" s="28" t="s">
        <v>14</v>
      </c>
      <c r="V87" s="18"/>
      <c r="W87" s="28" t="s">
        <v>14</v>
      </c>
      <c r="X87" s="18"/>
      <c r="Y87" s="28" t="s">
        <v>14</v>
      </c>
      <c r="Z87" s="18"/>
      <c r="AA87" s="28" t="s">
        <v>108</v>
      </c>
      <c r="AB87" s="18"/>
      <c r="AC87" s="28" t="s">
        <v>108</v>
      </c>
      <c r="AD87" s="18"/>
      <c r="AE87" s="28" t="s">
        <v>108</v>
      </c>
      <c r="AF87" s="47" t="str">
        <f t="shared" si="11"/>
        <v>C</v>
      </c>
      <c r="AG87" s="8" t="str">
        <f t="shared" si="12"/>
        <v>UTILIZOU O PDA CORRETAMENTE</v>
      </c>
      <c r="AH87" s="28" t="s">
        <v>108</v>
      </c>
      <c r="AI87" s="66" t="s">
        <v>1</v>
      </c>
      <c r="AJ87" s="22" t="str">
        <f t="shared" si="13"/>
        <v>GUARULHOS</v>
      </c>
      <c r="AK87" s="69" t="s">
        <v>4</v>
      </c>
    </row>
    <row r="88" spans="1:37" ht="30" customHeight="1" x14ac:dyDescent="0.2">
      <c r="A88" s="83" t="s">
        <v>101</v>
      </c>
      <c r="B88" s="83">
        <v>2613829768</v>
      </c>
      <c r="C88" s="83" t="s">
        <v>132</v>
      </c>
      <c r="D88" s="83" t="s">
        <v>25</v>
      </c>
      <c r="E88" s="83" t="s">
        <v>102</v>
      </c>
      <c r="F88" s="83" t="s">
        <v>432</v>
      </c>
      <c r="G88" s="83">
        <v>42</v>
      </c>
      <c r="H88" s="83" t="s">
        <v>110</v>
      </c>
      <c r="I88" s="83" t="s">
        <v>433</v>
      </c>
      <c r="J88" s="83" t="s">
        <v>135</v>
      </c>
      <c r="K88" s="83" t="s">
        <v>117</v>
      </c>
      <c r="L88" s="84" t="s">
        <v>422</v>
      </c>
      <c r="M88" s="84">
        <v>46207.591666666667</v>
      </c>
      <c r="N88" s="83" t="s">
        <v>274</v>
      </c>
      <c r="O88" s="36" t="s">
        <v>108</v>
      </c>
      <c r="P88" s="18"/>
      <c r="Q88" s="28" t="s">
        <v>108</v>
      </c>
      <c r="R88" s="18"/>
      <c r="S88" s="28" t="s">
        <v>108</v>
      </c>
      <c r="T88" s="18"/>
      <c r="U88" s="28" t="s">
        <v>108</v>
      </c>
      <c r="V88" s="18"/>
      <c r="W88" s="28" t="s">
        <v>108</v>
      </c>
      <c r="X88" s="18"/>
      <c r="Y88" s="28" t="s">
        <v>14</v>
      </c>
      <c r="Z88" s="18"/>
      <c r="AA88" s="28" t="s">
        <v>108</v>
      </c>
      <c r="AB88" s="18"/>
      <c r="AC88" s="28" t="s">
        <v>108</v>
      </c>
      <c r="AD88" s="18"/>
      <c r="AE88" s="28" t="s">
        <v>108</v>
      </c>
      <c r="AF88" s="47" t="str">
        <f t="shared" si="11"/>
        <v>C</v>
      </c>
      <c r="AG88" s="8" t="str">
        <f t="shared" si="12"/>
        <v>UTILIZOU O PDA CORRETAMENTE</v>
      </c>
      <c r="AH88" s="28" t="s">
        <v>108</v>
      </c>
      <c r="AI88" s="66" t="s">
        <v>1</v>
      </c>
      <c r="AJ88" s="22" t="str">
        <f t="shared" si="13"/>
        <v>GUARULHOS</v>
      </c>
      <c r="AK88" s="69" t="s">
        <v>4</v>
      </c>
    </row>
    <row r="89" spans="1:37" ht="30" customHeight="1" x14ac:dyDescent="0.2">
      <c r="A89" s="83" t="s">
        <v>101</v>
      </c>
      <c r="B89" s="83">
        <v>2614135171</v>
      </c>
      <c r="C89" s="83" t="s">
        <v>41</v>
      </c>
      <c r="D89" s="83" t="s">
        <v>25</v>
      </c>
      <c r="E89" s="83" t="s">
        <v>102</v>
      </c>
      <c r="F89" s="83" t="s">
        <v>441</v>
      </c>
      <c r="G89" s="83">
        <v>752</v>
      </c>
      <c r="H89" s="83" t="s">
        <v>446</v>
      </c>
      <c r="I89" s="83" t="s">
        <v>382</v>
      </c>
      <c r="J89" s="83" t="s">
        <v>41</v>
      </c>
      <c r="K89" s="83" t="s">
        <v>447</v>
      </c>
      <c r="L89" s="84" t="s">
        <v>422</v>
      </c>
      <c r="M89" s="84">
        <v>46207.461805555555</v>
      </c>
      <c r="N89" s="83" t="s">
        <v>274</v>
      </c>
      <c r="O89" s="36" t="s">
        <v>108</v>
      </c>
      <c r="P89" s="18"/>
      <c r="Q89" s="28" t="s">
        <v>108</v>
      </c>
      <c r="R89" s="18"/>
      <c r="S89" s="28" t="s">
        <v>108</v>
      </c>
      <c r="T89" s="18"/>
      <c r="U89" s="28" t="s">
        <v>108</v>
      </c>
      <c r="V89" s="18"/>
      <c r="W89" s="28" t="s">
        <v>108</v>
      </c>
      <c r="X89" s="18"/>
      <c r="Y89" s="28" t="s">
        <v>14</v>
      </c>
      <c r="Z89" s="18"/>
      <c r="AA89" s="28" t="s">
        <v>108</v>
      </c>
      <c r="AB89" s="18"/>
      <c r="AC89" s="28" t="s">
        <v>108</v>
      </c>
      <c r="AD89" s="18"/>
      <c r="AE89" s="28" t="s">
        <v>108</v>
      </c>
      <c r="AF89" s="47" t="str">
        <f t="shared" si="11"/>
        <v>C</v>
      </c>
      <c r="AG89" s="8" t="str">
        <f t="shared" si="12"/>
        <v>UTILIZOU O PDA CORRETAMENTE</v>
      </c>
      <c r="AH89" s="28" t="s">
        <v>108</v>
      </c>
      <c r="AI89" s="66" t="s">
        <v>1</v>
      </c>
      <c r="AJ89" s="22" t="str">
        <f t="shared" si="13"/>
        <v>GUARULHOS</v>
      </c>
      <c r="AK89" s="69" t="s">
        <v>4</v>
      </c>
    </row>
    <row r="90" spans="1:37" ht="30" customHeight="1" x14ac:dyDescent="0.2">
      <c r="A90" s="83" t="s">
        <v>101</v>
      </c>
      <c r="B90" s="83">
        <v>2614489305</v>
      </c>
      <c r="C90" s="83" t="s">
        <v>45</v>
      </c>
      <c r="D90" s="83" t="s">
        <v>27</v>
      </c>
      <c r="E90" s="83" t="s">
        <v>102</v>
      </c>
      <c r="F90" s="83" t="s">
        <v>197</v>
      </c>
      <c r="G90" s="83">
        <v>558</v>
      </c>
      <c r="H90" s="83" t="s">
        <v>453</v>
      </c>
      <c r="I90" s="83" t="s">
        <v>162</v>
      </c>
      <c r="J90" s="83" t="s">
        <v>150</v>
      </c>
      <c r="K90" s="83" t="s">
        <v>454</v>
      </c>
      <c r="L90" s="84" t="s">
        <v>422</v>
      </c>
      <c r="M90" s="84">
        <v>46207.634027777778</v>
      </c>
      <c r="N90" s="83" t="s">
        <v>163</v>
      </c>
      <c r="O90" s="36" t="s">
        <v>108</v>
      </c>
      <c r="P90" s="18"/>
      <c r="Q90" s="28" t="s">
        <v>108</v>
      </c>
      <c r="R90" s="18"/>
      <c r="S90" s="28" t="s">
        <v>108</v>
      </c>
      <c r="T90" s="18"/>
      <c r="U90" s="28" t="s">
        <v>108</v>
      </c>
      <c r="V90" s="18"/>
      <c r="W90" s="28" t="s">
        <v>108</v>
      </c>
      <c r="X90" s="18"/>
      <c r="Y90" s="28" t="s">
        <v>108</v>
      </c>
      <c r="Z90" s="18"/>
      <c r="AA90" s="28" t="s">
        <v>114</v>
      </c>
      <c r="AB90" s="18" t="s">
        <v>455</v>
      </c>
      <c r="AC90" s="28" t="s">
        <v>108</v>
      </c>
      <c r="AD90" s="18"/>
      <c r="AE90" s="28" t="s">
        <v>108</v>
      </c>
      <c r="AF90" s="47" t="str">
        <f t="shared" si="11"/>
        <v>NC</v>
      </c>
      <c r="AG90" s="8" t="str">
        <f t="shared" si="12"/>
        <v>UTILIZOU O PDA CORRETAMENTE. NÃO HÁ FOTOS DE TODAS AS ETAPAS</v>
      </c>
      <c r="AH90" s="28" t="s">
        <v>108</v>
      </c>
      <c r="AI90" s="66" t="s">
        <v>1</v>
      </c>
      <c r="AJ90" s="22" t="str">
        <f t="shared" si="13"/>
        <v>GUARULHOS</v>
      </c>
      <c r="AK90" s="69" t="s">
        <v>4</v>
      </c>
    </row>
    <row r="91" spans="1:37" ht="30" customHeight="1" x14ac:dyDescent="0.2">
      <c r="A91" s="83" t="s">
        <v>101</v>
      </c>
      <c r="B91" s="83">
        <v>2614489977</v>
      </c>
      <c r="C91" s="83" t="s">
        <v>45</v>
      </c>
      <c r="D91" s="83" t="s">
        <v>27</v>
      </c>
      <c r="E91" s="83" t="s">
        <v>102</v>
      </c>
      <c r="F91" s="83" t="s">
        <v>197</v>
      </c>
      <c r="G91" s="83">
        <v>554</v>
      </c>
      <c r="H91" s="83" t="s">
        <v>456</v>
      </c>
      <c r="I91" s="83" t="s">
        <v>162</v>
      </c>
      <c r="J91" s="83" t="s">
        <v>150</v>
      </c>
      <c r="K91" s="89" t="s">
        <v>457</v>
      </c>
      <c r="L91" s="84" t="s">
        <v>422</v>
      </c>
      <c r="M91" s="84">
        <v>46207.506249999999</v>
      </c>
      <c r="N91" s="83" t="s">
        <v>163</v>
      </c>
      <c r="O91" s="36" t="s">
        <v>108</v>
      </c>
      <c r="P91" s="18"/>
      <c r="Q91" s="28" t="s">
        <v>108</v>
      </c>
      <c r="R91" s="18"/>
      <c r="S91" s="28" t="s">
        <v>108</v>
      </c>
      <c r="T91" s="18"/>
      <c r="U91" s="28" t="s">
        <v>108</v>
      </c>
      <c r="V91" s="18"/>
      <c r="W91" s="28" t="s">
        <v>108</v>
      </c>
      <c r="X91" s="18"/>
      <c r="Y91" s="28" t="s">
        <v>108</v>
      </c>
      <c r="Z91" s="18"/>
      <c r="AA91" s="28" t="s">
        <v>114</v>
      </c>
      <c r="AB91" s="18" t="s">
        <v>455</v>
      </c>
      <c r="AC91" s="28" t="s">
        <v>108</v>
      </c>
      <c r="AD91" s="18"/>
      <c r="AE91" s="28" t="s">
        <v>108</v>
      </c>
      <c r="AF91" s="47" t="str">
        <f t="shared" si="11"/>
        <v>NC</v>
      </c>
      <c r="AG91" s="8" t="str">
        <f t="shared" si="12"/>
        <v>UTILIZOU O PDA CORRETAMENTE. NÃO HÁ FOTOS DE TODAS AS ETAPAS</v>
      </c>
      <c r="AH91" s="28" t="s">
        <v>108</v>
      </c>
      <c r="AI91" s="66" t="s">
        <v>1</v>
      </c>
      <c r="AJ91" s="22" t="str">
        <f t="shared" si="13"/>
        <v>GUARULHOS</v>
      </c>
      <c r="AK91" s="69" t="s">
        <v>4</v>
      </c>
    </row>
    <row r="92" spans="1:37" ht="30" customHeight="1" x14ac:dyDescent="0.2">
      <c r="A92" s="83" t="s">
        <v>101</v>
      </c>
      <c r="B92" s="83">
        <v>2614505873</v>
      </c>
      <c r="C92" s="83" t="s">
        <v>375</v>
      </c>
      <c r="D92" s="83" t="s">
        <v>28</v>
      </c>
      <c r="E92" s="83" t="s">
        <v>102</v>
      </c>
      <c r="F92" s="83" t="s">
        <v>173</v>
      </c>
      <c r="G92" s="83">
        <v>10</v>
      </c>
      <c r="H92" s="83" t="s">
        <v>404</v>
      </c>
      <c r="I92" s="83" t="s">
        <v>175</v>
      </c>
      <c r="J92" s="83" t="s">
        <v>376</v>
      </c>
      <c r="K92" s="83" t="s">
        <v>117</v>
      </c>
      <c r="L92" s="84" t="s">
        <v>422</v>
      </c>
      <c r="M92" s="84">
        <v>46207.501388888886</v>
      </c>
      <c r="N92" s="83" t="s">
        <v>209</v>
      </c>
      <c r="O92" s="36" t="s">
        <v>214</v>
      </c>
      <c r="P92" s="18"/>
      <c r="Q92" s="28" t="s">
        <v>214</v>
      </c>
      <c r="R92" s="18"/>
      <c r="S92" s="28" t="s">
        <v>214</v>
      </c>
      <c r="T92" s="18"/>
      <c r="U92" s="28" t="s">
        <v>214</v>
      </c>
      <c r="V92" s="18"/>
      <c r="W92" s="28" t="s">
        <v>214</v>
      </c>
      <c r="X92" s="18"/>
      <c r="Y92" s="28" t="s">
        <v>214</v>
      </c>
      <c r="Z92" s="18"/>
      <c r="AA92" s="28" t="s">
        <v>214</v>
      </c>
      <c r="AB92" s="18"/>
      <c r="AC92" s="28" t="s">
        <v>214</v>
      </c>
      <c r="AD92" s="18"/>
      <c r="AE92" s="28" t="s">
        <v>114</v>
      </c>
      <c r="AF92" s="47" t="str">
        <f t="shared" si="11"/>
        <v>NC</v>
      </c>
      <c r="AG92" s="8" t="str">
        <f t="shared" si="12"/>
        <v>NÃO UTILIZOU O PDA</v>
      </c>
      <c r="AH92" s="28" t="s">
        <v>108</v>
      </c>
      <c r="AI92" s="66" t="s">
        <v>1</v>
      </c>
      <c r="AJ92" s="22" t="str">
        <f t="shared" si="13"/>
        <v>GUARULHOS</v>
      </c>
      <c r="AK92" s="69" t="s">
        <v>4</v>
      </c>
    </row>
    <row r="93" spans="1:37" ht="30" customHeight="1" x14ac:dyDescent="0.2">
      <c r="A93" s="83" t="s">
        <v>101</v>
      </c>
      <c r="B93" s="83">
        <v>2614625214</v>
      </c>
      <c r="C93" s="83" t="s">
        <v>50</v>
      </c>
      <c r="D93" s="83" t="s">
        <v>29</v>
      </c>
      <c r="E93" s="83" t="s">
        <v>102</v>
      </c>
      <c r="F93" s="83" t="s">
        <v>197</v>
      </c>
      <c r="G93" s="83">
        <v>513</v>
      </c>
      <c r="H93" s="83" t="s">
        <v>117</v>
      </c>
      <c r="I93" s="83" t="s">
        <v>162</v>
      </c>
      <c r="J93" s="83" t="s">
        <v>130</v>
      </c>
      <c r="K93" s="83" t="s">
        <v>463</v>
      </c>
      <c r="L93" s="84" t="s">
        <v>422</v>
      </c>
      <c r="M93" s="84">
        <v>46207.552083333336</v>
      </c>
      <c r="N93" s="83" t="s">
        <v>452</v>
      </c>
      <c r="O93" s="36" t="s">
        <v>108</v>
      </c>
      <c r="P93" s="18"/>
      <c r="Q93" s="28" t="s">
        <v>108</v>
      </c>
      <c r="R93" s="18"/>
      <c r="S93" s="28" t="s">
        <v>108</v>
      </c>
      <c r="T93" s="18"/>
      <c r="U93" s="28" t="s">
        <v>108</v>
      </c>
      <c r="V93" s="18"/>
      <c r="W93" s="28" t="s">
        <v>108</v>
      </c>
      <c r="X93" s="18"/>
      <c r="Y93" s="28" t="s">
        <v>108</v>
      </c>
      <c r="Z93" s="18"/>
      <c r="AA93" s="28" t="s">
        <v>114</v>
      </c>
      <c r="AB93" s="18" t="s">
        <v>455</v>
      </c>
      <c r="AC93" s="28" t="s">
        <v>108</v>
      </c>
      <c r="AD93" s="18"/>
      <c r="AE93" s="28" t="s">
        <v>108</v>
      </c>
      <c r="AF93" s="47" t="str">
        <f t="shared" si="11"/>
        <v>NC</v>
      </c>
      <c r="AG93" s="8" t="str">
        <f t="shared" ref="AG93:AG101" si="14">IF(AND(AE93="C",AF93="C"),"UTILIZOU O PDA CORRETAMENTE",IF(AND(AE93="C",AF93="NC"),"UTILIZOU O PDA CORRETAMENTE. NÃO HÁ FOTOS DE TODAS AS ETAPAS",IF(AND(AE93="NC",AF93="NC"),"NÃO UTILIZOU O PDA",IF(AND(AE93="NA",AF93="NA"),"NÃO AVALIADO POR FALHA DE SINCRONISMO"))))</f>
        <v>UTILIZOU O PDA CORRETAMENTE. NÃO HÁ FOTOS DE TODAS AS ETAPAS</v>
      </c>
      <c r="AH93" s="28" t="s">
        <v>108</v>
      </c>
      <c r="AI93" s="66" t="s">
        <v>1</v>
      </c>
      <c r="AJ93" s="22" t="str">
        <f t="shared" si="13"/>
        <v>GUARULHOS</v>
      </c>
      <c r="AK93" s="69" t="s">
        <v>4</v>
      </c>
    </row>
    <row r="94" spans="1:37" ht="30" customHeight="1" x14ac:dyDescent="0.2">
      <c r="A94" s="83" t="s">
        <v>101</v>
      </c>
      <c r="B94" s="83">
        <v>2614646231</v>
      </c>
      <c r="C94" s="83" t="s">
        <v>45</v>
      </c>
      <c r="D94" s="83" t="s">
        <v>27</v>
      </c>
      <c r="E94" s="83" t="s">
        <v>102</v>
      </c>
      <c r="F94" s="83" t="s">
        <v>197</v>
      </c>
      <c r="G94" s="83">
        <v>550</v>
      </c>
      <c r="H94" s="90" t="s">
        <v>469</v>
      </c>
      <c r="I94" s="83" t="s">
        <v>162</v>
      </c>
      <c r="J94" s="83" t="s">
        <v>150</v>
      </c>
      <c r="K94" s="89" t="s">
        <v>470</v>
      </c>
      <c r="L94" s="84" t="s">
        <v>422</v>
      </c>
      <c r="M94" s="84">
        <v>46207.654861111114</v>
      </c>
      <c r="N94" s="83" t="s">
        <v>163</v>
      </c>
      <c r="O94" s="36" t="s">
        <v>108</v>
      </c>
      <c r="P94" s="18"/>
      <c r="Q94" s="28" t="s">
        <v>108</v>
      </c>
      <c r="R94" s="18"/>
      <c r="S94" s="28" t="s">
        <v>108</v>
      </c>
      <c r="T94" s="18"/>
      <c r="U94" s="28" t="s">
        <v>108</v>
      </c>
      <c r="V94" s="18"/>
      <c r="W94" s="28" t="s">
        <v>108</v>
      </c>
      <c r="X94" s="18"/>
      <c r="Y94" s="28" t="s">
        <v>108</v>
      </c>
      <c r="Z94" s="18"/>
      <c r="AA94" s="28" t="s">
        <v>114</v>
      </c>
      <c r="AB94" s="18" t="s">
        <v>455</v>
      </c>
      <c r="AC94" s="28" t="s">
        <v>108</v>
      </c>
      <c r="AD94" s="18"/>
      <c r="AE94" s="28" t="s">
        <v>108</v>
      </c>
      <c r="AF94" s="47" t="str">
        <f t="shared" si="11"/>
        <v>NC</v>
      </c>
      <c r="AG94" s="8" t="str">
        <f t="shared" si="14"/>
        <v>UTILIZOU O PDA CORRETAMENTE. NÃO HÁ FOTOS DE TODAS AS ETAPAS</v>
      </c>
      <c r="AH94" s="28" t="s">
        <v>108</v>
      </c>
      <c r="AI94" s="66" t="s">
        <v>1</v>
      </c>
      <c r="AJ94" s="22" t="str">
        <f t="shared" si="13"/>
        <v>GUARULHOS</v>
      </c>
      <c r="AK94" s="69" t="s">
        <v>4</v>
      </c>
    </row>
    <row r="95" spans="1:37" ht="30" customHeight="1" x14ac:dyDescent="0.2">
      <c r="A95" s="83" t="s">
        <v>101</v>
      </c>
      <c r="B95" s="83">
        <v>2614646463</v>
      </c>
      <c r="C95" s="83" t="s">
        <v>45</v>
      </c>
      <c r="D95" s="83" t="s">
        <v>27</v>
      </c>
      <c r="E95" s="83" t="s">
        <v>102</v>
      </c>
      <c r="F95" s="83" t="s">
        <v>197</v>
      </c>
      <c r="G95" s="83">
        <v>551</v>
      </c>
      <c r="H95" s="83" t="s">
        <v>471</v>
      </c>
      <c r="I95" s="83" t="s">
        <v>162</v>
      </c>
      <c r="J95" s="83" t="s">
        <v>150</v>
      </c>
      <c r="K95" s="83" t="s">
        <v>117</v>
      </c>
      <c r="L95" s="84" t="s">
        <v>422</v>
      </c>
      <c r="M95" s="84">
        <v>46207.65902777778</v>
      </c>
      <c r="N95" s="83" t="s">
        <v>163</v>
      </c>
      <c r="O95" s="36" t="s">
        <v>108</v>
      </c>
      <c r="P95" s="18"/>
      <c r="Q95" s="28" t="s">
        <v>108</v>
      </c>
      <c r="R95" s="18"/>
      <c r="S95" s="28" t="s">
        <v>108</v>
      </c>
      <c r="T95" s="18"/>
      <c r="U95" s="28" t="s">
        <v>108</v>
      </c>
      <c r="V95" s="18"/>
      <c r="W95" s="28" t="s">
        <v>108</v>
      </c>
      <c r="X95" s="18"/>
      <c r="Y95" s="28" t="s">
        <v>108</v>
      </c>
      <c r="Z95" s="18"/>
      <c r="AA95" s="28" t="s">
        <v>114</v>
      </c>
      <c r="AB95" s="18" t="s">
        <v>455</v>
      </c>
      <c r="AC95" s="28" t="s">
        <v>108</v>
      </c>
      <c r="AD95" s="18"/>
      <c r="AE95" s="28" t="s">
        <v>108</v>
      </c>
      <c r="AF95" s="47" t="str">
        <f t="shared" si="11"/>
        <v>NC</v>
      </c>
      <c r="AG95" s="8" t="str">
        <f t="shared" si="14"/>
        <v>UTILIZOU O PDA CORRETAMENTE. NÃO HÁ FOTOS DE TODAS AS ETAPAS</v>
      </c>
      <c r="AH95" s="28" t="s">
        <v>108</v>
      </c>
      <c r="AI95" s="66" t="s">
        <v>1</v>
      </c>
      <c r="AJ95" s="22" t="str">
        <f t="shared" si="13"/>
        <v>GUARULHOS</v>
      </c>
      <c r="AK95" s="69" t="s">
        <v>4</v>
      </c>
    </row>
    <row r="96" spans="1:37" ht="30" customHeight="1" x14ac:dyDescent="0.2">
      <c r="A96" s="83" t="s">
        <v>101</v>
      </c>
      <c r="B96" s="83">
        <v>2614101946</v>
      </c>
      <c r="C96" s="83" t="s">
        <v>33</v>
      </c>
      <c r="D96" s="83" t="s">
        <v>25</v>
      </c>
      <c r="E96" s="83" t="s">
        <v>102</v>
      </c>
      <c r="F96" s="83" t="s">
        <v>472</v>
      </c>
      <c r="G96" s="83">
        <v>67</v>
      </c>
      <c r="H96" s="83" t="s">
        <v>117</v>
      </c>
      <c r="I96" s="83" t="s">
        <v>473</v>
      </c>
      <c r="J96" s="83" t="s">
        <v>33</v>
      </c>
      <c r="K96" s="83" t="s">
        <v>474</v>
      </c>
      <c r="L96" s="84" t="s">
        <v>422</v>
      </c>
      <c r="M96" s="84">
        <v>46207.683333333334</v>
      </c>
      <c r="N96" s="83" t="s">
        <v>119</v>
      </c>
      <c r="O96" s="36" t="s">
        <v>108</v>
      </c>
      <c r="P96" s="18"/>
      <c r="Q96" s="28" t="s">
        <v>114</v>
      </c>
      <c r="R96" s="18" t="s">
        <v>475</v>
      </c>
      <c r="S96" s="28" t="s">
        <v>108</v>
      </c>
      <c r="T96" s="18"/>
      <c r="U96" s="28" t="s">
        <v>108</v>
      </c>
      <c r="V96" s="18"/>
      <c r="W96" s="28" t="s">
        <v>108</v>
      </c>
      <c r="X96" s="18"/>
      <c r="Y96" s="28" t="s">
        <v>108</v>
      </c>
      <c r="Z96" s="18"/>
      <c r="AA96" s="28" t="s">
        <v>108</v>
      </c>
      <c r="AB96" s="18"/>
      <c r="AC96" s="28" t="s">
        <v>108</v>
      </c>
      <c r="AD96" s="18"/>
      <c r="AE96" s="28" t="s">
        <v>108</v>
      </c>
      <c r="AF96" s="47" t="str">
        <f t="shared" si="11"/>
        <v>NC</v>
      </c>
      <c r="AG96" s="8" t="str">
        <f t="shared" si="14"/>
        <v>UTILIZOU O PDA CORRETAMENTE. NÃO HÁ FOTOS DE TODAS AS ETAPAS</v>
      </c>
      <c r="AH96" s="28" t="s">
        <v>108</v>
      </c>
      <c r="AI96" s="66" t="s">
        <v>1</v>
      </c>
      <c r="AJ96" s="22" t="str">
        <f t="shared" si="13"/>
        <v>GUARULHOS</v>
      </c>
      <c r="AK96" s="69" t="s">
        <v>4</v>
      </c>
    </row>
    <row r="97" spans="1:37" ht="30" customHeight="1" x14ac:dyDescent="0.2">
      <c r="A97" s="83" t="s">
        <v>101</v>
      </c>
      <c r="B97" s="83">
        <v>2614469579</v>
      </c>
      <c r="C97" s="83" t="s">
        <v>50</v>
      </c>
      <c r="D97" s="83" t="s">
        <v>29</v>
      </c>
      <c r="E97" s="83" t="s">
        <v>102</v>
      </c>
      <c r="F97" s="83" t="s">
        <v>477</v>
      </c>
      <c r="G97" s="83">
        <v>282</v>
      </c>
      <c r="H97" s="83" t="s">
        <v>478</v>
      </c>
      <c r="I97" s="83" t="s">
        <v>479</v>
      </c>
      <c r="J97" s="83" t="s">
        <v>130</v>
      </c>
      <c r="K97" s="83" t="s">
        <v>117</v>
      </c>
      <c r="L97" s="84" t="s">
        <v>480</v>
      </c>
      <c r="M97" s="84">
        <v>46238.427777777775</v>
      </c>
      <c r="N97" s="83" t="s">
        <v>140</v>
      </c>
      <c r="O97" s="36" t="s">
        <v>108</v>
      </c>
      <c r="P97" s="18"/>
      <c r="Q97" s="28" t="s">
        <v>108</v>
      </c>
      <c r="R97" s="18"/>
      <c r="S97" s="28" t="s">
        <v>108</v>
      </c>
      <c r="T97" s="18"/>
      <c r="U97" s="28" t="s">
        <v>108</v>
      </c>
      <c r="V97" s="18"/>
      <c r="W97" s="28" t="s">
        <v>108</v>
      </c>
      <c r="X97" s="18"/>
      <c r="Y97" s="28" t="s">
        <v>14</v>
      </c>
      <c r="Z97" s="18"/>
      <c r="AA97" s="28" t="s">
        <v>108</v>
      </c>
      <c r="AB97" s="18"/>
      <c r="AC97" s="28" t="s">
        <v>108</v>
      </c>
      <c r="AD97" s="18"/>
      <c r="AE97" s="28" t="s">
        <v>108</v>
      </c>
      <c r="AF97" s="47" t="str">
        <f t="shared" si="11"/>
        <v>C</v>
      </c>
      <c r="AG97" s="8" t="str">
        <f t="shared" si="14"/>
        <v>UTILIZOU O PDA CORRETAMENTE</v>
      </c>
      <c r="AH97" s="26" t="s">
        <v>108</v>
      </c>
      <c r="AI97" s="66" t="s">
        <v>1</v>
      </c>
      <c r="AJ97" s="22" t="str">
        <f t="shared" si="13"/>
        <v>GUARULHOS</v>
      </c>
      <c r="AK97" s="69" t="s">
        <v>4</v>
      </c>
    </row>
    <row r="98" spans="1:37" ht="30" customHeight="1" x14ac:dyDescent="0.2">
      <c r="A98" s="83" t="s">
        <v>101</v>
      </c>
      <c r="B98" s="83">
        <v>2614667474</v>
      </c>
      <c r="C98" s="83" t="s">
        <v>50</v>
      </c>
      <c r="D98" s="83" t="s">
        <v>29</v>
      </c>
      <c r="E98" s="83" t="s">
        <v>102</v>
      </c>
      <c r="F98" s="83" t="s">
        <v>481</v>
      </c>
      <c r="G98" s="83">
        <v>539</v>
      </c>
      <c r="H98" s="83" t="s">
        <v>482</v>
      </c>
      <c r="I98" s="83" t="s">
        <v>483</v>
      </c>
      <c r="J98" s="83" t="s">
        <v>130</v>
      </c>
      <c r="K98" s="83"/>
      <c r="L98" s="84" t="s">
        <v>480</v>
      </c>
      <c r="M98" s="84">
        <v>46238.461805555555</v>
      </c>
      <c r="N98" s="83" t="s">
        <v>151</v>
      </c>
      <c r="O98" s="36" t="s">
        <v>108</v>
      </c>
      <c r="P98" s="18"/>
      <c r="Q98" s="28" t="s">
        <v>108</v>
      </c>
      <c r="R98" s="18"/>
      <c r="S98" s="28" t="s">
        <v>108</v>
      </c>
      <c r="T98" s="18"/>
      <c r="U98" s="28" t="s">
        <v>108</v>
      </c>
      <c r="V98" s="18"/>
      <c r="W98" s="28" t="s">
        <v>108</v>
      </c>
      <c r="X98" s="18"/>
      <c r="Y98" s="28" t="s">
        <v>14</v>
      </c>
      <c r="Z98" s="18"/>
      <c r="AA98" s="28" t="s">
        <v>108</v>
      </c>
      <c r="AB98" s="18"/>
      <c r="AC98" s="28" t="s">
        <v>108</v>
      </c>
      <c r="AD98" s="18"/>
      <c r="AE98" s="28" t="s">
        <v>108</v>
      </c>
      <c r="AF98" s="47" t="str">
        <f t="shared" si="11"/>
        <v>C</v>
      </c>
      <c r="AG98" s="8" t="str">
        <f t="shared" si="14"/>
        <v>UTILIZOU O PDA CORRETAMENTE</v>
      </c>
      <c r="AH98" s="26" t="s">
        <v>108</v>
      </c>
      <c r="AI98" s="66" t="s">
        <v>1</v>
      </c>
      <c r="AJ98" s="22" t="str">
        <f t="shared" si="13"/>
        <v>GUARULHOS</v>
      </c>
      <c r="AK98" s="69" t="s">
        <v>4</v>
      </c>
    </row>
    <row r="99" spans="1:37" ht="30" customHeight="1" x14ac:dyDescent="0.2">
      <c r="A99" s="83" t="s">
        <v>101</v>
      </c>
      <c r="B99" s="83">
        <v>2614120534</v>
      </c>
      <c r="C99" s="83" t="s">
        <v>33</v>
      </c>
      <c r="D99" s="83" t="s">
        <v>25</v>
      </c>
      <c r="E99" s="83" t="s">
        <v>102</v>
      </c>
      <c r="F99" s="83" t="s">
        <v>489</v>
      </c>
      <c r="G99" s="83">
        <v>181</v>
      </c>
      <c r="H99" s="83"/>
      <c r="I99" s="83" t="s">
        <v>367</v>
      </c>
      <c r="J99" s="83" t="s">
        <v>33</v>
      </c>
      <c r="K99" s="83"/>
      <c r="L99" s="84" t="s">
        <v>480</v>
      </c>
      <c r="M99" s="84">
        <v>46238.411111111112</v>
      </c>
      <c r="N99" s="83" t="s">
        <v>274</v>
      </c>
      <c r="O99" s="36" t="s">
        <v>108</v>
      </c>
      <c r="P99" s="18"/>
      <c r="Q99" s="28" t="s">
        <v>108</v>
      </c>
      <c r="R99" s="18"/>
      <c r="S99" s="28" t="s">
        <v>108</v>
      </c>
      <c r="T99" s="18"/>
      <c r="U99" s="28" t="s">
        <v>14</v>
      </c>
      <c r="V99" s="18"/>
      <c r="W99" s="28" t="s">
        <v>14</v>
      </c>
      <c r="X99" s="18"/>
      <c r="Y99" s="28" t="s">
        <v>14</v>
      </c>
      <c r="Z99" s="18"/>
      <c r="AA99" s="28" t="s">
        <v>14</v>
      </c>
      <c r="AB99" s="18"/>
      <c r="AC99" s="28" t="s">
        <v>108</v>
      </c>
      <c r="AD99" s="18"/>
      <c r="AE99" s="28" t="s">
        <v>108</v>
      </c>
      <c r="AF99" s="47" t="str">
        <f t="shared" si="11"/>
        <v>C</v>
      </c>
      <c r="AG99" s="8" t="str">
        <f t="shared" si="14"/>
        <v>UTILIZOU O PDA CORRETAMENTE</v>
      </c>
      <c r="AH99" s="28" t="s">
        <v>108</v>
      </c>
      <c r="AI99" s="66" t="s">
        <v>1</v>
      </c>
      <c r="AJ99" s="22" t="str">
        <f t="shared" si="13"/>
        <v>GUARULHOS</v>
      </c>
      <c r="AK99" s="69" t="s">
        <v>4</v>
      </c>
    </row>
    <row r="100" spans="1:37" ht="30" customHeight="1" x14ac:dyDescent="0.2">
      <c r="A100" s="83" t="s">
        <v>101</v>
      </c>
      <c r="B100" s="83">
        <v>2614135529</v>
      </c>
      <c r="C100" s="83" t="s">
        <v>40</v>
      </c>
      <c r="D100" s="83" t="s">
        <v>25</v>
      </c>
      <c r="E100" s="83" t="s">
        <v>102</v>
      </c>
      <c r="F100" s="83" t="s">
        <v>490</v>
      </c>
      <c r="G100" s="83">
        <v>123</v>
      </c>
      <c r="H100" s="83" t="s">
        <v>110</v>
      </c>
      <c r="I100" s="83" t="s">
        <v>450</v>
      </c>
      <c r="J100" s="83" t="s">
        <v>40</v>
      </c>
      <c r="K100" s="83" t="s">
        <v>117</v>
      </c>
      <c r="L100" s="84" t="s">
        <v>480</v>
      </c>
      <c r="M100" s="84">
        <v>46238.538194444445</v>
      </c>
      <c r="N100" s="83" t="s">
        <v>274</v>
      </c>
      <c r="O100" s="36" t="s">
        <v>108</v>
      </c>
      <c r="P100" s="18"/>
      <c r="Q100" s="28" t="s">
        <v>108</v>
      </c>
      <c r="R100" s="18"/>
      <c r="S100" s="28" t="s">
        <v>108</v>
      </c>
      <c r="T100" s="18"/>
      <c r="U100" s="28" t="s">
        <v>108</v>
      </c>
      <c r="V100" s="18"/>
      <c r="W100" s="28" t="s">
        <v>108</v>
      </c>
      <c r="X100" s="18"/>
      <c r="Y100" s="28" t="s">
        <v>14</v>
      </c>
      <c r="Z100" s="18"/>
      <c r="AA100" s="28" t="s">
        <v>114</v>
      </c>
      <c r="AB100" s="18" t="s">
        <v>455</v>
      </c>
      <c r="AC100" s="28" t="s">
        <v>108</v>
      </c>
      <c r="AD100" s="18"/>
      <c r="AE100" s="28" t="s">
        <v>108</v>
      </c>
      <c r="AF100" s="47" t="str">
        <f t="shared" si="11"/>
        <v>NC</v>
      </c>
      <c r="AG100" s="8" t="str">
        <f t="shared" si="14"/>
        <v>UTILIZOU O PDA CORRETAMENTE. NÃO HÁ FOTOS DE TODAS AS ETAPAS</v>
      </c>
      <c r="AH100" s="28" t="s">
        <v>108</v>
      </c>
      <c r="AI100" s="66" t="s">
        <v>1</v>
      </c>
      <c r="AJ100" s="22" t="str">
        <f t="shared" si="13"/>
        <v>GUARULHOS</v>
      </c>
      <c r="AK100" s="69" t="s">
        <v>4</v>
      </c>
    </row>
    <row r="101" spans="1:37" ht="30" customHeight="1" x14ac:dyDescent="0.2">
      <c r="A101" s="83" t="s">
        <v>101</v>
      </c>
      <c r="B101" s="83">
        <v>2614135538</v>
      </c>
      <c r="C101" s="83" t="s">
        <v>42</v>
      </c>
      <c r="D101" s="83" t="s">
        <v>25</v>
      </c>
      <c r="E101" s="83" t="s">
        <v>102</v>
      </c>
      <c r="F101" s="83" t="s">
        <v>490</v>
      </c>
      <c r="G101" s="83">
        <v>123</v>
      </c>
      <c r="H101" s="83" t="s">
        <v>115</v>
      </c>
      <c r="I101" s="83" t="s">
        <v>450</v>
      </c>
      <c r="J101" s="83" t="s">
        <v>42</v>
      </c>
      <c r="K101" s="83" t="s">
        <v>491</v>
      </c>
      <c r="L101" s="84" t="s">
        <v>480</v>
      </c>
      <c r="M101" s="84">
        <v>46238.540972222225</v>
      </c>
      <c r="N101" s="83" t="s">
        <v>274</v>
      </c>
      <c r="O101" s="36" t="s">
        <v>108</v>
      </c>
      <c r="P101" s="18"/>
      <c r="Q101" s="28" t="s">
        <v>108</v>
      </c>
      <c r="R101" s="18"/>
      <c r="S101" s="28" t="s">
        <v>108</v>
      </c>
      <c r="T101" s="18"/>
      <c r="U101" s="28" t="s">
        <v>108</v>
      </c>
      <c r="V101" s="18"/>
      <c r="W101" s="28" t="s">
        <v>108</v>
      </c>
      <c r="X101" s="18"/>
      <c r="Y101" s="28" t="s">
        <v>14</v>
      </c>
      <c r="Z101" s="18"/>
      <c r="AA101" s="28" t="s">
        <v>114</v>
      </c>
      <c r="AB101" s="18" t="s">
        <v>455</v>
      </c>
      <c r="AC101" s="28" t="s">
        <v>108</v>
      </c>
      <c r="AD101" s="18"/>
      <c r="AE101" s="28" t="s">
        <v>108</v>
      </c>
      <c r="AF101" s="47" t="str">
        <f t="shared" si="11"/>
        <v>NC</v>
      </c>
      <c r="AG101" s="8" t="str">
        <f t="shared" si="14"/>
        <v>UTILIZOU O PDA CORRETAMENTE. NÃO HÁ FOTOS DE TODAS AS ETAPAS</v>
      </c>
      <c r="AH101" s="28" t="s">
        <v>108</v>
      </c>
      <c r="AI101" s="66" t="s">
        <v>1</v>
      </c>
      <c r="AJ101" s="22" t="str">
        <f t="shared" si="13"/>
        <v>GUARULHOS</v>
      </c>
      <c r="AK101" s="69" t="s">
        <v>4</v>
      </c>
    </row>
    <row r="102" spans="1:37" ht="30" customHeight="1" x14ac:dyDescent="0.2">
      <c r="A102" s="83" t="s">
        <v>101</v>
      </c>
      <c r="B102" s="83">
        <v>2614682430</v>
      </c>
      <c r="C102" s="83" t="s">
        <v>50</v>
      </c>
      <c r="D102" s="83" t="s">
        <v>29</v>
      </c>
      <c r="E102" s="83" t="s">
        <v>102</v>
      </c>
      <c r="F102" s="83" t="s">
        <v>161</v>
      </c>
      <c r="G102" s="83">
        <v>419</v>
      </c>
      <c r="H102" s="83" t="s">
        <v>492</v>
      </c>
      <c r="I102" s="83" t="s">
        <v>162</v>
      </c>
      <c r="J102" s="83" t="s">
        <v>130</v>
      </c>
      <c r="K102" s="83" t="s">
        <v>463</v>
      </c>
      <c r="L102" s="84" t="s">
        <v>480</v>
      </c>
      <c r="M102" s="84">
        <v>46238.43472222222</v>
      </c>
      <c r="N102" s="83" t="s">
        <v>452</v>
      </c>
      <c r="O102" s="36" t="s">
        <v>14</v>
      </c>
      <c r="P102" s="18"/>
      <c r="Q102" s="28" t="s">
        <v>14</v>
      </c>
      <c r="R102" s="18"/>
      <c r="S102" s="28" t="s">
        <v>14</v>
      </c>
      <c r="T102" s="18"/>
      <c r="U102" s="28" t="s">
        <v>14</v>
      </c>
      <c r="V102" s="18"/>
      <c r="W102" s="28" t="s">
        <v>14</v>
      </c>
      <c r="X102" s="18"/>
      <c r="Y102" s="28" t="s">
        <v>14</v>
      </c>
      <c r="Z102" s="18"/>
      <c r="AA102" s="28" t="s">
        <v>14</v>
      </c>
      <c r="AB102" s="18"/>
      <c r="AC102" s="28" t="s">
        <v>14</v>
      </c>
      <c r="AD102" s="18"/>
      <c r="AE102" s="28" t="s">
        <v>14</v>
      </c>
      <c r="AF102" s="47" t="str">
        <f t="shared" si="11"/>
        <v>NA</v>
      </c>
      <c r="AG102" s="8" t="s">
        <v>200</v>
      </c>
      <c r="AH102" s="28" t="s">
        <v>108</v>
      </c>
      <c r="AI102" s="66" t="s">
        <v>1</v>
      </c>
      <c r="AJ102" s="22" t="str">
        <f t="shared" si="13"/>
        <v>GUARULHOS</v>
      </c>
      <c r="AK102" s="69" t="s">
        <v>4</v>
      </c>
    </row>
    <row r="103" spans="1:37" ht="30" customHeight="1" x14ac:dyDescent="0.2">
      <c r="A103" s="83" t="s">
        <v>101</v>
      </c>
      <c r="B103" s="83">
        <v>2614121460</v>
      </c>
      <c r="C103" s="83" t="s">
        <v>31</v>
      </c>
      <c r="D103" s="83" t="s">
        <v>25</v>
      </c>
      <c r="E103" s="83" t="s">
        <v>102</v>
      </c>
      <c r="F103" s="83" t="s">
        <v>493</v>
      </c>
      <c r="G103" s="83">
        <v>268</v>
      </c>
      <c r="H103" s="83" t="s">
        <v>121</v>
      </c>
      <c r="I103" s="83" t="s">
        <v>382</v>
      </c>
      <c r="J103" s="83" t="s">
        <v>123</v>
      </c>
      <c r="K103" s="83"/>
      <c r="L103" s="84" t="s">
        <v>480</v>
      </c>
      <c r="M103" s="84">
        <v>46238.595138888886</v>
      </c>
      <c r="N103" s="83" t="s">
        <v>119</v>
      </c>
      <c r="O103" s="36" t="s">
        <v>108</v>
      </c>
      <c r="P103" s="18"/>
      <c r="Q103" s="28" t="s">
        <v>108</v>
      </c>
      <c r="R103" s="18"/>
      <c r="S103" s="28" t="s">
        <v>108</v>
      </c>
      <c r="T103" s="18"/>
      <c r="U103" s="28" t="s">
        <v>108</v>
      </c>
      <c r="V103" s="18"/>
      <c r="W103" s="28" t="s">
        <v>108</v>
      </c>
      <c r="X103" s="18"/>
      <c r="Y103" s="28" t="s">
        <v>14</v>
      </c>
      <c r="Z103" s="18"/>
      <c r="AA103" s="28" t="s">
        <v>108</v>
      </c>
      <c r="AB103" s="18"/>
      <c r="AC103" s="28" t="s">
        <v>108</v>
      </c>
      <c r="AD103" s="18"/>
      <c r="AE103" s="28" t="s">
        <v>108</v>
      </c>
      <c r="AF103" s="47" t="str">
        <f t="shared" si="11"/>
        <v>C</v>
      </c>
      <c r="AG103" s="8" t="str">
        <f t="shared" ref="AG103:AG123" si="15">IF(AND(AE103="C",AF103="C"),"UTILIZOU O PDA CORRETAMENTE",IF(AND(AE103="C",AF103="NC"),"UTILIZOU O PDA CORRETAMENTE. NÃO HÁ FOTOS DE TODAS AS ETAPAS",IF(AND(AE103="NC",AF103="NC"),"NÃO UTILIZOU O PDA",IF(AND(AE103="NA",AF103="NA"),"NÃO AVALIADO POR FALHA DE SINCRONISMO"))))</f>
        <v>UTILIZOU O PDA CORRETAMENTE</v>
      </c>
      <c r="AH103" s="28" t="s">
        <v>108</v>
      </c>
      <c r="AI103" s="66" t="s">
        <v>1</v>
      </c>
      <c r="AJ103" s="22" t="str">
        <f t="shared" si="13"/>
        <v>GUARULHOS</v>
      </c>
      <c r="AK103" s="69" t="s">
        <v>4</v>
      </c>
    </row>
    <row r="104" spans="1:37" ht="30" customHeight="1" x14ac:dyDescent="0.25">
      <c r="A104" s="83" t="s">
        <v>101</v>
      </c>
      <c r="B104" s="83">
        <v>2614112286</v>
      </c>
      <c r="C104" s="83" t="s">
        <v>33</v>
      </c>
      <c r="D104" s="83" t="s">
        <v>25</v>
      </c>
      <c r="E104" s="83" t="s">
        <v>102</v>
      </c>
      <c r="F104" s="83" t="s">
        <v>494</v>
      </c>
      <c r="G104" s="83">
        <v>586</v>
      </c>
      <c r="H104" s="83" t="s">
        <v>117</v>
      </c>
      <c r="I104" s="83" t="s">
        <v>237</v>
      </c>
      <c r="J104" s="83" t="s">
        <v>33</v>
      </c>
      <c r="K104" s="83" t="s">
        <v>117</v>
      </c>
      <c r="L104" s="84" t="s">
        <v>480</v>
      </c>
      <c r="M104" s="84">
        <v>46238.761805555558</v>
      </c>
      <c r="N104" s="83" t="s">
        <v>107</v>
      </c>
      <c r="O104" s="36" t="s">
        <v>108</v>
      </c>
      <c r="P104" s="63"/>
      <c r="Q104" s="37" t="s">
        <v>108</v>
      </c>
      <c r="R104" s="64"/>
      <c r="S104" s="37" t="s">
        <v>108</v>
      </c>
      <c r="T104" s="64"/>
      <c r="U104" s="37" t="s">
        <v>108</v>
      </c>
      <c r="V104" s="64"/>
      <c r="W104" s="37" t="s">
        <v>108</v>
      </c>
      <c r="X104" s="64"/>
      <c r="Y104" s="37" t="s">
        <v>108</v>
      </c>
      <c r="Z104" s="64"/>
      <c r="AA104" s="37" t="s">
        <v>108</v>
      </c>
      <c r="AB104" s="64"/>
      <c r="AC104" s="37" t="s">
        <v>114</v>
      </c>
      <c r="AD104" s="44" t="s">
        <v>324</v>
      </c>
      <c r="AE104" s="44" t="s">
        <v>108</v>
      </c>
      <c r="AF104" s="47" t="str">
        <f t="shared" si="11"/>
        <v>NC</v>
      </c>
      <c r="AG104" s="8" t="str">
        <f t="shared" si="15"/>
        <v>UTILIZOU O PDA CORRETAMENTE. NÃO HÁ FOTOS DE TODAS AS ETAPAS</v>
      </c>
      <c r="AH104" s="28" t="s">
        <v>108</v>
      </c>
      <c r="AI104" s="66" t="s">
        <v>1</v>
      </c>
      <c r="AJ104" s="22" t="str">
        <f t="shared" si="13"/>
        <v>GUARULHOS</v>
      </c>
      <c r="AK104" s="69" t="s">
        <v>4</v>
      </c>
    </row>
    <row r="105" spans="1:37" ht="30" customHeight="1" x14ac:dyDescent="0.25">
      <c r="A105" s="83" t="s">
        <v>101</v>
      </c>
      <c r="B105" s="83">
        <v>2613910307</v>
      </c>
      <c r="C105" s="83" t="s">
        <v>33</v>
      </c>
      <c r="D105" s="83" t="s">
        <v>25</v>
      </c>
      <c r="E105" s="83" t="s">
        <v>102</v>
      </c>
      <c r="F105" s="83" t="s">
        <v>495</v>
      </c>
      <c r="G105" s="83">
        <v>206</v>
      </c>
      <c r="H105" s="83"/>
      <c r="I105" s="83" t="s">
        <v>216</v>
      </c>
      <c r="J105" s="83" t="s">
        <v>33</v>
      </c>
      <c r="K105" s="83" t="s">
        <v>496</v>
      </c>
      <c r="L105" s="84" t="s">
        <v>480</v>
      </c>
      <c r="M105" s="84">
        <v>46238.474999999999</v>
      </c>
      <c r="N105" s="83" t="s">
        <v>119</v>
      </c>
      <c r="O105" s="36" t="s">
        <v>108</v>
      </c>
      <c r="P105" s="63"/>
      <c r="Q105" s="37" t="s">
        <v>108</v>
      </c>
      <c r="R105" s="64"/>
      <c r="S105" s="37" t="s">
        <v>108</v>
      </c>
      <c r="T105" s="64"/>
      <c r="U105" s="37" t="s">
        <v>108</v>
      </c>
      <c r="V105" s="64"/>
      <c r="W105" s="37" t="s">
        <v>108</v>
      </c>
      <c r="X105" s="64"/>
      <c r="Y105" s="37" t="s">
        <v>108</v>
      </c>
      <c r="Z105" s="64"/>
      <c r="AA105" s="37" t="s">
        <v>108</v>
      </c>
      <c r="AB105" s="64"/>
      <c r="AC105" s="37" t="s">
        <v>108</v>
      </c>
      <c r="AD105" s="64"/>
      <c r="AE105" s="44" t="s">
        <v>108</v>
      </c>
      <c r="AF105" s="47" t="str">
        <f t="shared" ref="AF105:AF135" si="16">IF(AND(O105="",Q105="",S105="",U105="",W105="",Y105="",AA105="",AC105=""),"",IF(OR(AND(O105&lt;&gt;"NA",O105&lt;&gt;"C",O105&lt;&gt;"NC",O105&lt;&gt;"SF",O105&lt;&gt;""),AND(Q105&lt;&gt;"NA",Q105&lt;&gt;"C",Q105&lt;&gt;"NC",Q105&lt;&gt;"SF",Q105&lt;&gt;""),AND(S105&lt;&gt;"NA",S105&lt;&gt;"C",S105&lt;&gt;"NC",S105&lt;&gt;"SF",S105&lt;&gt;""),AND(U105&lt;&gt;"NA",U105&lt;&gt;"C",U105&lt;&gt;"NC",U105&lt;&gt;"SF",U105&lt;&gt;""),AND(W105&lt;&gt;"NA",W105&lt;&gt;"C",W105&lt;&gt;"NC",W105&lt;&gt;"SF",W105&lt;&gt;""),AND(Y105&lt;&gt;"NA",Y105&lt;&gt;"C",Y105&lt;&gt;"NC",Y105&lt;&gt;"SF",Y105&lt;&gt;""),AND(AA105&lt;&gt;"NA",AA105&lt;&gt;"C",AA105&lt;&gt;"NC",AA105&lt;&gt;"SF",AA105&lt;&gt;""),AND(AC105&lt;&gt;"NA",AC105&lt;&gt;"C",AC105&lt;&gt;"NC",AC105&lt;&gt;"SF",AC105&lt;&gt;"")),"FALSO",IF(AND(O105="NA",Q105="NA",S105="NA",U105="NA",W105="NA",Y105="NA",AA105="NA",AC105="NA"),"NA",IF(OR(O105="NC",Q105="NC",S105="NC",U105="NC",W105="NC",Y105="NC",AA105="NC",AC105="NC",O105="SF",Q105="SF",S105="SF",U105="SF",W105="SF",Y105="SF",AA105="SF",AC105="SF"),"NC",IF(OR(O105="C",Q105="C",S105="C",U105="C",W105="C",Y105="C",AA105="C",AC105="C"),"C","")))))</f>
        <v>C</v>
      </c>
      <c r="AG105" s="8" t="str">
        <f t="shared" si="15"/>
        <v>UTILIZOU O PDA CORRETAMENTE</v>
      </c>
      <c r="AH105" s="28" t="s">
        <v>108</v>
      </c>
      <c r="AI105" s="66" t="s">
        <v>1</v>
      </c>
      <c r="AJ105" s="22" t="str">
        <f t="shared" ref="AJ105:AJ135" si="17">E105</f>
        <v>GUARULHOS</v>
      </c>
      <c r="AK105" s="69" t="s">
        <v>4</v>
      </c>
    </row>
    <row r="106" spans="1:37" ht="30" customHeight="1" x14ac:dyDescent="0.25">
      <c r="A106" s="83" t="s">
        <v>101</v>
      </c>
      <c r="B106" s="83">
        <v>2614116695</v>
      </c>
      <c r="C106" s="83" t="s">
        <v>33</v>
      </c>
      <c r="D106" s="83" t="s">
        <v>25</v>
      </c>
      <c r="E106" s="83" t="s">
        <v>102</v>
      </c>
      <c r="F106" s="83" t="s">
        <v>497</v>
      </c>
      <c r="G106" s="83">
        <v>55</v>
      </c>
      <c r="H106" s="83" t="s">
        <v>117</v>
      </c>
      <c r="I106" s="83" t="s">
        <v>498</v>
      </c>
      <c r="J106" s="83" t="s">
        <v>33</v>
      </c>
      <c r="K106" s="83" t="s">
        <v>117</v>
      </c>
      <c r="L106" s="84" t="s">
        <v>480</v>
      </c>
      <c r="M106" s="84">
        <v>46238.5625</v>
      </c>
      <c r="N106" s="83" t="s">
        <v>119</v>
      </c>
      <c r="O106" s="36" t="s">
        <v>108</v>
      </c>
      <c r="P106" s="63"/>
      <c r="Q106" s="37" t="s">
        <v>108</v>
      </c>
      <c r="R106" s="64"/>
      <c r="S106" s="37" t="s">
        <v>108</v>
      </c>
      <c r="T106" s="64"/>
      <c r="U106" s="37" t="s">
        <v>108</v>
      </c>
      <c r="V106" s="64"/>
      <c r="W106" s="37" t="s">
        <v>108</v>
      </c>
      <c r="X106" s="64"/>
      <c r="Y106" s="37" t="s">
        <v>108</v>
      </c>
      <c r="Z106" s="64"/>
      <c r="AA106" s="37" t="s">
        <v>108</v>
      </c>
      <c r="AB106" s="64"/>
      <c r="AC106" s="37" t="s">
        <v>108</v>
      </c>
      <c r="AD106" s="64"/>
      <c r="AE106" s="44" t="s">
        <v>108</v>
      </c>
      <c r="AF106" s="47" t="str">
        <f t="shared" si="16"/>
        <v>C</v>
      </c>
      <c r="AG106" s="8" t="str">
        <f t="shared" si="15"/>
        <v>UTILIZOU O PDA CORRETAMENTE</v>
      </c>
      <c r="AH106" s="28" t="s">
        <v>108</v>
      </c>
      <c r="AI106" s="66" t="s">
        <v>1</v>
      </c>
      <c r="AJ106" s="22" t="str">
        <f t="shared" si="17"/>
        <v>GUARULHOS</v>
      </c>
      <c r="AK106" s="69" t="s">
        <v>4</v>
      </c>
    </row>
    <row r="107" spans="1:37" ht="30" customHeight="1" x14ac:dyDescent="0.2">
      <c r="A107" s="83" t="s">
        <v>101</v>
      </c>
      <c r="B107" s="83">
        <v>2614775943</v>
      </c>
      <c r="C107" s="83" t="s">
        <v>50</v>
      </c>
      <c r="D107" s="83" t="s">
        <v>29</v>
      </c>
      <c r="E107" s="83" t="s">
        <v>102</v>
      </c>
      <c r="F107" s="83" t="s">
        <v>501</v>
      </c>
      <c r="G107" s="83">
        <v>14</v>
      </c>
      <c r="H107" s="83" t="s">
        <v>366</v>
      </c>
      <c r="I107" s="83" t="s">
        <v>340</v>
      </c>
      <c r="J107" s="83" t="s">
        <v>130</v>
      </c>
      <c r="K107" s="83" t="s">
        <v>502</v>
      </c>
      <c r="L107" s="84" t="s">
        <v>480</v>
      </c>
      <c r="M107" s="84">
        <v>46238.474305555559</v>
      </c>
      <c r="N107" s="83" t="s">
        <v>151</v>
      </c>
      <c r="O107" s="36" t="s">
        <v>108</v>
      </c>
      <c r="P107" s="18"/>
      <c r="Q107" s="28" t="s">
        <v>108</v>
      </c>
      <c r="R107" s="18"/>
      <c r="S107" s="28" t="s">
        <v>108</v>
      </c>
      <c r="T107" s="18"/>
      <c r="U107" s="28" t="s">
        <v>108</v>
      </c>
      <c r="V107" s="18"/>
      <c r="W107" s="28" t="s">
        <v>108</v>
      </c>
      <c r="X107" s="18"/>
      <c r="Y107" s="28" t="s">
        <v>14</v>
      </c>
      <c r="Z107" s="18"/>
      <c r="AA107" s="28" t="s">
        <v>108</v>
      </c>
      <c r="AB107" s="18"/>
      <c r="AC107" s="28" t="s">
        <v>108</v>
      </c>
      <c r="AD107" s="18"/>
      <c r="AE107" s="28" t="s">
        <v>108</v>
      </c>
      <c r="AF107" s="47" t="str">
        <f t="shared" si="16"/>
        <v>C</v>
      </c>
      <c r="AG107" s="8" t="str">
        <f t="shared" si="15"/>
        <v>UTILIZOU O PDA CORRETAMENTE</v>
      </c>
      <c r="AH107" s="26" t="s">
        <v>108</v>
      </c>
      <c r="AI107" s="66" t="s">
        <v>1</v>
      </c>
      <c r="AJ107" s="22" t="str">
        <f t="shared" si="17"/>
        <v>GUARULHOS</v>
      </c>
      <c r="AK107" s="69" t="s">
        <v>4</v>
      </c>
    </row>
    <row r="108" spans="1:37" ht="30" customHeight="1" x14ac:dyDescent="0.2">
      <c r="A108" s="83" t="s">
        <v>101</v>
      </c>
      <c r="B108" s="83">
        <v>2614788070</v>
      </c>
      <c r="C108" s="83" t="s">
        <v>47</v>
      </c>
      <c r="D108" s="83" t="s">
        <v>29</v>
      </c>
      <c r="E108" s="83" t="s">
        <v>102</v>
      </c>
      <c r="F108" s="83" t="s">
        <v>506</v>
      </c>
      <c r="G108" s="83">
        <v>83</v>
      </c>
      <c r="H108" s="83" t="s">
        <v>507</v>
      </c>
      <c r="I108" s="83" t="s">
        <v>301</v>
      </c>
      <c r="J108" s="83" t="s">
        <v>170</v>
      </c>
      <c r="K108" s="83" t="s">
        <v>117</v>
      </c>
      <c r="L108" s="84" t="s">
        <v>480</v>
      </c>
      <c r="M108" s="84">
        <v>46238.65902777778</v>
      </c>
      <c r="N108" s="83" t="s">
        <v>180</v>
      </c>
      <c r="O108" s="36" t="s">
        <v>108</v>
      </c>
      <c r="P108" s="18"/>
      <c r="Q108" s="28" t="s">
        <v>108</v>
      </c>
      <c r="R108" s="18"/>
      <c r="S108" s="28" t="s">
        <v>108</v>
      </c>
      <c r="T108" s="18"/>
      <c r="U108" s="28" t="s">
        <v>108</v>
      </c>
      <c r="V108" s="18"/>
      <c r="W108" s="28" t="s">
        <v>108</v>
      </c>
      <c r="X108" s="18"/>
      <c r="Y108" s="28" t="s">
        <v>14</v>
      </c>
      <c r="Z108" s="18"/>
      <c r="AA108" s="28" t="s">
        <v>108</v>
      </c>
      <c r="AB108" s="18"/>
      <c r="AC108" s="28" t="s">
        <v>108</v>
      </c>
      <c r="AD108" s="18"/>
      <c r="AE108" s="28" t="s">
        <v>108</v>
      </c>
      <c r="AF108" s="47" t="str">
        <f t="shared" si="16"/>
        <v>C</v>
      </c>
      <c r="AG108" s="8" t="str">
        <f t="shared" si="15"/>
        <v>UTILIZOU O PDA CORRETAMENTE</v>
      </c>
      <c r="AH108" s="26" t="s">
        <v>108</v>
      </c>
      <c r="AI108" s="66" t="s">
        <v>1</v>
      </c>
      <c r="AJ108" s="22" t="str">
        <f t="shared" si="17"/>
        <v>GUARULHOS</v>
      </c>
      <c r="AK108" s="69" t="s">
        <v>4</v>
      </c>
    </row>
    <row r="109" spans="1:37" ht="30" customHeight="1" x14ac:dyDescent="0.25">
      <c r="A109" s="83" t="s">
        <v>101</v>
      </c>
      <c r="B109" s="83">
        <v>2614800624</v>
      </c>
      <c r="C109" s="83" t="s">
        <v>508</v>
      </c>
      <c r="D109" s="83" t="s">
        <v>28</v>
      </c>
      <c r="E109" s="83" t="s">
        <v>102</v>
      </c>
      <c r="F109" s="83" t="s">
        <v>509</v>
      </c>
      <c r="G109" s="83">
        <v>349</v>
      </c>
      <c r="H109" s="83" t="s">
        <v>138</v>
      </c>
      <c r="I109" s="83" t="s">
        <v>162</v>
      </c>
      <c r="J109" s="83" t="s">
        <v>510</v>
      </c>
      <c r="K109" s="83" t="s">
        <v>511</v>
      </c>
      <c r="L109" s="84" t="s">
        <v>480</v>
      </c>
      <c r="M109" s="84">
        <v>46238.542361111111</v>
      </c>
      <c r="N109" s="83" t="s">
        <v>452</v>
      </c>
      <c r="O109" s="36" t="s">
        <v>14</v>
      </c>
      <c r="P109" s="63"/>
      <c r="Q109" s="37" t="s">
        <v>14</v>
      </c>
      <c r="R109" s="37"/>
      <c r="S109" s="37" t="s">
        <v>14</v>
      </c>
      <c r="T109" s="64"/>
      <c r="U109" s="37" t="s">
        <v>14</v>
      </c>
      <c r="V109" s="37"/>
      <c r="W109" s="37" t="s">
        <v>14</v>
      </c>
      <c r="X109" s="64"/>
      <c r="Y109" s="37" t="s">
        <v>14</v>
      </c>
      <c r="Z109" s="64"/>
      <c r="AA109" s="37" t="s">
        <v>14</v>
      </c>
      <c r="AB109" s="64"/>
      <c r="AC109" s="64" t="s">
        <v>14</v>
      </c>
      <c r="AD109" s="64"/>
      <c r="AE109" s="63" t="s">
        <v>14</v>
      </c>
      <c r="AF109" s="47" t="str">
        <f t="shared" si="16"/>
        <v>NA</v>
      </c>
      <c r="AG109" s="8" t="str">
        <f t="shared" si="15"/>
        <v>NÃO AVALIADO POR FALHA DE SINCRONISMO</v>
      </c>
      <c r="AH109" s="28" t="s">
        <v>108</v>
      </c>
      <c r="AI109" s="66" t="s">
        <v>1</v>
      </c>
      <c r="AJ109" s="22" t="str">
        <f t="shared" si="17"/>
        <v>GUARULHOS</v>
      </c>
      <c r="AK109" s="69" t="s">
        <v>4</v>
      </c>
    </row>
    <row r="110" spans="1:37" ht="30" customHeight="1" x14ac:dyDescent="0.2">
      <c r="A110" s="83" t="s">
        <v>101</v>
      </c>
      <c r="B110" s="83">
        <v>2614802195</v>
      </c>
      <c r="C110" s="83" t="s">
        <v>50</v>
      </c>
      <c r="D110" s="83" t="s">
        <v>29</v>
      </c>
      <c r="E110" s="83" t="s">
        <v>102</v>
      </c>
      <c r="F110" s="83" t="s">
        <v>125</v>
      </c>
      <c r="G110" s="83">
        <v>221</v>
      </c>
      <c r="H110" s="83"/>
      <c r="I110" s="83" t="s">
        <v>127</v>
      </c>
      <c r="J110" s="83" t="s">
        <v>130</v>
      </c>
      <c r="K110" s="83" t="s">
        <v>514</v>
      </c>
      <c r="L110" s="84" t="s">
        <v>480</v>
      </c>
      <c r="M110" s="84">
        <v>46238.647222222222</v>
      </c>
      <c r="N110" s="83" t="s">
        <v>297</v>
      </c>
      <c r="O110" s="36" t="s">
        <v>108</v>
      </c>
      <c r="P110" s="18"/>
      <c r="Q110" s="28" t="s">
        <v>108</v>
      </c>
      <c r="R110" s="18"/>
      <c r="S110" s="28" t="s">
        <v>108</v>
      </c>
      <c r="T110" s="18"/>
      <c r="U110" s="28" t="s">
        <v>108</v>
      </c>
      <c r="V110" s="18"/>
      <c r="W110" s="28" t="s">
        <v>108</v>
      </c>
      <c r="X110" s="18"/>
      <c r="Y110" s="28" t="s">
        <v>14</v>
      </c>
      <c r="Z110" s="18"/>
      <c r="AA110" s="28" t="s">
        <v>108</v>
      </c>
      <c r="AB110" s="18"/>
      <c r="AC110" s="28" t="s">
        <v>108</v>
      </c>
      <c r="AD110" s="18"/>
      <c r="AE110" s="28" t="s">
        <v>108</v>
      </c>
      <c r="AF110" s="47" t="str">
        <f t="shared" si="16"/>
        <v>C</v>
      </c>
      <c r="AG110" s="8" t="str">
        <f t="shared" si="15"/>
        <v>UTILIZOU O PDA CORRETAMENTE</v>
      </c>
      <c r="AH110" s="26" t="s">
        <v>108</v>
      </c>
      <c r="AI110" s="66" t="s">
        <v>1</v>
      </c>
      <c r="AJ110" s="22" t="str">
        <f t="shared" si="17"/>
        <v>GUARULHOS</v>
      </c>
      <c r="AK110" s="69" t="s">
        <v>4</v>
      </c>
    </row>
    <row r="111" spans="1:37" ht="30" customHeight="1" x14ac:dyDescent="0.2">
      <c r="A111" s="83" t="s">
        <v>101</v>
      </c>
      <c r="B111" s="83">
        <v>2689925023</v>
      </c>
      <c r="C111" s="83" t="s">
        <v>47</v>
      </c>
      <c r="D111" s="83" t="s">
        <v>29</v>
      </c>
      <c r="E111" s="83" t="s">
        <v>102</v>
      </c>
      <c r="F111" s="83" t="s">
        <v>519</v>
      </c>
      <c r="G111" s="83">
        <v>23</v>
      </c>
      <c r="H111" s="83" t="s">
        <v>117</v>
      </c>
      <c r="I111" s="83" t="s">
        <v>520</v>
      </c>
      <c r="J111" s="83" t="s">
        <v>170</v>
      </c>
      <c r="K111" s="83" t="s">
        <v>117</v>
      </c>
      <c r="L111" s="84" t="s">
        <v>480</v>
      </c>
      <c r="M111" s="84">
        <v>46238.699305555558</v>
      </c>
      <c r="N111" s="83" t="s">
        <v>192</v>
      </c>
      <c r="O111" s="36" t="s">
        <v>108</v>
      </c>
      <c r="P111" s="18"/>
      <c r="Q111" s="28" t="s">
        <v>108</v>
      </c>
      <c r="R111" s="18"/>
      <c r="S111" s="28" t="s">
        <v>108</v>
      </c>
      <c r="T111" s="18"/>
      <c r="U111" s="28" t="s">
        <v>108</v>
      </c>
      <c r="V111" s="18"/>
      <c r="W111" s="28" t="s">
        <v>108</v>
      </c>
      <c r="X111" s="18"/>
      <c r="Y111" s="28" t="s">
        <v>14</v>
      </c>
      <c r="Z111" s="18"/>
      <c r="AA111" s="28" t="s">
        <v>108</v>
      </c>
      <c r="AB111" s="18"/>
      <c r="AC111" s="28" t="s">
        <v>108</v>
      </c>
      <c r="AD111" s="18"/>
      <c r="AE111" s="28" t="s">
        <v>108</v>
      </c>
      <c r="AF111" s="47" t="str">
        <f t="shared" si="16"/>
        <v>C</v>
      </c>
      <c r="AG111" s="8" t="str">
        <f t="shared" si="15"/>
        <v>UTILIZOU O PDA CORRETAMENTE</v>
      </c>
      <c r="AH111" s="26" t="s">
        <v>108</v>
      </c>
      <c r="AI111" s="66" t="s">
        <v>1</v>
      </c>
      <c r="AJ111" s="22" t="str">
        <f t="shared" si="17"/>
        <v>GUARULHOS</v>
      </c>
      <c r="AK111" s="69" t="s">
        <v>4</v>
      </c>
    </row>
    <row r="112" spans="1:37" ht="30" customHeight="1" x14ac:dyDescent="0.2">
      <c r="A112" s="83" t="s">
        <v>101</v>
      </c>
      <c r="B112" s="83">
        <v>2689800455</v>
      </c>
      <c r="C112" s="83" t="s">
        <v>43</v>
      </c>
      <c r="D112" s="83" t="s">
        <v>29</v>
      </c>
      <c r="E112" s="83" t="s">
        <v>102</v>
      </c>
      <c r="F112" s="83" t="s">
        <v>521</v>
      </c>
      <c r="G112" s="83">
        <v>33</v>
      </c>
      <c r="H112" s="83" t="s">
        <v>522</v>
      </c>
      <c r="I112" s="83" t="s">
        <v>523</v>
      </c>
      <c r="J112" s="83" t="s">
        <v>188</v>
      </c>
      <c r="K112" s="83" t="s">
        <v>524</v>
      </c>
      <c r="L112" s="84" t="s">
        <v>480</v>
      </c>
      <c r="M112" s="84">
        <v>46238.395833333336</v>
      </c>
      <c r="N112" s="83" t="s">
        <v>253</v>
      </c>
      <c r="O112" s="35" t="s">
        <v>108</v>
      </c>
      <c r="P112" s="25"/>
      <c r="Q112" s="26" t="s">
        <v>108</v>
      </c>
      <c r="R112" s="25"/>
      <c r="S112" s="26" t="s">
        <v>108</v>
      </c>
      <c r="T112" s="25"/>
      <c r="U112" s="26" t="s">
        <v>108</v>
      </c>
      <c r="V112" s="25"/>
      <c r="W112" s="26" t="s">
        <v>108</v>
      </c>
      <c r="X112" s="25"/>
      <c r="Y112" s="26" t="s">
        <v>108</v>
      </c>
      <c r="Z112" s="25"/>
      <c r="AA112" s="26" t="s">
        <v>108</v>
      </c>
      <c r="AB112" s="25"/>
      <c r="AC112" s="26" t="s">
        <v>108</v>
      </c>
      <c r="AD112" s="10"/>
      <c r="AE112" s="26" t="s">
        <v>108</v>
      </c>
      <c r="AF112" s="47" t="str">
        <f t="shared" si="16"/>
        <v>C</v>
      </c>
      <c r="AG112" s="8" t="str">
        <f t="shared" si="15"/>
        <v>UTILIZOU O PDA CORRETAMENTE</v>
      </c>
      <c r="AH112" s="26" t="s">
        <v>108</v>
      </c>
      <c r="AI112" s="66" t="s">
        <v>1</v>
      </c>
      <c r="AJ112" s="22" t="str">
        <f t="shared" si="17"/>
        <v>GUARULHOS</v>
      </c>
      <c r="AK112" s="69" t="s">
        <v>4</v>
      </c>
    </row>
    <row r="113" spans="1:37" ht="30" customHeight="1" x14ac:dyDescent="0.2">
      <c r="A113" s="83" t="s">
        <v>101</v>
      </c>
      <c r="B113" s="83">
        <v>2614815931</v>
      </c>
      <c r="C113" s="83" t="s">
        <v>47</v>
      </c>
      <c r="D113" s="83" t="s">
        <v>29</v>
      </c>
      <c r="E113" s="83" t="s">
        <v>102</v>
      </c>
      <c r="F113" s="83" t="s">
        <v>525</v>
      </c>
      <c r="G113" s="83">
        <v>617</v>
      </c>
      <c r="H113" s="83" t="s">
        <v>526</v>
      </c>
      <c r="I113" s="83" t="s">
        <v>204</v>
      </c>
      <c r="J113" s="83" t="s">
        <v>170</v>
      </c>
      <c r="K113" s="83" t="s">
        <v>117</v>
      </c>
      <c r="L113" s="84" t="s">
        <v>480</v>
      </c>
      <c r="M113" s="84">
        <v>46238.813194444447</v>
      </c>
      <c r="N113" s="83" t="s">
        <v>253</v>
      </c>
      <c r="O113" s="36" t="s">
        <v>108</v>
      </c>
      <c r="P113" s="18"/>
      <c r="Q113" s="28" t="s">
        <v>108</v>
      </c>
      <c r="R113" s="18"/>
      <c r="S113" s="28" t="s">
        <v>108</v>
      </c>
      <c r="T113" s="18"/>
      <c r="U113" s="28" t="s">
        <v>108</v>
      </c>
      <c r="V113" s="18"/>
      <c r="W113" s="28" t="s">
        <v>108</v>
      </c>
      <c r="X113" s="18"/>
      <c r="Y113" s="28" t="s">
        <v>14</v>
      </c>
      <c r="Z113" s="18"/>
      <c r="AA113" s="28" t="s">
        <v>108</v>
      </c>
      <c r="AB113" s="18"/>
      <c r="AC113" s="28" t="s">
        <v>108</v>
      </c>
      <c r="AD113" s="18"/>
      <c r="AE113" s="28" t="s">
        <v>108</v>
      </c>
      <c r="AF113" s="47" t="str">
        <f t="shared" si="16"/>
        <v>C</v>
      </c>
      <c r="AG113" s="8" t="str">
        <f t="shared" si="15"/>
        <v>UTILIZOU O PDA CORRETAMENTE</v>
      </c>
      <c r="AH113" s="26" t="s">
        <v>108</v>
      </c>
      <c r="AI113" s="66" t="s">
        <v>1</v>
      </c>
      <c r="AJ113" s="22" t="str">
        <f t="shared" si="17"/>
        <v>GUARULHOS</v>
      </c>
      <c r="AK113" s="69" t="s">
        <v>4</v>
      </c>
    </row>
    <row r="114" spans="1:37" ht="30" customHeight="1" x14ac:dyDescent="0.2">
      <c r="A114" s="83" t="s">
        <v>101</v>
      </c>
      <c r="B114" s="83">
        <v>2689965527</v>
      </c>
      <c r="C114" s="83" t="s">
        <v>47</v>
      </c>
      <c r="D114" s="83" t="s">
        <v>29</v>
      </c>
      <c r="E114" s="83" t="s">
        <v>102</v>
      </c>
      <c r="F114" s="83" t="s">
        <v>378</v>
      </c>
      <c r="G114" s="83">
        <v>239</v>
      </c>
      <c r="H114" s="83" t="s">
        <v>528</v>
      </c>
      <c r="I114" s="83" t="s">
        <v>216</v>
      </c>
      <c r="J114" s="83" t="s">
        <v>170</v>
      </c>
      <c r="K114" s="83" t="s">
        <v>117</v>
      </c>
      <c r="L114" s="84" t="s">
        <v>527</v>
      </c>
      <c r="M114" s="84">
        <v>46269.511111111111</v>
      </c>
      <c r="N114" s="83" t="s">
        <v>140</v>
      </c>
      <c r="O114" s="36" t="s">
        <v>108</v>
      </c>
      <c r="P114" s="18"/>
      <c r="Q114" s="28" t="s">
        <v>108</v>
      </c>
      <c r="R114" s="18"/>
      <c r="S114" s="28" t="s">
        <v>108</v>
      </c>
      <c r="T114" s="18"/>
      <c r="U114" s="28" t="s">
        <v>108</v>
      </c>
      <c r="V114" s="18"/>
      <c r="W114" s="28" t="s">
        <v>108</v>
      </c>
      <c r="X114" s="18"/>
      <c r="Y114" s="28" t="s">
        <v>14</v>
      </c>
      <c r="Z114" s="18"/>
      <c r="AA114" s="28" t="s">
        <v>108</v>
      </c>
      <c r="AB114" s="18"/>
      <c r="AC114" s="28" t="s">
        <v>108</v>
      </c>
      <c r="AD114" s="18"/>
      <c r="AE114" s="28" t="s">
        <v>108</v>
      </c>
      <c r="AF114" s="47" t="str">
        <f t="shared" si="16"/>
        <v>C</v>
      </c>
      <c r="AG114" s="8" t="str">
        <f t="shared" si="15"/>
        <v>UTILIZOU O PDA CORRETAMENTE</v>
      </c>
      <c r="AH114" s="26" t="s">
        <v>108</v>
      </c>
      <c r="AI114" s="66" t="s">
        <v>1</v>
      </c>
      <c r="AJ114" s="22" t="str">
        <f t="shared" si="17"/>
        <v>GUARULHOS</v>
      </c>
      <c r="AK114" s="69" t="s">
        <v>4</v>
      </c>
    </row>
    <row r="115" spans="1:37" ht="30" customHeight="1" x14ac:dyDescent="0.2">
      <c r="A115" s="83" t="s">
        <v>101</v>
      </c>
      <c r="B115" s="83">
        <v>2689982874</v>
      </c>
      <c r="C115" s="83" t="s">
        <v>47</v>
      </c>
      <c r="D115" s="83" t="s">
        <v>29</v>
      </c>
      <c r="E115" s="83" t="s">
        <v>102</v>
      </c>
      <c r="F115" s="83" t="s">
        <v>529</v>
      </c>
      <c r="G115" s="83">
        <v>75</v>
      </c>
      <c r="H115" s="83" t="s">
        <v>530</v>
      </c>
      <c r="I115" s="83" t="s">
        <v>531</v>
      </c>
      <c r="J115" s="83" t="s">
        <v>170</v>
      </c>
      <c r="K115" s="83"/>
      <c r="L115" s="84" t="s">
        <v>527</v>
      </c>
      <c r="M115" s="84">
        <v>46269.559027777781</v>
      </c>
      <c r="N115" s="83" t="s">
        <v>253</v>
      </c>
      <c r="O115" s="36" t="s">
        <v>108</v>
      </c>
      <c r="P115" s="18"/>
      <c r="Q115" s="28" t="s">
        <v>108</v>
      </c>
      <c r="R115" s="18"/>
      <c r="S115" s="28" t="s">
        <v>108</v>
      </c>
      <c r="T115" s="18"/>
      <c r="U115" s="28" t="s">
        <v>108</v>
      </c>
      <c r="V115" s="18"/>
      <c r="W115" s="28" t="s">
        <v>108</v>
      </c>
      <c r="X115" s="18"/>
      <c r="Y115" s="28" t="s">
        <v>14</v>
      </c>
      <c r="Z115" s="18"/>
      <c r="AA115" s="28" t="s">
        <v>108</v>
      </c>
      <c r="AB115" s="18"/>
      <c r="AC115" s="28" t="s">
        <v>108</v>
      </c>
      <c r="AD115" s="18"/>
      <c r="AE115" s="28" t="s">
        <v>108</v>
      </c>
      <c r="AF115" s="47" t="str">
        <f t="shared" si="16"/>
        <v>C</v>
      </c>
      <c r="AG115" s="8" t="str">
        <f t="shared" si="15"/>
        <v>UTILIZOU O PDA CORRETAMENTE</v>
      </c>
      <c r="AH115" s="26" t="s">
        <v>108</v>
      </c>
      <c r="AI115" s="66" t="s">
        <v>1</v>
      </c>
      <c r="AJ115" s="22" t="str">
        <f t="shared" si="17"/>
        <v>GUARULHOS</v>
      </c>
      <c r="AK115" s="69" t="s">
        <v>4</v>
      </c>
    </row>
    <row r="116" spans="1:37" ht="30" customHeight="1" x14ac:dyDescent="0.2">
      <c r="A116" s="83" t="s">
        <v>101</v>
      </c>
      <c r="B116" s="83">
        <v>2614837860</v>
      </c>
      <c r="C116" s="83" t="s">
        <v>51</v>
      </c>
      <c r="D116" s="83" t="s">
        <v>29</v>
      </c>
      <c r="E116" s="83" t="s">
        <v>102</v>
      </c>
      <c r="F116" s="83" t="s">
        <v>311</v>
      </c>
      <c r="G116" s="83">
        <v>277</v>
      </c>
      <c r="H116" s="83" t="s">
        <v>533</v>
      </c>
      <c r="I116" s="83" t="s">
        <v>204</v>
      </c>
      <c r="J116" s="83" t="s">
        <v>170</v>
      </c>
      <c r="K116" s="83"/>
      <c r="L116" s="84" t="s">
        <v>527</v>
      </c>
      <c r="M116" s="84">
        <v>46269.449305555558</v>
      </c>
      <c r="N116" s="83" t="s">
        <v>192</v>
      </c>
      <c r="O116" s="36" t="s">
        <v>108</v>
      </c>
      <c r="P116" s="18"/>
      <c r="Q116" s="28" t="s">
        <v>108</v>
      </c>
      <c r="R116" s="18"/>
      <c r="S116" s="28" t="s">
        <v>108</v>
      </c>
      <c r="T116" s="18"/>
      <c r="U116" s="28" t="s">
        <v>108</v>
      </c>
      <c r="V116" s="18"/>
      <c r="W116" s="28" t="s">
        <v>108</v>
      </c>
      <c r="X116" s="18"/>
      <c r="Y116" s="28" t="s">
        <v>14</v>
      </c>
      <c r="Z116" s="18"/>
      <c r="AA116" s="28" t="s">
        <v>108</v>
      </c>
      <c r="AB116" s="18"/>
      <c r="AC116" s="28" t="s">
        <v>108</v>
      </c>
      <c r="AD116" s="18"/>
      <c r="AE116" s="28" t="s">
        <v>108</v>
      </c>
      <c r="AF116" s="47" t="str">
        <f t="shared" si="16"/>
        <v>C</v>
      </c>
      <c r="AG116" s="8" t="str">
        <f t="shared" si="15"/>
        <v>UTILIZOU O PDA CORRETAMENTE</v>
      </c>
      <c r="AH116" s="26" t="s">
        <v>108</v>
      </c>
      <c r="AI116" s="66" t="s">
        <v>1</v>
      </c>
      <c r="AJ116" s="22" t="str">
        <f t="shared" si="17"/>
        <v>GUARULHOS</v>
      </c>
      <c r="AK116" s="69" t="s">
        <v>4</v>
      </c>
    </row>
    <row r="117" spans="1:37" ht="30" customHeight="1" x14ac:dyDescent="0.2">
      <c r="A117" s="83" t="s">
        <v>101</v>
      </c>
      <c r="B117" s="83">
        <v>2614847108</v>
      </c>
      <c r="C117" s="83" t="s">
        <v>43</v>
      </c>
      <c r="D117" s="83" t="s">
        <v>29</v>
      </c>
      <c r="E117" s="83" t="s">
        <v>102</v>
      </c>
      <c r="F117" s="83" t="s">
        <v>534</v>
      </c>
      <c r="G117" s="83">
        <v>95</v>
      </c>
      <c r="H117" s="83" t="s">
        <v>117</v>
      </c>
      <c r="I117" s="83" t="s">
        <v>154</v>
      </c>
      <c r="J117" s="83" t="s">
        <v>188</v>
      </c>
      <c r="K117" s="83" t="s">
        <v>117</v>
      </c>
      <c r="L117" s="84" t="s">
        <v>527</v>
      </c>
      <c r="M117" s="84">
        <v>46269.49722222222</v>
      </c>
      <c r="N117" s="83" t="s">
        <v>231</v>
      </c>
      <c r="O117" s="35" t="s">
        <v>108</v>
      </c>
      <c r="P117" s="25"/>
      <c r="Q117" s="26" t="s">
        <v>108</v>
      </c>
      <c r="R117" s="25"/>
      <c r="S117" s="26" t="s">
        <v>108</v>
      </c>
      <c r="T117" s="25"/>
      <c r="U117" s="26" t="s">
        <v>108</v>
      </c>
      <c r="V117" s="25"/>
      <c r="W117" s="26" t="s">
        <v>108</v>
      </c>
      <c r="X117" s="25"/>
      <c r="Y117" s="26" t="s">
        <v>108</v>
      </c>
      <c r="Z117" s="25"/>
      <c r="AA117" s="26" t="s">
        <v>108</v>
      </c>
      <c r="AB117" s="25"/>
      <c r="AC117" s="26" t="s">
        <v>108</v>
      </c>
      <c r="AD117" s="10"/>
      <c r="AE117" s="26" t="s">
        <v>108</v>
      </c>
      <c r="AF117" s="47" t="str">
        <f t="shared" si="16"/>
        <v>C</v>
      </c>
      <c r="AG117" s="8" t="str">
        <f t="shared" si="15"/>
        <v>UTILIZOU O PDA CORRETAMENTE</v>
      </c>
      <c r="AH117" s="26" t="s">
        <v>108</v>
      </c>
      <c r="AI117" s="66" t="s">
        <v>1</v>
      </c>
      <c r="AJ117" s="22" t="str">
        <f t="shared" si="17"/>
        <v>GUARULHOS</v>
      </c>
      <c r="AK117" s="69" t="s">
        <v>4</v>
      </c>
    </row>
    <row r="118" spans="1:37" ht="30" customHeight="1" x14ac:dyDescent="0.2">
      <c r="A118" s="83" t="s">
        <v>101</v>
      </c>
      <c r="B118" s="83">
        <v>2614843548</v>
      </c>
      <c r="C118" s="83" t="s">
        <v>47</v>
      </c>
      <c r="D118" s="83" t="s">
        <v>29</v>
      </c>
      <c r="E118" s="83" t="s">
        <v>102</v>
      </c>
      <c r="F118" s="83" t="s">
        <v>535</v>
      </c>
      <c r="G118" s="83">
        <v>124</v>
      </c>
      <c r="H118" s="83" t="s">
        <v>174</v>
      </c>
      <c r="I118" s="83" t="s">
        <v>536</v>
      </c>
      <c r="J118" s="83" t="s">
        <v>170</v>
      </c>
      <c r="K118" s="83"/>
      <c r="L118" s="84" t="s">
        <v>527</v>
      </c>
      <c r="M118" s="84">
        <v>46269.399305555555</v>
      </c>
      <c r="N118" s="83" t="s">
        <v>131</v>
      </c>
      <c r="O118" s="36" t="s">
        <v>108</v>
      </c>
      <c r="P118" s="18"/>
      <c r="Q118" s="28" t="s">
        <v>108</v>
      </c>
      <c r="R118" s="18"/>
      <c r="S118" s="28" t="s">
        <v>108</v>
      </c>
      <c r="T118" s="18"/>
      <c r="U118" s="28" t="s">
        <v>108</v>
      </c>
      <c r="V118" s="18"/>
      <c r="W118" s="28" t="s">
        <v>108</v>
      </c>
      <c r="X118" s="18"/>
      <c r="Y118" s="28" t="s">
        <v>14</v>
      </c>
      <c r="Z118" s="18"/>
      <c r="AA118" s="28" t="s">
        <v>108</v>
      </c>
      <c r="AB118" s="18"/>
      <c r="AC118" s="28" t="s">
        <v>108</v>
      </c>
      <c r="AD118" s="18"/>
      <c r="AE118" s="28" t="s">
        <v>108</v>
      </c>
      <c r="AF118" s="47" t="str">
        <f t="shared" si="16"/>
        <v>C</v>
      </c>
      <c r="AG118" s="8" t="str">
        <f t="shared" si="15"/>
        <v>UTILIZOU O PDA CORRETAMENTE</v>
      </c>
      <c r="AH118" s="26" t="s">
        <v>108</v>
      </c>
      <c r="AI118" s="66" t="s">
        <v>1</v>
      </c>
      <c r="AJ118" s="22" t="str">
        <f t="shared" si="17"/>
        <v>GUARULHOS</v>
      </c>
      <c r="AK118" s="69" t="s">
        <v>4</v>
      </c>
    </row>
    <row r="119" spans="1:37" ht="30" customHeight="1" x14ac:dyDescent="0.2">
      <c r="A119" s="83" t="s">
        <v>101</v>
      </c>
      <c r="B119" s="83">
        <v>2689973327</v>
      </c>
      <c r="C119" s="83" t="s">
        <v>51</v>
      </c>
      <c r="D119" s="83" t="s">
        <v>29</v>
      </c>
      <c r="E119" s="83" t="s">
        <v>102</v>
      </c>
      <c r="F119" s="83" t="s">
        <v>537</v>
      </c>
      <c r="G119" s="83">
        <v>193</v>
      </c>
      <c r="H119" s="83" t="s">
        <v>538</v>
      </c>
      <c r="I119" s="83" t="s">
        <v>264</v>
      </c>
      <c r="J119" s="83" t="s">
        <v>170</v>
      </c>
      <c r="K119" s="83" t="s">
        <v>117</v>
      </c>
      <c r="L119" s="84" t="s">
        <v>527</v>
      </c>
      <c r="M119" s="84">
        <v>46269.549305555556</v>
      </c>
      <c r="N119" s="83" t="s">
        <v>160</v>
      </c>
      <c r="O119" s="36" t="s">
        <v>108</v>
      </c>
      <c r="P119" s="18"/>
      <c r="Q119" s="28" t="s">
        <v>108</v>
      </c>
      <c r="R119" s="18"/>
      <c r="S119" s="28" t="s">
        <v>108</v>
      </c>
      <c r="T119" s="18"/>
      <c r="U119" s="28" t="s">
        <v>108</v>
      </c>
      <c r="V119" s="18"/>
      <c r="W119" s="28" t="s">
        <v>108</v>
      </c>
      <c r="X119" s="18"/>
      <c r="Y119" s="28" t="s">
        <v>14</v>
      </c>
      <c r="Z119" s="18"/>
      <c r="AA119" s="28" t="s">
        <v>108</v>
      </c>
      <c r="AB119" s="18"/>
      <c r="AC119" s="28" t="s">
        <v>108</v>
      </c>
      <c r="AD119" s="18"/>
      <c r="AE119" s="28" t="s">
        <v>108</v>
      </c>
      <c r="AF119" s="47" t="str">
        <f t="shared" si="16"/>
        <v>C</v>
      </c>
      <c r="AG119" s="8" t="str">
        <f t="shared" si="15"/>
        <v>UTILIZOU O PDA CORRETAMENTE</v>
      </c>
      <c r="AH119" s="26" t="s">
        <v>108</v>
      </c>
      <c r="AI119" s="66" t="s">
        <v>1</v>
      </c>
      <c r="AJ119" s="22" t="str">
        <f t="shared" si="17"/>
        <v>GUARULHOS</v>
      </c>
      <c r="AK119" s="69" t="s">
        <v>4</v>
      </c>
    </row>
    <row r="120" spans="1:37" ht="30" customHeight="1" x14ac:dyDescent="0.2">
      <c r="A120" s="83" t="s">
        <v>101</v>
      </c>
      <c r="B120" s="83">
        <v>269207645</v>
      </c>
      <c r="C120" s="83" t="s">
        <v>38</v>
      </c>
      <c r="D120" s="83" t="s">
        <v>25</v>
      </c>
      <c r="E120" s="83" t="s">
        <v>102</v>
      </c>
      <c r="F120" s="83" t="s">
        <v>539</v>
      </c>
      <c r="G120" s="83">
        <v>358</v>
      </c>
      <c r="H120" s="83" t="s">
        <v>540</v>
      </c>
      <c r="I120" s="83" t="s">
        <v>516</v>
      </c>
      <c r="J120" s="83" t="s">
        <v>309</v>
      </c>
      <c r="K120" s="83" t="s">
        <v>541</v>
      </c>
      <c r="L120" s="84" t="s">
        <v>527</v>
      </c>
      <c r="M120" s="84">
        <v>46269.415972222225</v>
      </c>
      <c r="N120" s="83" t="s">
        <v>107</v>
      </c>
      <c r="O120" s="36" t="s">
        <v>108</v>
      </c>
      <c r="P120" s="18"/>
      <c r="Q120" s="28" t="s">
        <v>108</v>
      </c>
      <c r="R120" s="18"/>
      <c r="S120" s="28" t="s">
        <v>108</v>
      </c>
      <c r="T120" s="18"/>
      <c r="U120" s="28" t="s">
        <v>108</v>
      </c>
      <c r="V120" s="18"/>
      <c r="W120" s="28" t="s">
        <v>108</v>
      </c>
      <c r="X120" s="18"/>
      <c r="Y120" s="28" t="s">
        <v>542</v>
      </c>
      <c r="Z120" s="18"/>
      <c r="AA120" s="28" t="s">
        <v>108</v>
      </c>
      <c r="AB120" s="18"/>
      <c r="AC120" s="28" t="s">
        <v>108</v>
      </c>
      <c r="AD120" s="18"/>
      <c r="AE120" s="28" t="s">
        <v>108</v>
      </c>
      <c r="AF120" s="47" t="str">
        <f t="shared" si="16"/>
        <v>C</v>
      </c>
      <c r="AG120" s="8" t="str">
        <f t="shared" si="15"/>
        <v>UTILIZOU O PDA CORRETAMENTE</v>
      </c>
      <c r="AH120" s="28" t="s">
        <v>108</v>
      </c>
      <c r="AI120" s="66" t="s">
        <v>1</v>
      </c>
      <c r="AJ120" s="22" t="str">
        <f t="shared" si="17"/>
        <v>GUARULHOS</v>
      </c>
      <c r="AK120" s="69" t="s">
        <v>4</v>
      </c>
    </row>
    <row r="121" spans="1:37" ht="30" customHeight="1" x14ac:dyDescent="0.2">
      <c r="A121" s="83" t="s">
        <v>101</v>
      </c>
      <c r="B121" s="83">
        <v>2614462856</v>
      </c>
      <c r="C121" s="83" t="s">
        <v>33</v>
      </c>
      <c r="D121" s="83" t="s">
        <v>25</v>
      </c>
      <c r="E121" s="83" t="s">
        <v>102</v>
      </c>
      <c r="F121" s="83" t="s">
        <v>546</v>
      </c>
      <c r="G121" s="83">
        <v>402</v>
      </c>
      <c r="H121" s="83" t="s">
        <v>117</v>
      </c>
      <c r="I121" s="83" t="s">
        <v>264</v>
      </c>
      <c r="J121" s="83" t="s">
        <v>33</v>
      </c>
      <c r="K121" s="83" t="s">
        <v>117</v>
      </c>
      <c r="L121" s="84" t="s">
        <v>527</v>
      </c>
      <c r="M121" s="84">
        <v>46269.488194444442</v>
      </c>
      <c r="N121" s="83" t="s">
        <v>274</v>
      </c>
      <c r="O121" s="36" t="s">
        <v>108</v>
      </c>
      <c r="P121" s="18"/>
      <c r="Q121" s="28" t="s">
        <v>108</v>
      </c>
      <c r="R121" s="18"/>
      <c r="S121" s="28" t="s">
        <v>108</v>
      </c>
      <c r="T121" s="18"/>
      <c r="U121" s="28" t="s">
        <v>108</v>
      </c>
      <c r="V121" s="18"/>
      <c r="W121" s="28" t="s">
        <v>108</v>
      </c>
      <c r="X121" s="18"/>
      <c r="Y121" s="28" t="s">
        <v>108</v>
      </c>
      <c r="Z121" s="18"/>
      <c r="AA121" s="28" t="s">
        <v>108</v>
      </c>
      <c r="AB121" s="18"/>
      <c r="AC121" s="28" t="s">
        <v>108</v>
      </c>
      <c r="AD121" s="18"/>
      <c r="AE121" s="28" t="s">
        <v>108</v>
      </c>
      <c r="AF121" s="47" t="str">
        <f t="shared" si="16"/>
        <v>C</v>
      </c>
      <c r="AG121" s="8" t="str">
        <f t="shared" si="15"/>
        <v>UTILIZOU O PDA CORRETAMENTE</v>
      </c>
      <c r="AH121" s="28" t="s">
        <v>108</v>
      </c>
      <c r="AI121" s="66" t="s">
        <v>1</v>
      </c>
      <c r="AJ121" s="22" t="str">
        <f t="shared" si="17"/>
        <v>GUARULHOS</v>
      </c>
      <c r="AK121" s="69" t="s">
        <v>4</v>
      </c>
    </row>
    <row r="122" spans="1:37" ht="30" customHeight="1" x14ac:dyDescent="0.2">
      <c r="A122" s="83" t="s">
        <v>101</v>
      </c>
      <c r="B122" s="83">
        <v>2615085263</v>
      </c>
      <c r="C122" s="83" t="s">
        <v>45</v>
      </c>
      <c r="D122" s="83" t="s">
        <v>27</v>
      </c>
      <c r="E122" s="83" t="s">
        <v>102</v>
      </c>
      <c r="F122" s="83" t="s">
        <v>549</v>
      </c>
      <c r="G122" s="83">
        <v>202</v>
      </c>
      <c r="H122" s="83" t="s">
        <v>110</v>
      </c>
      <c r="I122" s="83" t="s">
        <v>104</v>
      </c>
      <c r="J122" s="83" t="s">
        <v>150</v>
      </c>
      <c r="K122" s="83" t="s">
        <v>550</v>
      </c>
      <c r="L122" s="84" t="s">
        <v>527</v>
      </c>
      <c r="M122" s="84">
        <v>46269.474999999999</v>
      </c>
      <c r="N122" s="83" t="s">
        <v>151</v>
      </c>
      <c r="O122" s="35" t="s">
        <v>214</v>
      </c>
      <c r="P122" s="25"/>
      <c r="Q122" s="26" t="s">
        <v>214</v>
      </c>
      <c r="R122" s="25"/>
      <c r="S122" s="26" t="s">
        <v>214</v>
      </c>
      <c r="T122" s="25"/>
      <c r="U122" s="26" t="s">
        <v>214</v>
      </c>
      <c r="V122" s="25"/>
      <c r="W122" s="26" t="s">
        <v>214</v>
      </c>
      <c r="X122" s="25"/>
      <c r="Y122" s="26" t="s">
        <v>214</v>
      </c>
      <c r="Z122" s="25"/>
      <c r="AA122" s="26" t="s">
        <v>214</v>
      </c>
      <c r="AB122" s="25"/>
      <c r="AC122" s="26" t="s">
        <v>214</v>
      </c>
      <c r="AD122" s="10"/>
      <c r="AE122" s="26" t="s">
        <v>114</v>
      </c>
      <c r="AF122" s="47" t="str">
        <f t="shared" si="16"/>
        <v>NC</v>
      </c>
      <c r="AG122" s="8" t="str">
        <f t="shared" si="15"/>
        <v>NÃO UTILIZOU O PDA</v>
      </c>
      <c r="AH122" s="26" t="s">
        <v>108</v>
      </c>
      <c r="AI122" s="66" t="s">
        <v>1</v>
      </c>
      <c r="AJ122" s="22" t="str">
        <f t="shared" si="17"/>
        <v>GUARULHOS</v>
      </c>
      <c r="AK122" s="69" t="s">
        <v>4</v>
      </c>
    </row>
    <row r="123" spans="1:37" ht="30" customHeight="1" x14ac:dyDescent="0.2">
      <c r="A123" s="83" t="s">
        <v>101</v>
      </c>
      <c r="B123" s="83">
        <v>2690085338</v>
      </c>
      <c r="C123" s="83" t="s">
        <v>47</v>
      </c>
      <c r="D123" s="83" t="s">
        <v>29</v>
      </c>
      <c r="E123" s="83" t="s">
        <v>102</v>
      </c>
      <c r="F123" s="83" t="s">
        <v>553</v>
      </c>
      <c r="G123" s="83">
        <v>132</v>
      </c>
      <c r="H123" s="83" t="s">
        <v>554</v>
      </c>
      <c r="I123" s="83" t="s">
        <v>277</v>
      </c>
      <c r="J123" s="83" t="s">
        <v>170</v>
      </c>
      <c r="K123" s="83" t="s">
        <v>383</v>
      </c>
      <c r="L123" s="84" t="s">
        <v>527</v>
      </c>
      <c r="M123" s="84">
        <v>46269.691666666666</v>
      </c>
      <c r="N123" s="83" t="s">
        <v>297</v>
      </c>
      <c r="O123" s="36" t="s">
        <v>108</v>
      </c>
      <c r="P123" s="18"/>
      <c r="Q123" s="28" t="s">
        <v>108</v>
      </c>
      <c r="R123" s="18"/>
      <c r="S123" s="28" t="s">
        <v>108</v>
      </c>
      <c r="T123" s="18"/>
      <c r="U123" s="28" t="s">
        <v>108</v>
      </c>
      <c r="V123" s="18"/>
      <c r="W123" s="28" t="s">
        <v>108</v>
      </c>
      <c r="X123" s="18"/>
      <c r="Y123" s="28" t="s">
        <v>14</v>
      </c>
      <c r="Z123" s="18"/>
      <c r="AA123" s="28" t="s">
        <v>108</v>
      </c>
      <c r="AB123" s="18"/>
      <c r="AC123" s="28" t="s">
        <v>108</v>
      </c>
      <c r="AD123" s="18"/>
      <c r="AE123" s="28" t="s">
        <v>108</v>
      </c>
      <c r="AF123" s="47" t="str">
        <f t="shared" si="16"/>
        <v>C</v>
      </c>
      <c r="AG123" s="8" t="str">
        <f t="shared" si="15"/>
        <v>UTILIZOU O PDA CORRETAMENTE</v>
      </c>
      <c r="AH123" s="26" t="s">
        <v>108</v>
      </c>
      <c r="AI123" s="66" t="s">
        <v>1</v>
      </c>
      <c r="AJ123" s="22" t="str">
        <f t="shared" si="17"/>
        <v>GUARULHOS</v>
      </c>
      <c r="AK123" s="69" t="s">
        <v>4</v>
      </c>
    </row>
    <row r="124" spans="1:37" ht="30" customHeight="1" x14ac:dyDescent="0.2">
      <c r="A124" s="83" t="s">
        <v>101</v>
      </c>
      <c r="B124" s="83">
        <v>2689970314</v>
      </c>
      <c r="C124" s="83" t="s">
        <v>43</v>
      </c>
      <c r="D124" s="83" t="s">
        <v>29</v>
      </c>
      <c r="E124" s="83" t="s">
        <v>102</v>
      </c>
      <c r="F124" s="83" t="s">
        <v>559</v>
      </c>
      <c r="G124" s="83">
        <v>128</v>
      </c>
      <c r="H124" s="83" t="s">
        <v>560</v>
      </c>
      <c r="I124" s="83" t="s">
        <v>367</v>
      </c>
      <c r="J124" s="83" t="s">
        <v>188</v>
      </c>
      <c r="K124" s="89" t="s">
        <v>561</v>
      </c>
      <c r="L124" s="84" t="s">
        <v>527</v>
      </c>
      <c r="M124" s="84">
        <v>46269.56527777778</v>
      </c>
      <c r="N124" s="83" t="s">
        <v>171</v>
      </c>
      <c r="O124" s="35" t="s">
        <v>114</v>
      </c>
      <c r="P124" s="25"/>
      <c r="Q124" s="26" t="s">
        <v>114</v>
      </c>
      <c r="R124" s="25"/>
      <c r="S124" s="26" t="s">
        <v>114</v>
      </c>
      <c r="T124" s="25"/>
      <c r="U124" s="26" t="s">
        <v>114</v>
      </c>
      <c r="V124" s="25"/>
      <c r="W124" s="26" t="s">
        <v>114</v>
      </c>
      <c r="X124" s="25"/>
      <c r="Y124" s="26" t="s">
        <v>114</v>
      </c>
      <c r="Z124" s="25"/>
      <c r="AA124" s="26" t="s">
        <v>114</v>
      </c>
      <c r="AB124" s="25"/>
      <c r="AC124" s="26" t="s">
        <v>114</v>
      </c>
      <c r="AD124" s="10"/>
      <c r="AE124" s="26" t="s">
        <v>114</v>
      </c>
      <c r="AF124" s="47" t="str">
        <f t="shared" si="16"/>
        <v>NC</v>
      </c>
      <c r="AG124" s="8" t="s">
        <v>279</v>
      </c>
      <c r="AH124" s="26" t="s">
        <v>108</v>
      </c>
      <c r="AI124" s="66" t="s">
        <v>1</v>
      </c>
      <c r="AJ124" s="22" t="str">
        <f t="shared" si="17"/>
        <v>GUARULHOS</v>
      </c>
      <c r="AK124" s="69" t="s">
        <v>4</v>
      </c>
    </row>
    <row r="125" spans="1:37" ht="30" customHeight="1" x14ac:dyDescent="0.2">
      <c r="A125" s="83" t="s">
        <v>101</v>
      </c>
      <c r="B125" s="83">
        <v>2689970314</v>
      </c>
      <c r="C125" s="83" t="s">
        <v>37</v>
      </c>
      <c r="D125" s="83" t="s">
        <v>26</v>
      </c>
      <c r="E125" s="83" t="s">
        <v>102</v>
      </c>
      <c r="F125" s="83" t="s">
        <v>559</v>
      </c>
      <c r="G125" s="83">
        <v>128</v>
      </c>
      <c r="H125" s="83" t="s">
        <v>560</v>
      </c>
      <c r="I125" s="83" t="s">
        <v>367</v>
      </c>
      <c r="J125" s="83" t="s">
        <v>230</v>
      </c>
      <c r="K125" s="83" t="s">
        <v>562</v>
      </c>
      <c r="L125" s="84" t="s">
        <v>527</v>
      </c>
      <c r="M125" s="84">
        <v>46269.565972222219</v>
      </c>
      <c r="N125" s="83" t="s">
        <v>171</v>
      </c>
      <c r="O125" s="36" t="s">
        <v>108</v>
      </c>
      <c r="P125" s="18"/>
      <c r="Q125" s="28" t="s">
        <v>108</v>
      </c>
      <c r="R125" s="18"/>
      <c r="S125" s="28" t="s">
        <v>108</v>
      </c>
      <c r="T125" s="18"/>
      <c r="U125" s="28" t="s">
        <v>108</v>
      </c>
      <c r="V125" s="18"/>
      <c r="W125" s="28" t="s">
        <v>108</v>
      </c>
      <c r="X125" s="18"/>
      <c r="Y125" s="28" t="s">
        <v>14</v>
      </c>
      <c r="Z125" s="18"/>
      <c r="AA125" s="28" t="s">
        <v>108</v>
      </c>
      <c r="AB125" s="18"/>
      <c r="AC125" s="28" t="s">
        <v>108</v>
      </c>
      <c r="AD125" s="18"/>
      <c r="AE125" s="28" t="s">
        <v>108</v>
      </c>
      <c r="AF125" s="47" t="str">
        <f t="shared" si="16"/>
        <v>C</v>
      </c>
      <c r="AG125" s="8" t="str">
        <f t="shared" ref="AG125:AG137" si="18">IF(AND(AE125="C",AF125="C"),"UTILIZOU O PDA CORRETAMENTE",IF(AND(AE125="C",AF125="NC"),"UTILIZOU O PDA CORRETAMENTE. NÃO HÁ FOTOS DE TODAS AS ETAPAS",IF(AND(AE125="NC",AF125="NC"),"NÃO UTILIZOU O PDA",IF(AND(AE125="NA",AF125="NA"),"NÃO AVALIADO POR FALHA DE SINCRONISMO"))))</f>
        <v>UTILIZOU O PDA CORRETAMENTE</v>
      </c>
      <c r="AH125" s="28" t="s">
        <v>108</v>
      </c>
      <c r="AI125" s="66" t="s">
        <v>1</v>
      </c>
      <c r="AJ125" s="22" t="str">
        <f t="shared" si="17"/>
        <v>GUARULHOS</v>
      </c>
      <c r="AK125" s="69" t="s">
        <v>4</v>
      </c>
    </row>
    <row r="126" spans="1:37" ht="30" customHeight="1" x14ac:dyDescent="0.2">
      <c r="A126" s="83" t="s">
        <v>101</v>
      </c>
      <c r="B126" s="83">
        <v>2690104983</v>
      </c>
      <c r="C126" s="83" t="s">
        <v>46</v>
      </c>
      <c r="D126" s="83" t="s">
        <v>29</v>
      </c>
      <c r="E126" s="83" t="s">
        <v>102</v>
      </c>
      <c r="F126" s="83" t="s">
        <v>329</v>
      </c>
      <c r="G126" s="83">
        <v>62</v>
      </c>
      <c r="H126" s="83" t="s">
        <v>563</v>
      </c>
      <c r="I126" s="83" t="s">
        <v>118</v>
      </c>
      <c r="J126" s="83" t="s">
        <v>170</v>
      </c>
      <c r="K126" s="83" t="s">
        <v>564</v>
      </c>
      <c r="L126" s="84" t="s">
        <v>527</v>
      </c>
      <c r="M126" s="84">
        <v>46269.749305555553</v>
      </c>
      <c r="N126" s="83" t="s">
        <v>452</v>
      </c>
      <c r="O126" s="36" t="s">
        <v>108</v>
      </c>
      <c r="P126" s="18"/>
      <c r="Q126" s="28" t="s">
        <v>108</v>
      </c>
      <c r="R126" s="18"/>
      <c r="S126" s="28" t="s">
        <v>108</v>
      </c>
      <c r="T126" s="18"/>
      <c r="U126" s="28" t="s">
        <v>108</v>
      </c>
      <c r="V126" s="18"/>
      <c r="W126" s="28" t="s">
        <v>108</v>
      </c>
      <c r="X126" s="18"/>
      <c r="Y126" s="28" t="s">
        <v>14</v>
      </c>
      <c r="Z126" s="18"/>
      <c r="AA126" s="28" t="s">
        <v>108</v>
      </c>
      <c r="AB126" s="18"/>
      <c r="AC126" s="28" t="s">
        <v>108</v>
      </c>
      <c r="AD126" s="18"/>
      <c r="AE126" s="28" t="s">
        <v>108</v>
      </c>
      <c r="AF126" s="47" t="str">
        <f t="shared" si="16"/>
        <v>C</v>
      </c>
      <c r="AG126" s="8" t="str">
        <f t="shared" si="18"/>
        <v>UTILIZOU O PDA CORRETAMENTE</v>
      </c>
      <c r="AH126" s="26" t="s">
        <v>108</v>
      </c>
      <c r="AI126" s="66" t="s">
        <v>1</v>
      </c>
      <c r="AJ126" s="22" t="str">
        <f t="shared" si="17"/>
        <v>GUARULHOS</v>
      </c>
      <c r="AK126" s="69" t="s">
        <v>4</v>
      </c>
    </row>
    <row r="127" spans="1:37" ht="30" customHeight="1" x14ac:dyDescent="0.2">
      <c r="A127" s="83" t="s">
        <v>101</v>
      </c>
      <c r="B127" s="83">
        <v>2614848982</v>
      </c>
      <c r="C127" s="83" t="s">
        <v>39</v>
      </c>
      <c r="D127" s="83" t="s">
        <v>25</v>
      </c>
      <c r="E127" s="83" t="s">
        <v>102</v>
      </c>
      <c r="F127" s="83" t="s">
        <v>567</v>
      </c>
      <c r="G127" s="83">
        <v>237</v>
      </c>
      <c r="H127" s="83" t="s">
        <v>110</v>
      </c>
      <c r="I127" s="83" t="s">
        <v>568</v>
      </c>
      <c r="J127" s="83" t="s">
        <v>39</v>
      </c>
      <c r="K127" s="83" t="s">
        <v>569</v>
      </c>
      <c r="L127" s="84" t="s">
        <v>527</v>
      </c>
      <c r="M127" s="84">
        <v>46269.625</v>
      </c>
      <c r="N127" s="83" t="s">
        <v>107</v>
      </c>
      <c r="O127" s="36" t="s">
        <v>108</v>
      </c>
      <c r="P127" s="18"/>
      <c r="Q127" s="28" t="s">
        <v>14</v>
      </c>
      <c r="R127" s="18"/>
      <c r="S127" s="28" t="s">
        <v>14</v>
      </c>
      <c r="T127" s="18"/>
      <c r="U127" s="28" t="s">
        <v>14</v>
      </c>
      <c r="V127" s="18"/>
      <c r="W127" s="28" t="s">
        <v>14</v>
      </c>
      <c r="X127" s="18"/>
      <c r="Y127" s="28" t="s">
        <v>14</v>
      </c>
      <c r="Z127" s="18"/>
      <c r="AA127" s="28" t="s">
        <v>14</v>
      </c>
      <c r="AB127" s="18"/>
      <c r="AC127" s="28" t="s">
        <v>114</v>
      </c>
      <c r="AD127" s="18" t="s">
        <v>443</v>
      </c>
      <c r="AE127" s="28" t="s">
        <v>108</v>
      </c>
      <c r="AF127" s="47" t="str">
        <f t="shared" si="16"/>
        <v>NC</v>
      </c>
      <c r="AG127" s="8" t="str">
        <f t="shared" si="18"/>
        <v>UTILIZOU O PDA CORRETAMENTE. NÃO HÁ FOTOS DE TODAS AS ETAPAS</v>
      </c>
      <c r="AH127" s="28" t="s">
        <v>108</v>
      </c>
      <c r="AI127" s="66" t="s">
        <v>1</v>
      </c>
      <c r="AJ127" s="22" t="str">
        <f t="shared" si="17"/>
        <v>GUARULHOS</v>
      </c>
      <c r="AK127" s="69" t="s">
        <v>4</v>
      </c>
    </row>
    <row r="128" spans="1:37" ht="30" customHeight="1" x14ac:dyDescent="0.2">
      <c r="A128" s="83" t="s">
        <v>101</v>
      </c>
      <c r="B128" s="83">
        <v>2614848996</v>
      </c>
      <c r="C128" s="83" t="s">
        <v>41</v>
      </c>
      <c r="D128" s="83" t="s">
        <v>25</v>
      </c>
      <c r="E128" s="83" t="s">
        <v>102</v>
      </c>
      <c r="F128" s="83" t="s">
        <v>567</v>
      </c>
      <c r="G128" s="83">
        <v>237</v>
      </c>
      <c r="H128" s="83" t="s">
        <v>115</v>
      </c>
      <c r="I128" s="83" t="s">
        <v>568</v>
      </c>
      <c r="J128" s="83" t="s">
        <v>41</v>
      </c>
      <c r="K128" s="83" t="s">
        <v>570</v>
      </c>
      <c r="L128" s="84" t="s">
        <v>527</v>
      </c>
      <c r="M128" s="84">
        <v>46269.628472222219</v>
      </c>
      <c r="N128" s="83" t="s">
        <v>107</v>
      </c>
      <c r="O128" s="36" t="s">
        <v>108</v>
      </c>
      <c r="P128" s="18"/>
      <c r="Q128" s="28" t="s">
        <v>14</v>
      </c>
      <c r="R128" s="18"/>
      <c r="S128" s="28" t="s">
        <v>14</v>
      </c>
      <c r="T128" s="18"/>
      <c r="U128" s="28" t="s">
        <v>14</v>
      </c>
      <c r="V128" s="18"/>
      <c r="W128" s="28" t="s">
        <v>14</v>
      </c>
      <c r="X128" s="18"/>
      <c r="Y128" s="28" t="s">
        <v>14</v>
      </c>
      <c r="Z128" s="18"/>
      <c r="AA128" s="28" t="s">
        <v>14</v>
      </c>
      <c r="AB128" s="18"/>
      <c r="AC128" s="28" t="s">
        <v>108</v>
      </c>
      <c r="AD128" s="18"/>
      <c r="AE128" s="28" t="s">
        <v>108</v>
      </c>
      <c r="AF128" s="47" t="str">
        <f t="shared" si="16"/>
        <v>C</v>
      </c>
      <c r="AG128" s="8" t="str">
        <f t="shared" si="18"/>
        <v>UTILIZOU O PDA CORRETAMENTE</v>
      </c>
      <c r="AH128" s="28" t="s">
        <v>108</v>
      </c>
      <c r="AI128" s="66" t="s">
        <v>1</v>
      </c>
      <c r="AJ128" s="22" t="str">
        <f t="shared" si="17"/>
        <v>GUARULHOS</v>
      </c>
      <c r="AK128" s="69" t="s">
        <v>4</v>
      </c>
    </row>
    <row r="129" spans="1:37" ht="30" customHeight="1" x14ac:dyDescent="0.2">
      <c r="A129" s="83" t="s">
        <v>101</v>
      </c>
      <c r="B129" s="83">
        <v>2615091032</v>
      </c>
      <c r="C129" s="83" t="s">
        <v>43</v>
      </c>
      <c r="D129" s="83" t="s">
        <v>29</v>
      </c>
      <c r="E129" s="83" t="s">
        <v>102</v>
      </c>
      <c r="F129" s="83" t="s">
        <v>573</v>
      </c>
      <c r="G129" s="83">
        <v>120</v>
      </c>
      <c r="H129" s="83" t="s">
        <v>574</v>
      </c>
      <c r="I129" s="83" t="s">
        <v>247</v>
      </c>
      <c r="J129" s="83" t="s">
        <v>188</v>
      </c>
      <c r="K129" s="83"/>
      <c r="L129" s="84" t="s">
        <v>527</v>
      </c>
      <c r="M129" s="84">
        <v>46269.697222222225</v>
      </c>
      <c r="N129" s="83" t="s">
        <v>163</v>
      </c>
      <c r="O129" s="35" t="s">
        <v>108</v>
      </c>
      <c r="P129" s="25"/>
      <c r="Q129" s="26" t="s">
        <v>108</v>
      </c>
      <c r="R129" s="25"/>
      <c r="S129" s="26" t="s">
        <v>108</v>
      </c>
      <c r="T129" s="25"/>
      <c r="U129" s="26" t="s">
        <v>108</v>
      </c>
      <c r="V129" s="25"/>
      <c r="W129" s="26" t="s">
        <v>108</v>
      </c>
      <c r="X129" s="25"/>
      <c r="Y129" s="26" t="s">
        <v>108</v>
      </c>
      <c r="Z129" s="25"/>
      <c r="AA129" s="26" t="s">
        <v>108</v>
      </c>
      <c r="AB129" s="25"/>
      <c r="AC129" s="26" t="s">
        <v>108</v>
      </c>
      <c r="AD129" s="10"/>
      <c r="AE129" s="26" t="s">
        <v>108</v>
      </c>
      <c r="AF129" s="47" t="str">
        <f t="shared" si="16"/>
        <v>C</v>
      </c>
      <c r="AG129" s="8" t="str">
        <f t="shared" si="18"/>
        <v>UTILIZOU O PDA CORRETAMENTE</v>
      </c>
      <c r="AH129" s="26" t="s">
        <v>108</v>
      </c>
      <c r="AI129" s="66" t="s">
        <v>1</v>
      </c>
      <c r="AJ129" s="22" t="str">
        <f t="shared" si="17"/>
        <v>GUARULHOS</v>
      </c>
      <c r="AK129" s="69" t="s">
        <v>4</v>
      </c>
    </row>
    <row r="130" spans="1:37" ht="30" customHeight="1" x14ac:dyDescent="0.2">
      <c r="A130" s="83" t="s">
        <v>101</v>
      </c>
      <c r="B130" s="83">
        <v>2615104512</v>
      </c>
      <c r="C130" s="83" t="s">
        <v>50</v>
      </c>
      <c r="D130" s="83" t="s">
        <v>29</v>
      </c>
      <c r="E130" s="83" t="s">
        <v>102</v>
      </c>
      <c r="F130" s="83" t="s">
        <v>578</v>
      </c>
      <c r="G130" s="83">
        <v>768</v>
      </c>
      <c r="H130" s="83" t="s">
        <v>117</v>
      </c>
      <c r="I130" s="83" t="s">
        <v>579</v>
      </c>
      <c r="J130" s="83" t="s">
        <v>176</v>
      </c>
      <c r="K130" s="83" t="s">
        <v>117</v>
      </c>
      <c r="L130" s="84" t="s">
        <v>577</v>
      </c>
      <c r="M130" s="84">
        <v>46299.474305555559</v>
      </c>
      <c r="N130" s="83" t="s">
        <v>140</v>
      </c>
      <c r="O130" s="36" t="s">
        <v>108</v>
      </c>
      <c r="P130" s="18"/>
      <c r="Q130" s="28" t="s">
        <v>108</v>
      </c>
      <c r="R130" s="18"/>
      <c r="S130" s="28" t="s">
        <v>108</v>
      </c>
      <c r="T130" s="18"/>
      <c r="U130" s="28" t="s">
        <v>108</v>
      </c>
      <c r="V130" s="18"/>
      <c r="W130" s="28" t="s">
        <v>108</v>
      </c>
      <c r="X130" s="18"/>
      <c r="Y130" s="28" t="s">
        <v>14</v>
      </c>
      <c r="Z130" s="18"/>
      <c r="AA130" s="28" t="s">
        <v>108</v>
      </c>
      <c r="AB130" s="18"/>
      <c r="AC130" s="28" t="s">
        <v>108</v>
      </c>
      <c r="AD130" s="18"/>
      <c r="AE130" s="28" t="s">
        <v>108</v>
      </c>
      <c r="AF130" s="47" t="str">
        <f t="shared" si="16"/>
        <v>C</v>
      </c>
      <c r="AG130" s="8" t="str">
        <f t="shared" si="18"/>
        <v>UTILIZOU O PDA CORRETAMENTE</v>
      </c>
      <c r="AH130" s="26" t="s">
        <v>108</v>
      </c>
      <c r="AI130" s="66" t="s">
        <v>1</v>
      </c>
      <c r="AJ130" s="22" t="str">
        <f t="shared" si="17"/>
        <v>GUARULHOS</v>
      </c>
      <c r="AK130" s="69" t="s">
        <v>4</v>
      </c>
    </row>
    <row r="131" spans="1:37" ht="30" customHeight="1" x14ac:dyDescent="0.2">
      <c r="A131" s="83" t="s">
        <v>101</v>
      </c>
      <c r="B131" s="83">
        <v>2614844644</v>
      </c>
      <c r="C131" s="83" t="s">
        <v>33</v>
      </c>
      <c r="D131" s="83" t="s">
        <v>25</v>
      </c>
      <c r="E131" s="83" t="s">
        <v>102</v>
      </c>
      <c r="F131" s="83" t="s">
        <v>580</v>
      </c>
      <c r="G131" s="83">
        <v>136</v>
      </c>
      <c r="H131" s="83"/>
      <c r="I131" s="83" t="s">
        <v>581</v>
      </c>
      <c r="J131" s="83" t="s">
        <v>33</v>
      </c>
      <c r="K131" s="83" t="s">
        <v>496</v>
      </c>
      <c r="L131" s="84" t="s">
        <v>577</v>
      </c>
      <c r="M131" s="84">
        <v>46299.616666666669</v>
      </c>
      <c r="N131" s="83" t="s">
        <v>119</v>
      </c>
      <c r="O131" s="36" t="s">
        <v>108</v>
      </c>
      <c r="P131" s="18"/>
      <c r="Q131" s="28" t="s">
        <v>108</v>
      </c>
      <c r="R131" s="18"/>
      <c r="S131" s="28" t="s">
        <v>108</v>
      </c>
      <c r="T131" s="18"/>
      <c r="U131" s="28" t="s">
        <v>108</v>
      </c>
      <c r="V131" s="18"/>
      <c r="W131" s="28" t="s">
        <v>108</v>
      </c>
      <c r="X131" s="18"/>
      <c r="Y131" s="28" t="s">
        <v>14</v>
      </c>
      <c r="Z131" s="18"/>
      <c r="AA131" s="28" t="s">
        <v>108</v>
      </c>
      <c r="AB131" s="18"/>
      <c r="AC131" s="28" t="s">
        <v>108</v>
      </c>
      <c r="AD131" s="18"/>
      <c r="AE131" s="28" t="s">
        <v>108</v>
      </c>
      <c r="AF131" s="47" t="str">
        <f t="shared" si="16"/>
        <v>C</v>
      </c>
      <c r="AG131" s="8" t="str">
        <f t="shared" si="18"/>
        <v>UTILIZOU O PDA CORRETAMENTE</v>
      </c>
      <c r="AH131" s="28" t="s">
        <v>108</v>
      </c>
      <c r="AI131" s="66" t="s">
        <v>1</v>
      </c>
      <c r="AJ131" s="22" t="str">
        <f t="shared" si="17"/>
        <v>GUARULHOS</v>
      </c>
      <c r="AK131" s="69" t="s">
        <v>4</v>
      </c>
    </row>
    <row r="132" spans="1:37" ht="30" customHeight="1" x14ac:dyDescent="0.2">
      <c r="A132" s="83" t="s">
        <v>101</v>
      </c>
      <c r="B132" s="83">
        <v>2614501281</v>
      </c>
      <c r="C132" s="83" t="s">
        <v>33</v>
      </c>
      <c r="D132" s="83" t="s">
        <v>25</v>
      </c>
      <c r="E132" s="83" t="s">
        <v>102</v>
      </c>
      <c r="F132" s="83" t="s">
        <v>582</v>
      </c>
      <c r="G132" s="83">
        <v>238</v>
      </c>
      <c r="H132" s="83" t="s">
        <v>117</v>
      </c>
      <c r="I132" s="83" t="s">
        <v>247</v>
      </c>
      <c r="J132" s="83" t="s">
        <v>33</v>
      </c>
      <c r="K132" s="83" t="s">
        <v>583</v>
      </c>
      <c r="L132" s="84" t="s">
        <v>577</v>
      </c>
      <c r="M132" s="84">
        <v>46299.56527777778</v>
      </c>
      <c r="N132" s="83" t="s">
        <v>274</v>
      </c>
      <c r="O132" s="36" t="s">
        <v>108</v>
      </c>
      <c r="P132" s="18"/>
      <c r="Q132" s="28" t="s">
        <v>108</v>
      </c>
      <c r="R132" s="18"/>
      <c r="S132" s="28" t="s">
        <v>108</v>
      </c>
      <c r="T132" s="18"/>
      <c r="U132" s="28" t="s">
        <v>108</v>
      </c>
      <c r="V132" s="18"/>
      <c r="W132" s="28" t="s">
        <v>108</v>
      </c>
      <c r="X132" s="18"/>
      <c r="Y132" s="28" t="s">
        <v>108</v>
      </c>
      <c r="Z132" s="18"/>
      <c r="AA132" s="28" t="s">
        <v>108</v>
      </c>
      <c r="AB132" s="18"/>
      <c r="AC132" s="28" t="s">
        <v>108</v>
      </c>
      <c r="AD132" s="18"/>
      <c r="AE132" s="28" t="s">
        <v>108</v>
      </c>
      <c r="AF132" s="47" t="str">
        <f t="shared" si="16"/>
        <v>C</v>
      </c>
      <c r="AG132" s="8" t="str">
        <f t="shared" si="18"/>
        <v>UTILIZOU O PDA CORRETAMENTE</v>
      </c>
      <c r="AH132" s="28" t="s">
        <v>108</v>
      </c>
      <c r="AI132" s="66" t="s">
        <v>1</v>
      </c>
      <c r="AJ132" s="22" t="str">
        <f t="shared" si="17"/>
        <v>GUARULHOS</v>
      </c>
      <c r="AK132" s="69" t="s">
        <v>4</v>
      </c>
    </row>
    <row r="133" spans="1:37" ht="30" customHeight="1" x14ac:dyDescent="0.2">
      <c r="A133" s="83" t="s">
        <v>101</v>
      </c>
      <c r="B133" s="83">
        <v>2690138219</v>
      </c>
      <c r="C133" s="83" t="s">
        <v>51</v>
      </c>
      <c r="D133" s="83" t="s">
        <v>29</v>
      </c>
      <c r="E133" s="83" t="s">
        <v>102</v>
      </c>
      <c r="F133" s="83" t="s">
        <v>586</v>
      </c>
      <c r="G133" s="83">
        <v>52</v>
      </c>
      <c r="H133" s="83" t="s">
        <v>587</v>
      </c>
      <c r="I133" s="83" t="s">
        <v>149</v>
      </c>
      <c r="J133" s="83" t="s">
        <v>170</v>
      </c>
      <c r="K133" s="83" t="s">
        <v>117</v>
      </c>
      <c r="L133" s="84" t="s">
        <v>577</v>
      </c>
      <c r="M133" s="84">
        <v>46299.45416666667</v>
      </c>
      <c r="N133" s="83" t="s">
        <v>146</v>
      </c>
      <c r="O133" s="36" t="s">
        <v>108</v>
      </c>
      <c r="P133" s="18"/>
      <c r="Q133" s="28" t="s">
        <v>108</v>
      </c>
      <c r="R133" s="18"/>
      <c r="S133" s="28" t="s">
        <v>108</v>
      </c>
      <c r="T133" s="18"/>
      <c r="U133" s="28" t="s">
        <v>108</v>
      </c>
      <c r="V133" s="18"/>
      <c r="W133" s="28" t="s">
        <v>108</v>
      </c>
      <c r="X133" s="18"/>
      <c r="Y133" s="28" t="s">
        <v>14</v>
      </c>
      <c r="Z133" s="18"/>
      <c r="AA133" s="28" t="s">
        <v>108</v>
      </c>
      <c r="AB133" s="18"/>
      <c r="AC133" s="28" t="s">
        <v>108</v>
      </c>
      <c r="AD133" s="18"/>
      <c r="AE133" s="28" t="s">
        <v>108</v>
      </c>
      <c r="AF133" s="47" t="str">
        <f t="shared" si="16"/>
        <v>C</v>
      </c>
      <c r="AG133" s="8" t="str">
        <f t="shared" si="18"/>
        <v>UTILIZOU O PDA CORRETAMENTE</v>
      </c>
      <c r="AH133" s="26" t="s">
        <v>108</v>
      </c>
      <c r="AI133" s="66" t="s">
        <v>1</v>
      </c>
      <c r="AJ133" s="22" t="str">
        <f t="shared" si="17"/>
        <v>GUARULHOS</v>
      </c>
      <c r="AK133" s="69" t="s">
        <v>4</v>
      </c>
    </row>
    <row r="134" spans="1:37" ht="30" customHeight="1" x14ac:dyDescent="0.2">
      <c r="A134" s="83" t="s">
        <v>101</v>
      </c>
      <c r="B134" s="83">
        <v>2615106174</v>
      </c>
      <c r="C134" s="83" t="s">
        <v>49</v>
      </c>
      <c r="D134" s="83" t="s">
        <v>29</v>
      </c>
      <c r="E134" s="83" t="s">
        <v>102</v>
      </c>
      <c r="F134" s="83" t="s">
        <v>588</v>
      </c>
      <c r="G134" s="83">
        <v>38</v>
      </c>
      <c r="H134" s="83"/>
      <c r="I134" s="83" t="s">
        <v>576</v>
      </c>
      <c r="J134" s="83" t="s">
        <v>155</v>
      </c>
      <c r="K134" s="83" t="s">
        <v>589</v>
      </c>
      <c r="L134" s="84" t="s">
        <v>577</v>
      </c>
      <c r="M134" s="84">
        <v>46299.489583333336</v>
      </c>
      <c r="N134" s="83" t="s">
        <v>171</v>
      </c>
      <c r="O134" s="36" t="s">
        <v>108</v>
      </c>
      <c r="P134" s="18"/>
      <c r="Q134" s="28" t="s">
        <v>108</v>
      </c>
      <c r="R134" s="18"/>
      <c r="S134" s="28" t="s">
        <v>108</v>
      </c>
      <c r="T134" s="18"/>
      <c r="U134" s="28" t="s">
        <v>108</v>
      </c>
      <c r="V134" s="18"/>
      <c r="W134" s="28" t="s">
        <v>108</v>
      </c>
      <c r="X134" s="18"/>
      <c r="Y134" s="28" t="s">
        <v>14</v>
      </c>
      <c r="Z134" s="18"/>
      <c r="AA134" s="28" t="s">
        <v>108</v>
      </c>
      <c r="AB134" s="18"/>
      <c r="AC134" s="28" t="s">
        <v>108</v>
      </c>
      <c r="AD134" s="18"/>
      <c r="AE134" s="28" t="s">
        <v>108</v>
      </c>
      <c r="AF134" s="47" t="str">
        <f t="shared" si="16"/>
        <v>C</v>
      </c>
      <c r="AG134" s="8" t="str">
        <f t="shared" si="18"/>
        <v>UTILIZOU O PDA CORRETAMENTE</v>
      </c>
      <c r="AH134" s="26" t="s">
        <v>108</v>
      </c>
      <c r="AI134" s="66" t="s">
        <v>1</v>
      </c>
      <c r="AJ134" s="22" t="str">
        <f t="shared" si="17"/>
        <v>GUARULHOS</v>
      </c>
      <c r="AK134" s="69" t="s">
        <v>4</v>
      </c>
    </row>
    <row r="135" spans="1:37" ht="30" customHeight="1" x14ac:dyDescent="0.2">
      <c r="A135" s="83" t="s">
        <v>101</v>
      </c>
      <c r="B135" s="83">
        <v>2615139095</v>
      </c>
      <c r="C135" s="83" t="s">
        <v>47</v>
      </c>
      <c r="D135" s="83" t="s">
        <v>29</v>
      </c>
      <c r="E135" s="83" t="s">
        <v>102</v>
      </c>
      <c r="F135" s="83" t="s">
        <v>590</v>
      </c>
      <c r="G135" s="83">
        <v>105</v>
      </c>
      <c r="H135" s="83" t="s">
        <v>591</v>
      </c>
      <c r="I135" s="83" t="s">
        <v>179</v>
      </c>
      <c r="J135" s="83" t="s">
        <v>170</v>
      </c>
      <c r="K135" s="83" t="s">
        <v>117</v>
      </c>
      <c r="L135" s="84" t="s">
        <v>577</v>
      </c>
      <c r="M135" s="84">
        <v>46299.460416666669</v>
      </c>
      <c r="N135" s="83" t="s">
        <v>131</v>
      </c>
      <c r="O135" s="36" t="s">
        <v>108</v>
      </c>
      <c r="P135" s="18"/>
      <c r="Q135" s="28" t="s">
        <v>108</v>
      </c>
      <c r="R135" s="18"/>
      <c r="S135" s="28" t="s">
        <v>108</v>
      </c>
      <c r="T135" s="18"/>
      <c r="U135" s="28" t="s">
        <v>108</v>
      </c>
      <c r="V135" s="18"/>
      <c r="W135" s="28" t="s">
        <v>108</v>
      </c>
      <c r="X135" s="18"/>
      <c r="Y135" s="28" t="s">
        <v>14</v>
      </c>
      <c r="Z135" s="18"/>
      <c r="AA135" s="28" t="s">
        <v>108</v>
      </c>
      <c r="AB135" s="18"/>
      <c r="AC135" s="28" t="s">
        <v>108</v>
      </c>
      <c r="AD135" s="18"/>
      <c r="AE135" s="28" t="s">
        <v>108</v>
      </c>
      <c r="AF135" s="47" t="str">
        <f t="shared" si="16"/>
        <v>C</v>
      </c>
      <c r="AG135" s="8" t="str">
        <f t="shared" si="18"/>
        <v>UTILIZOU O PDA CORRETAMENTE</v>
      </c>
      <c r="AH135" s="26" t="s">
        <v>108</v>
      </c>
      <c r="AI135" s="66" t="s">
        <v>1</v>
      </c>
      <c r="AJ135" s="22" t="str">
        <f t="shared" si="17"/>
        <v>GUARULHOS</v>
      </c>
      <c r="AK135" s="69" t="s">
        <v>4</v>
      </c>
    </row>
    <row r="136" spans="1:37" ht="30" customHeight="1" x14ac:dyDescent="0.2">
      <c r="A136" s="83" t="s">
        <v>101</v>
      </c>
      <c r="B136" s="83">
        <v>2690124292</v>
      </c>
      <c r="C136" s="83" t="s">
        <v>51</v>
      </c>
      <c r="D136" s="83" t="s">
        <v>29</v>
      </c>
      <c r="E136" s="83" t="s">
        <v>102</v>
      </c>
      <c r="F136" s="83" t="s">
        <v>593</v>
      </c>
      <c r="G136" s="83">
        <v>116</v>
      </c>
      <c r="H136" s="83" t="s">
        <v>320</v>
      </c>
      <c r="I136" s="83" t="s">
        <v>179</v>
      </c>
      <c r="J136" s="83" t="s">
        <v>159</v>
      </c>
      <c r="K136" s="83" t="s">
        <v>594</v>
      </c>
      <c r="L136" s="84" t="s">
        <v>577</v>
      </c>
      <c r="M136" s="84">
        <v>46299.368750000001</v>
      </c>
      <c r="N136" s="83" t="s">
        <v>180</v>
      </c>
      <c r="O136" s="36" t="s">
        <v>108</v>
      </c>
      <c r="P136" s="18"/>
      <c r="Q136" s="28" t="s">
        <v>108</v>
      </c>
      <c r="R136" s="18"/>
      <c r="S136" s="28" t="s">
        <v>108</v>
      </c>
      <c r="T136" s="18"/>
      <c r="U136" s="28" t="s">
        <v>108</v>
      </c>
      <c r="V136" s="18"/>
      <c r="W136" s="28" t="s">
        <v>108</v>
      </c>
      <c r="X136" s="18"/>
      <c r="Y136" s="28" t="s">
        <v>14</v>
      </c>
      <c r="Z136" s="18"/>
      <c r="AA136" s="28" t="s">
        <v>108</v>
      </c>
      <c r="AB136" s="18"/>
      <c r="AC136" s="28" t="s">
        <v>108</v>
      </c>
      <c r="AD136" s="18"/>
      <c r="AE136" s="28" t="s">
        <v>108</v>
      </c>
      <c r="AF136" s="47" t="str">
        <f t="shared" ref="AF136:AF169" si="19">IF(AND(O136="",Q136="",S136="",U136="",W136="",Y136="",AA136="",AC136=""),"",IF(OR(AND(O136&lt;&gt;"NA",O136&lt;&gt;"C",O136&lt;&gt;"NC",O136&lt;&gt;"SF",O136&lt;&gt;""),AND(Q136&lt;&gt;"NA",Q136&lt;&gt;"C",Q136&lt;&gt;"NC",Q136&lt;&gt;"SF",Q136&lt;&gt;""),AND(S136&lt;&gt;"NA",S136&lt;&gt;"C",S136&lt;&gt;"NC",S136&lt;&gt;"SF",S136&lt;&gt;""),AND(U136&lt;&gt;"NA",U136&lt;&gt;"C",U136&lt;&gt;"NC",U136&lt;&gt;"SF",U136&lt;&gt;""),AND(W136&lt;&gt;"NA",W136&lt;&gt;"C",W136&lt;&gt;"NC",W136&lt;&gt;"SF",W136&lt;&gt;""),AND(Y136&lt;&gt;"NA",Y136&lt;&gt;"C",Y136&lt;&gt;"NC",Y136&lt;&gt;"SF",Y136&lt;&gt;""),AND(AA136&lt;&gt;"NA",AA136&lt;&gt;"C",AA136&lt;&gt;"NC",AA136&lt;&gt;"SF",AA136&lt;&gt;""),AND(AC136&lt;&gt;"NA",AC136&lt;&gt;"C",AC136&lt;&gt;"NC",AC136&lt;&gt;"SF",AC136&lt;&gt;"")),"FALSO",IF(AND(O136="NA",Q136="NA",S136="NA",U136="NA",W136="NA",Y136="NA",AA136="NA",AC136="NA"),"NA",IF(OR(O136="NC",Q136="NC",S136="NC",U136="NC",W136="NC",Y136="NC",AA136="NC",AC136="NC",O136="SF",Q136="SF",S136="SF",U136="SF",W136="SF",Y136="SF",AA136="SF",AC136="SF"),"NC",IF(OR(O136="C",Q136="C",S136="C",U136="C",W136="C",Y136="C",AA136="C",AC136="C"),"C","")))))</f>
        <v>C</v>
      </c>
      <c r="AG136" s="8" t="str">
        <f t="shared" si="18"/>
        <v>UTILIZOU O PDA CORRETAMENTE</v>
      </c>
      <c r="AH136" s="26" t="s">
        <v>108</v>
      </c>
      <c r="AI136" s="66" t="s">
        <v>1</v>
      </c>
      <c r="AJ136" s="22" t="str">
        <f t="shared" ref="AJ136:AJ169" si="20">E136</f>
        <v>GUARULHOS</v>
      </c>
      <c r="AK136" s="69" t="s">
        <v>4</v>
      </c>
    </row>
    <row r="137" spans="1:37" ht="30" customHeight="1" x14ac:dyDescent="0.2">
      <c r="A137" s="83" t="s">
        <v>101</v>
      </c>
      <c r="B137" s="83">
        <v>2615248767</v>
      </c>
      <c r="C137" s="83" t="s">
        <v>33</v>
      </c>
      <c r="D137" s="83" t="s">
        <v>25</v>
      </c>
      <c r="E137" s="83" t="s">
        <v>102</v>
      </c>
      <c r="F137" s="83" t="s">
        <v>595</v>
      </c>
      <c r="G137" s="83">
        <v>193</v>
      </c>
      <c r="H137" s="83" t="s">
        <v>596</v>
      </c>
      <c r="I137" s="83" t="s">
        <v>169</v>
      </c>
      <c r="J137" s="83" t="s">
        <v>33</v>
      </c>
      <c r="K137" s="83"/>
      <c r="L137" s="84" t="s">
        <v>577</v>
      </c>
      <c r="M137" s="84">
        <v>46299.59652777778</v>
      </c>
      <c r="N137" s="83" t="s">
        <v>597</v>
      </c>
      <c r="O137" s="36" t="s">
        <v>108</v>
      </c>
      <c r="P137" s="28"/>
      <c r="Q137" s="28" t="s">
        <v>14</v>
      </c>
      <c r="R137" s="28"/>
      <c r="S137" s="28" t="s">
        <v>108</v>
      </c>
      <c r="T137" s="28"/>
      <c r="U137" s="28" t="s">
        <v>108</v>
      </c>
      <c r="V137" s="28"/>
      <c r="W137" s="28" t="s">
        <v>108</v>
      </c>
      <c r="X137" s="28"/>
      <c r="Y137" s="28" t="s">
        <v>14</v>
      </c>
      <c r="Z137" s="28"/>
      <c r="AA137" s="28" t="s">
        <v>108</v>
      </c>
      <c r="AB137" s="28"/>
      <c r="AC137" s="28" t="s">
        <v>108</v>
      </c>
      <c r="AD137" s="28"/>
      <c r="AE137" s="28" t="s">
        <v>108</v>
      </c>
      <c r="AF137" s="47" t="str">
        <f t="shared" si="19"/>
        <v>C</v>
      </c>
      <c r="AG137" s="8" t="str">
        <f t="shared" si="18"/>
        <v>UTILIZOU O PDA CORRETAMENTE</v>
      </c>
      <c r="AH137" s="28" t="s">
        <v>108</v>
      </c>
      <c r="AI137" s="66" t="s">
        <v>1</v>
      </c>
      <c r="AJ137" s="22" t="str">
        <f t="shared" si="20"/>
        <v>GUARULHOS</v>
      </c>
      <c r="AK137" s="69" t="s">
        <v>4</v>
      </c>
    </row>
    <row r="138" spans="1:37" ht="30" customHeight="1" x14ac:dyDescent="0.2">
      <c r="A138" s="83" t="s">
        <v>101</v>
      </c>
      <c r="B138" s="83">
        <v>2615259044</v>
      </c>
      <c r="C138" s="83" t="s">
        <v>45</v>
      </c>
      <c r="D138" s="83" t="s">
        <v>27</v>
      </c>
      <c r="E138" s="83" t="s">
        <v>102</v>
      </c>
      <c r="F138" s="83" t="s">
        <v>240</v>
      </c>
      <c r="G138" s="83">
        <v>40</v>
      </c>
      <c r="H138" s="83" t="s">
        <v>241</v>
      </c>
      <c r="I138" s="83" t="s">
        <v>242</v>
      </c>
      <c r="J138" s="83" t="s">
        <v>150</v>
      </c>
      <c r="K138" s="89" t="s">
        <v>600</v>
      </c>
      <c r="L138" s="84" t="s">
        <v>577</v>
      </c>
      <c r="M138" s="84">
        <v>46299.586111111108</v>
      </c>
      <c r="N138" s="83" t="s">
        <v>146</v>
      </c>
      <c r="O138" s="35" t="s">
        <v>14</v>
      </c>
      <c r="P138" s="25"/>
      <c r="Q138" s="26" t="s">
        <v>14</v>
      </c>
      <c r="R138" s="25"/>
      <c r="S138" s="26" t="s">
        <v>14</v>
      </c>
      <c r="T138" s="25"/>
      <c r="U138" s="26" t="s">
        <v>14</v>
      </c>
      <c r="V138" s="25"/>
      <c r="W138" s="26" t="s">
        <v>14</v>
      </c>
      <c r="X138" s="25"/>
      <c r="Y138" s="26" t="s">
        <v>14</v>
      </c>
      <c r="Z138" s="25"/>
      <c r="AA138" s="26" t="s">
        <v>14</v>
      </c>
      <c r="AB138" s="25"/>
      <c r="AC138" s="26" t="s">
        <v>14</v>
      </c>
      <c r="AD138" s="10"/>
      <c r="AE138" s="26" t="s">
        <v>14</v>
      </c>
      <c r="AF138" s="47" t="str">
        <f t="shared" si="19"/>
        <v>NA</v>
      </c>
      <c r="AG138" s="8" t="s">
        <v>601</v>
      </c>
      <c r="AH138" s="26" t="s">
        <v>108</v>
      </c>
      <c r="AI138" s="66" t="s">
        <v>1</v>
      </c>
      <c r="AJ138" s="22" t="str">
        <f t="shared" si="20"/>
        <v>GUARULHOS</v>
      </c>
      <c r="AK138" s="69" t="s">
        <v>4</v>
      </c>
    </row>
    <row r="139" spans="1:37" ht="30" customHeight="1" x14ac:dyDescent="0.2">
      <c r="A139" s="83" t="s">
        <v>101</v>
      </c>
      <c r="B139" s="83">
        <v>2615267947</v>
      </c>
      <c r="C139" s="83" t="s">
        <v>37</v>
      </c>
      <c r="D139" s="83" t="s">
        <v>26</v>
      </c>
      <c r="E139" s="83" t="s">
        <v>102</v>
      </c>
      <c r="F139" s="83" t="s">
        <v>602</v>
      </c>
      <c r="G139" s="83">
        <v>68</v>
      </c>
      <c r="H139" s="83" t="s">
        <v>603</v>
      </c>
      <c r="I139" s="83" t="s">
        <v>104</v>
      </c>
      <c r="J139" s="83" t="s">
        <v>230</v>
      </c>
      <c r="K139" s="83" t="s">
        <v>604</v>
      </c>
      <c r="L139" s="84" t="s">
        <v>577</v>
      </c>
      <c r="M139" s="84">
        <v>46299.680555555555</v>
      </c>
      <c r="N139" s="83" t="s">
        <v>151</v>
      </c>
      <c r="O139" s="36" t="s">
        <v>214</v>
      </c>
      <c r="P139" s="28"/>
      <c r="Q139" s="28" t="s">
        <v>214</v>
      </c>
      <c r="R139" s="28"/>
      <c r="S139" s="28" t="s">
        <v>214</v>
      </c>
      <c r="T139" s="28"/>
      <c r="U139" s="28" t="s">
        <v>214</v>
      </c>
      <c r="V139" s="28"/>
      <c r="W139" s="28" t="s">
        <v>214</v>
      </c>
      <c r="X139" s="28"/>
      <c r="Y139" s="28" t="s">
        <v>214</v>
      </c>
      <c r="Z139" s="28"/>
      <c r="AA139" s="28" t="s">
        <v>214</v>
      </c>
      <c r="AB139" s="28"/>
      <c r="AC139" s="28" t="s">
        <v>214</v>
      </c>
      <c r="AD139" s="28"/>
      <c r="AE139" s="28" t="s">
        <v>114</v>
      </c>
      <c r="AF139" s="47" t="str">
        <f t="shared" si="19"/>
        <v>NC</v>
      </c>
      <c r="AG139" s="8" t="str">
        <f t="shared" ref="AG139:AG152" si="21">IF(AND(AE139="C",AF139="C"),"UTILIZOU O PDA CORRETAMENTE",IF(AND(AE139="C",AF139="NC"),"UTILIZOU O PDA CORRETAMENTE. NÃO HÁ FOTOS DE TODAS AS ETAPAS",IF(AND(AE139="NC",AF139="NC"),"NÃO UTILIZOU O PDA",IF(AND(AE139="NA",AF139="NA"),"NÃO AVALIADO POR FALHA DE SINCRONISMO"))))</f>
        <v>NÃO UTILIZOU O PDA</v>
      </c>
      <c r="AH139" s="40" t="s">
        <v>108</v>
      </c>
      <c r="AI139" s="66" t="s">
        <v>1</v>
      </c>
      <c r="AJ139" s="22" t="str">
        <f t="shared" si="20"/>
        <v>GUARULHOS</v>
      </c>
      <c r="AK139" s="69" t="s">
        <v>4</v>
      </c>
    </row>
    <row r="140" spans="1:37" ht="30" customHeight="1" x14ac:dyDescent="0.2">
      <c r="A140" s="83" t="s">
        <v>101</v>
      </c>
      <c r="B140" s="83">
        <v>2615163167</v>
      </c>
      <c r="C140" s="83" t="s">
        <v>36</v>
      </c>
      <c r="D140" s="83" t="s">
        <v>26</v>
      </c>
      <c r="E140" s="83" t="s">
        <v>102</v>
      </c>
      <c r="F140" s="83" t="s">
        <v>605</v>
      </c>
      <c r="G140" s="83">
        <v>1148</v>
      </c>
      <c r="H140" s="83" t="s">
        <v>606</v>
      </c>
      <c r="I140" s="83" t="s">
        <v>483</v>
      </c>
      <c r="J140" s="83" t="s">
        <v>269</v>
      </c>
      <c r="K140" s="83" t="s">
        <v>607</v>
      </c>
      <c r="L140" s="84" t="s">
        <v>577</v>
      </c>
      <c r="M140" s="84">
        <v>46299.4375</v>
      </c>
      <c r="N140" s="83" t="s">
        <v>231</v>
      </c>
      <c r="O140" s="36" t="s">
        <v>108</v>
      </c>
      <c r="P140" s="28"/>
      <c r="Q140" s="28" t="s">
        <v>108</v>
      </c>
      <c r="R140" s="28"/>
      <c r="S140" s="28" t="s">
        <v>108</v>
      </c>
      <c r="T140" s="28"/>
      <c r="U140" s="28" t="s">
        <v>108</v>
      </c>
      <c r="V140" s="28"/>
      <c r="W140" s="28" t="s">
        <v>108</v>
      </c>
      <c r="X140" s="28"/>
      <c r="Y140" s="28" t="s">
        <v>14</v>
      </c>
      <c r="Z140" s="28"/>
      <c r="AA140" s="28" t="s">
        <v>108</v>
      </c>
      <c r="AB140" s="28"/>
      <c r="AC140" s="28" t="s">
        <v>108</v>
      </c>
      <c r="AD140" s="28"/>
      <c r="AE140" s="28" t="s">
        <v>108</v>
      </c>
      <c r="AF140" s="47" t="str">
        <f t="shared" si="19"/>
        <v>C</v>
      </c>
      <c r="AG140" s="8" t="str">
        <f t="shared" si="21"/>
        <v>UTILIZOU O PDA CORRETAMENTE</v>
      </c>
      <c r="AH140" s="43" t="s">
        <v>108</v>
      </c>
      <c r="AI140" s="66" t="s">
        <v>1</v>
      </c>
      <c r="AJ140" s="22" t="str">
        <f t="shared" si="20"/>
        <v>GUARULHOS</v>
      </c>
      <c r="AK140" s="69" t="s">
        <v>4</v>
      </c>
    </row>
    <row r="141" spans="1:37" ht="30" customHeight="1" x14ac:dyDescent="0.2">
      <c r="A141" s="83" t="s">
        <v>101</v>
      </c>
      <c r="B141" s="83">
        <v>2615279053</v>
      </c>
      <c r="C141" s="83" t="s">
        <v>45</v>
      </c>
      <c r="D141" s="83" t="s">
        <v>27</v>
      </c>
      <c r="E141" s="83" t="s">
        <v>102</v>
      </c>
      <c r="F141" s="83" t="s">
        <v>609</v>
      </c>
      <c r="G141" s="83">
        <v>40</v>
      </c>
      <c r="H141" s="83" t="s">
        <v>610</v>
      </c>
      <c r="I141" s="83" t="s">
        <v>498</v>
      </c>
      <c r="J141" s="83" t="s">
        <v>150</v>
      </c>
      <c r="K141" s="89" t="s">
        <v>611</v>
      </c>
      <c r="L141" s="84" t="s">
        <v>577</v>
      </c>
      <c r="M141" s="84">
        <v>46299.626388888886</v>
      </c>
      <c r="N141" s="83" t="s">
        <v>297</v>
      </c>
      <c r="O141" s="35" t="s">
        <v>108</v>
      </c>
      <c r="P141" s="25"/>
      <c r="Q141" s="26" t="s">
        <v>108</v>
      </c>
      <c r="R141" s="25"/>
      <c r="S141" s="26" t="s">
        <v>108</v>
      </c>
      <c r="T141" s="25"/>
      <c r="U141" s="26" t="s">
        <v>108</v>
      </c>
      <c r="V141" s="25"/>
      <c r="W141" s="26" t="s">
        <v>108</v>
      </c>
      <c r="X141" s="25"/>
      <c r="Y141" s="26" t="s">
        <v>108</v>
      </c>
      <c r="Z141" s="25"/>
      <c r="AA141" s="26" t="s">
        <v>108</v>
      </c>
      <c r="AB141" s="25"/>
      <c r="AC141" s="26" t="s">
        <v>108</v>
      </c>
      <c r="AD141" s="10"/>
      <c r="AE141" s="26" t="s">
        <v>108</v>
      </c>
      <c r="AF141" s="47" t="str">
        <f t="shared" si="19"/>
        <v>C</v>
      </c>
      <c r="AG141" s="8" t="str">
        <f t="shared" si="21"/>
        <v>UTILIZOU O PDA CORRETAMENTE</v>
      </c>
      <c r="AH141" s="26" t="s">
        <v>108</v>
      </c>
      <c r="AI141" s="66" t="s">
        <v>1</v>
      </c>
      <c r="AJ141" s="22" t="str">
        <f t="shared" si="20"/>
        <v>GUARULHOS</v>
      </c>
      <c r="AK141" s="69" t="s">
        <v>4</v>
      </c>
    </row>
    <row r="142" spans="1:37" ht="30" customHeight="1" x14ac:dyDescent="0.2">
      <c r="A142" s="83" t="s">
        <v>101</v>
      </c>
      <c r="B142" s="83">
        <v>2615248326</v>
      </c>
      <c r="C142" s="83" t="s">
        <v>36</v>
      </c>
      <c r="D142" s="83" t="s">
        <v>26</v>
      </c>
      <c r="E142" s="83" t="s">
        <v>102</v>
      </c>
      <c r="F142" s="83" t="s">
        <v>616</v>
      </c>
      <c r="G142" s="83">
        <v>178</v>
      </c>
      <c r="H142" s="83"/>
      <c r="I142" s="83" t="s">
        <v>264</v>
      </c>
      <c r="J142" s="83" t="s">
        <v>269</v>
      </c>
      <c r="K142" s="83"/>
      <c r="L142" s="84" t="s">
        <v>577</v>
      </c>
      <c r="M142" s="84">
        <v>46299.678472222222</v>
      </c>
      <c r="N142" s="83" t="s">
        <v>253</v>
      </c>
      <c r="O142" s="36" t="s">
        <v>108</v>
      </c>
      <c r="P142" s="28"/>
      <c r="Q142" s="28" t="s">
        <v>108</v>
      </c>
      <c r="R142" s="28"/>
      <c r="S142" s="28" t="s">
        <v>108</v>
      </c>
      <c r="T142" s="28"/>
      <c r="U142" s="28" t="s">
        <v>108</v>
      </c>
      <c r="V142" s="28"/>
      <c r="W142" s="28" t="s">
        <v>14</v>
      </c>
      <c r="X142" s="28"/>
      <c r="Y142" s="28" t="s">
        <v>14</v>
      </c>
      <c r="Z142" s="28"/>
      <c r="AA142" s="28" t="s">
        <v>108</v>
      </c>
      <c r="AB142" s="28"/>
      <c r="AC142" s="28" t="s">
        <v>108</v>
      </c>
      <c r="AD142" s="28"/>
      <c r="AE142" s="28" t="s">
        <v>108</v>
      </c>
      <c r="AF142" s="47" t="str">
        <f t="shared" si="19"/>
        <v>C</v>
      </c>
      <c r="AG142" s="8" t="str">
        <f t="shared" si="21"/>
        <v>UTILIZOU O PDA CORRETAMENTE</v>
      </c>
      <c r="AH142" s="40" t="s">
        <v>108</v>
      </c>
      <c r="AI142" s="66" t="s">
        <v>1</v>
      </c>
      <c r="AJ142" s="22" t="str">
        <f t="shared" si="20"/>
        <v>GUARULHOS</v>
      </c>
      <c r="AK142" s="69" t="s">
        <v>4</v>
      </c>
    </row>
    <row r="143" spans="1:37" ht="30" customHeight="1" x14ac:dyDescent="0.2">
      <c r="A143" s="83" t="s">
        <v>101</v>
      </c>
      <c r="B143" s="83">
        <v>2615094538</v>
      </c>
      <c r="C143" s="83" t="s">
        <v>36</v>
      </c>
      <c r="D143" s="83" t="s">
        <v>26</v>
      </c>
      <c r="E143" s="83" t="s">
        <v>102</v>
      </c>
      <c r="F143" s="83" t="s">
        <v>617</v>
      </c>
      <c r="G143" s="83">
        <v>552</v>
      </c>
      <c r="H143" s="83" t="s">
        <v>153</v>
      </c>
      <c r="I143" s="83" t="s">
        <v>486</v>
      </c>
      <c r="J143" s="83" t="s">
        <v>269</v>
      </c>
      <c r="K143" s="83"/>
      <c r="L143" s="84" t="s">
        <v>577</v>
      </c>
      <c r="M143" s="84">
        <v>46299.65</v>
      </c>
      <c r="N143" s="83" t="s">
        <v>160</v>
      </c>
      <c r="O143" s="36" t="s">
        <v>108</v>
      </c>
      <c r="P143" s="28"/>
      <c r="Q143" s="28" t="s">
        <v>108</v>
      </c>
      <c r="R143" s="65"/>
      <c r="S143" s="28" t="s">
        <v>108</v>
      </c>
      <c r="T143" s="28"/>
      <c r="U143" s="28" t="s">
        <v>108</v>
      </c>
      <c r="V143" s="28"/>
      <c r="W143" s="28" t="s">
        <v>108</v>
      </c>
      <c r="X143" s="28"/>
      <c r="Y143" s="28" t="s">
        <v>14</v>
      </c>
      <c r="Z143" s="28"/>
      <c r="AA143" s="28" t="s">
        <v>108</v>
      </c>
      <c r="AB143" s="28"/>
      <c r="AC143" s="28" t="s">
        <v>108</v>
      </c>
      <c r="AD143" s="28"/>
      <c r="AE143" s="28" t="s">
        <v>108</v>
      </c>
      <c r="AF143" s="47" t="str">
        <f t="shared" si="19"/>
        <v>C</v>
      </c>
      <c r="AG143" s="8" t="str">
        <f t="shared" si="21"/>
        <v>UTILIZOU O PDA CORRETAMENTE</v>
      </c>
      <c r="AH143" s="40" t="s">
        <v>108</v>
      </c>
      <c r="AI143" s="66" t="s">
        <v>1</v>
      </c>
      <c r="AJ143" s="22" t="str">
        <f t="shared" si="20"/>
        <v>GUARULHOS</v>
      </c>
      <c r="AK143" s="69" t="s">
        <v>4</v>
      </c>
    </row>
    <row r="144" spans="1:37" ht="30" customHeight="1" x14ac:dyDescent="0.2">
      <c r="A144" s="83" t="s">
        <v>101</v>
      </c>
      <c r="B144" s="83">
        <v>2690290968</v>
      </c>
      <c r="C144" s="83" t="s">
        <v>47</v>
      </c>
      <c r="D144" s="83" t="s">
        <v>29</v>
      </c>
      <c r="E144" s="83" t="s">
        <v>102</v>
      </c>
      <c r="F144" s="83" t="s">
        <v>618</v>
      </c>
      <c r="G144" s="83">
        <v>272</v>
      </c>
      <c r="H144" s="83" t="s">
        <v>619</v>
      </c>
      <c r="I144" s="83" t="s">
        <v>382</v>
      </c>
      <c r="J144" s="83" t="s">
        <v>170</v>
      </c>
      <c r="K144" s="83" t="s">
        <v>620</v>
      </c>
      <c r="L144" s="84" t="s">
        <v>585</v>
      </c>
      <c r="M144" s="84">
        <v>46330.539583333331</v>
      </c>
      <c r="N144" s="83" t="s">
        <v>297</v>
      </c>
      <c r="O144" s="36" t="s">
        <v>108</v>
      </c>
      <c r="P144" s="18"/>
      <c r="Q144" s="28" t="s">
        <v>108</v>
      </c>
      <c r="R144" s="18"/>
      <c r="S144" s="28" t="s">
        <v>108</v>
      </c>
      <c r="T144" s="18"/>
      <c r="U144" s="28" t="s">
        <v>108</v>
      </c>
      <c r="V144" s="18"/>
      <c r="W144" s="28" t="s">
        <v>108</v>
      </c>
      <c r="X144" s="18"/>
      <c r="Y144" s="28" t="s">
        <v>14</v>
      </c>
      <c r="Z144" s="18"/>
      <c r="AA144" s="28" t="s">
        <v>108</v>
      </c>
      <c r="AB144" s="18"/>
      <c r="AC144" s="28" t="s">
        <v>108</v>
      </c>
      <c r="AD144" s="18"/>
      <c r="AE144" s="28" t="s">
        <v>108</v>
      </c>
      <c r="AF144" s="47" t="str">
        <f t="shared" si="19"/>
        <v>C</v>
      </c>
      <c r="AG144" s="8" t="str">
        <f t="shared" si="21"/>
        <v>UTILIZOU O PDA CORRETAMENTE</v>
      </c>
      <c r="AH144" s="26" t="s">
        <v>108</v>
      </c>
      <c r="AI144" s="66" t="s">
        <v>1</v>
      </c>
      <c r="AJ144" s="22" t="str">
        <f t="shared" si="20"/>
        <v>GUARULHOS</v>
      </c>
      <c r="AK144" s="69" t="s">
        <v>4</v>
      </c>
    </row>
    <row r="145" spans="1:37" ht="30" customHeight="1" x14ac:dyDescent="0.2">
      <c r="A145" s="83" t="s">
        <v>101</v>
      </c>
      <c r="B145" s="83">
        <v>2615298894</v>
      </c>
      <c r="C145" s="83" t="s">
        <v>45</v>
      </c>
      <c r="D145" s="83" t="s">
        <v>27</v>
      </c>
      <c r="E145" s="83" t="s">
        <v>102</v>
      </c>
      <c r="F145" s="83" t="s">
        <v>623</v>
      </c>
      <c r="G145" s="83">
        <v>7</v>
      </c>
      <c r="H145" s="83" t="s">
        <v>117</v>
      </c>
      <c r="I145" s="83" t="s">
        <v>207</v>
      </c>
      <c r="J145" s="83" t="s">
        <v>150</v>
      </c>
      <c r="K145" s="83" t="s">
        <v>624</v>
      </c>
      <c r="L145" s="84" t="s">
        <v>585</v>
      </c>
      <c r="M145" s="84">
        <v>46330.415972222225</v>
      </c>
      <c r="N145" s="83" t="s">
        <v>119</v>
      </c>
      <c r="O145" s="35" t="s">
        <v>108</v>
      </c>
      <c r="P145" s="25"/>
      <c r="Q145" s="26" t="s">
        <v>114</v>
      </c>
      <c r="R145" s="25" t="s">
        <v>625</v>
      </c>
      <c r="S145" s="26" t="s">
        <v>108</v>
      </c>
      <c r="T145" s="25"/>
      <c r="U145" s="26" t="s">
        <v>108</v>
      </c>
      <c r="V145" s="25"/>
      <c r="W145" s="26" t="s">
        <v>108</v>
      </c>
      <c r="X145" s="25"/>
      <c r="Y145" s="26" t="s">
        <v>108</v>
      </c>
      <c r="Z145" s="25"/>
      <c r="AA145" s="26" t="s">
        <v>108</v>
      </c>
      <c r="AB145" s="25"/>
      <c r="AC145" s="26" t="s">
        <v>108</v>
      </c>
      <c r="AD145" s="10"/>
      <c r="AE145" s="26" t="s">
        <v>108</v>
      </c>
      <c r="AF145" s="47" t="str">
        <f t="shared" si="19"/>
        <v>NC</v>
      </c>
      <c r="AG145" s="8" t="str">
        <f t="shared" si="21"/>
        <v>UTILIZOU O PDA CORRETAMENTE. NÃO HÁ FOTOS DE TODAS AS ETAPAS</v>
      </c>
      <c r="AH145" s="26" t="s">
        <v>108</v>
      </c>
      <c r="AI145" s="66" t="s">
        <v>1</v>
      </c>
      <c r="AJ145" s="22" t="str">
        <f t="shared" si="20"/>
        <v>GUARULHOS</v>
      </c>
      <c r="AK145" s="69" t="s">
        <v>4</v>
      </c>
    </row>
    <row r="146" spans="1:37" ht="30" customHeight="1" x14ac:dyDescent="0.2">
      <c r="A146" s="83" t="s">
        <v>101</v>
      </c>
      <c r="B146" s="83">
        <v>2690293295</v>
      </c>
      <c r="C146" s="83" t="s">
        <v>47</v>
      </c>
      <c r="D146" s="83" t="s">
        <v>29</v>
      </c>
      <c r="E146" s="83" t="s">
        <v>102</v>
      </c>
      <c r="F146" s="83" t="s">
        <v>628</v>
      </c>
      <c r="G146" s="83">
        <v>398</v>
      </c>
      <c r="H146" s="83"/>
      <c r="I146" s="83" t="s">
        <v>277</v>
      </c>
      <c r="J146" s="83" t="s">
        <v>159</v>
      </c>
      <c r="K146" s="83" t="s">
        <v>629</v>
      </c>
      <c r="L146" s="84" t="s">
        <v>585</v>
      </c>
      <c r="M146" s="84">
        <v>46330.55</v>
      </c>
      <c r="N146" s="83" t="s">
        <v>140</v>
      </c>
      <c r="O146" s="36" t="s">
        <v>108</v>
      </c>
      <c r="P146" s="18"/>
      <c r="Q146" s="28" t="s">
        <v>108</v>
      </c>
      <c r="R146" s="18"/>
      <c r="S146" s="28" t="s">
        <v>108</v>
      </c>
      <c r="T146" s="18"/>
      <c r="U146" s="28" t="s">
        <v>108</v>
      </c>
      <c r="V146" s="18"/>
      <c r="W146" s="28" t="s">
        <v>108</v>
      </c>
      <c r="X146" s="18"/>
      <c r="Y146" s="28" t="s">
        <v>14</v>
      </c>
      <c r="Z146" s="18"/>
      <c r="AA146" s="28" t="s">
        <v>108</v>
      </c>
      <c r="AB146" s="18"/>
      <c r="AC146" s="28" t="s">
        <v>108</v>
      </c>
      <c r="AD146" s="18"/>
      <c r="AE146" s="28" t="s">
        <v>108</v>
      </c>
      <c r="AF146" s="47" t="str">
        <f t="shared" si="19"/>
        <v>C</v>
      </c>
      <c r="AG146" s="8" t="str">
        <f t="shared" si="21"/>
        <v>UTILIZOU O PDA CORRETAMENTE</v>
      </c>
      <c r="AH146" s="26" t="s">
        <v>108</v>
      </c>
      <c r="AI146" s="66" t="s">
        <v>1</v>
      </c>
      <c r="AJ146" s="22" t="str">
        <f t="shared" si="20"/>
        <v>GUARULHOS</v>
      </c>
      <c r="AK146" s="69" t="s">
        <v>4</v>
      </c>
    </row>
    <row r="147" spans="1:37" ht="30" customHeight="1" x14ac:dyDescent="0.2">
      <c r="A147" s="83" t="s">
        <v>101</v>
      </c>
      <c r="B147" s="83">
        <v>2615334591</v>
      </c>
      <c r="C147" s="83" t="s">
        <v>47</v>
      </c>
      <c r="D147" s="83" t="s">
        <v>29</v>
      </c>
      <c r="E147" s="83" t="s">
        <v>102</v>
      </c>
      <c r="F147" s="83" t="s">
        <v>633</v>
      </c>
      <c r="G147" s="83">
        <v>48</v>
      </c>
      <c r="H147" s="83" t="s">
        <v>117</v>
      </c>
      <c r="I147" s="83" t="s">
        <v>301</v>
      </c>
      <c r="J147" s="83" t="s">
        <v>170</v>
      </c>
      <c r="K147" s="83" t="s">
        <v>627</v>
      </c>
      <c r="L147" s="84" t="s">
        <v>585</v>
      </c>
      <c r="M147" s="84">
        <v>46330.482638888891</v>
      </c>
      <c r="N147" s="83" t="s">
        <v>180</v>
      </c>
      <c r="O147" s="36" t="s">
        <v>108</v>
      </c>
      <c r="P147" s="18"/>
      <c r="Q147" s="28" t="s">
        <v>108</v>
      </c>
      <c r="R147" s="18"/>
      <c r="S147" s="28" t="s">
        <v>108</v>
      </c>
      <c r="T147" s="18"/>
      <c r="U147" s="28" t="s">
        <v>108</v>
      </c>
      <c r="V147" s="18"/>
      <c r="W147" s="28" t="s">
        <v>108</v>
      </c>
      <c r="X147" s="18"/>
      <c r="Y147" s="28" t="s">
        <v>14</v>
      </c>
      <c r="Z147" s="18"/>
      <c r="AA147" s="28" t="s">
        <v>108</v>
      </c>
      <c r="AB147" s="18"/>
      <c r="AC147" s="28" t="s">
        <v>108</v>
      </c>
      <c r="AD147" s="18"/>
      <c r="AE147" s="28" t="s">
        <v>108</v>
      </c>
      <c r="AF147" s="47" t="str">
        <f t="shared" si="19"/>
        <v>C</v>
      </c>
      <c r="AG147" s="8" t="str">
        <f t="shared" si="21"/>
        <v>UTILIZOU O PDA CORRETAMENTE</v>
      </c>
      <c r="AH147" s="26" t="s">
        <v>108</v>
      </c>
      <c r="AI147" s="66" t="s">
        <v>1</v>
      </c>
      <c r="AJ147" s="22" t="str">
        <f t="shared" si="20"/>
        <v>GUARULHOS</v>
      </c>
      <c r="AK147" s="69" t="s">
        <v>4</v>
      </c>
    </row>
    <row r="148" spans="1:37" ht="30" customHeight="1" x14ac:dyDescent="0.2">
      <c r="A148" s="83" t="s">
        <v>101</v>
      </c>
      <c r="B148" s="83">
        <v>2690280803</v>
      </c>
      <c r="C148" s="83" t="s">
        <v>43</v>
      </c>
      <c r="D148" s="83" t="s">
        <v>29</v>
      </c>
      <c r="E148" s="83" t="s">
        <v>102</v>
      </c>
      <c r="F148" s="83" t="s">
        <v>621</v>
      </c>
      <c r="G148" s="83">
        <v>60</v>
      </c>
      <c r="H148" s="83" t="s">
        <v>622</v>
      </c>
      <c r="I148" s="83" t="s">
        <v>191</v>
      </c>
      <c r="J148" s="83" t="s">
        <v>188</v>
      </c>
      <c r="K148" s="83" t="s">
        <v>117</v>
      </c>
      <c r="L148" s="84" t="s">
        <v>585</v>
      </c>
      <c r="M148" s="84">
        <v>46330.545138888891</v>
      </c>
      <c r="N148" s="83" t="s">
        <v>151</v>
      </c>
      <c r="O148" s="35" t="s">
        <v>108</v>
      </c>
      <c r="P148" s="25"/>
      <c r="Q148" s="26" t="s">
        <v>108</v>
      </c>
      <c r="R148" s="25"/>
      <c r="S148" s="26" t="s">
        <v>108</v>
      </c>
      <c r="T148" s="25"/>
      <c r="U148" s="26" t="s">
        <v>108</v>
      </c>
      <c r="V148" s="25"/>
      <c r="W148" s="26" t="s">
        <v>108</v>
      </c>
      <c r="X148" s="25"/>
      <c r="Y148" s="26" t="s">
        <v>108</v>
      </c>
      <c r="Z148" s="25"/>
      <c r="AA148" s="26" t="s">
        <v>108</v>
      </c>
      <c r="AB148" s="25"/>
      <c r="AC148" s="26" t="s">
        <v>108</v>
      </c>
      <c r="AD148" s="10"/>
      <c r="AE148" s="26" t="s">
        <v>108</v>
      </c>
      <c r="AF148" s="47" t="str">
        <f t="shared" si="19"/>
        <v>C</v>
      </c>
      <c r="AG148" s="8" t="str">
        <f t="shared" si="21"/>
        <v>UTILIZOU O PDA CORRETAMENTE</v>
      </c>
      <c r="AH148" s="26" t="s">
        <v>108</v>
      </c>
      <c r="AI148" s="66" t="s">
        <v>1</v>
      </c>
      <c r="AJ148" s="22" t="str">
        <f t="shared" si="20"/>
        <v>GUARULHOS</v>
      </c>
      <c r="AK148" s="69" t="s">
        <v>4</v>
      </c>
    </row>
    <row r="149" spans="1:37" ht="30" customHeight="1" x14ac:dyDescent="0.2">
      <c r="A149" s="83" t="s">
        <v>101</v>
      </c>
      <c r="B149" s="83">
        <v>2615094883</v>
      </c>
      <c r="C149" s="83" t="s">
        <v>44</v>
      </c>
      <c r="D149" s="83" t="s">
        <v>29</v>
      </c>
      <c r="E149" s="83" t="s">
        <v>102</v>
      </c>
      <c r="F149" s="83" t="s">
        <v>634</v>
      </c>
      <c r="G149" s="83">
        <v>68</v>
      </c>
      <c r="H149" s="83" t="s">
        <v>635</v>
      </c>
      <c r="I149" s="83" t="s">
        <v>382</v>
      </c>
      <c r="J149" s="83" t="s">
        <v>194</v>
      </c>
      <c r="K149" s="83"/>
      <c r="L149" s="84" t="s">
        <v>585</v>
      </c>
      <c r="M149" s="84">
        <v>46330.575694444444</v>
      </c>
      <c r="N149" s="83" t="s">
        <v>163</v>
      </c>
      <c r="O149" s="35" t="s">
        <v>108</v>
      </c>
      <c r="P149" s="25"/>
      <c r="Q149" s="26" t="s">
        <v>108</v>
      </c>
      <c r="R149" s="25"/>
      <c r="S149" s="26" t="s">
        <v>108</v>
      </c>
      <c r="T149" s="25"/>
      <c r="U149" s="26" t="s">
        <v>108</v>
      </c>
      <c r="V149" s="25"/>
      <c r="W149" s="26" t="s">
        <v>108</v>
      </c>
      <c r="X149" s="25"/>
      <c r="Y149" s="26" t="s">
        <v>108</v>
      </c>
      <c r="Z149" s="25"/>
      <c r="AA149" s="26" t="s">
        <v>108</v>
      </c>
      <c r="AB149" s="25"/>
      <c r="AC149" s="26" t="s">
        <v>108</v>
      </c>
      <c r="AD149" s="10"/>
      <c r="AE149" s="26" t="s">
        <v>108</v>
      </c>
      <c r="AF149" s="47" t="str">
        <f t="shared" si="19"/>
        <v>C</v>
      </c>
      <c r="AG149" s="8" t="str">
        <f t="shared" si="21"/>
        <v>UTILIZOU O PDA CORRETAMENTE</v>
      </c>
      <c r="AH149" s="26" t="s">
        <v>108</v>
      </c>
      <c r="AI149" s="66" t="s">
        <v>1</v>
      </c>
      <c r="AJ149" s="22" t="str">
        <f t="shared" si="20"/>
        <v>GUARULHOS</v>
      </c>
      <c r="AK149" s="69" t="s">
        <v>4</v>
      </c>
    </row>
    <row r="150" spans="1:37" ht="30" customHeight="1" x14ac:dyDescent="0.2">
      <c r="A150" s="83" t="s">
        <v>101</v>
      </c>
      <c r="B150" s="83">
        <v>2690311279</v>
      </c>
      <c r="C150" s="83" t="s">
        <v>43</v>
      </c>
      <c r="D150" s="83" t="s">
        <v>29</v>
      </c>
      <c r="E150" s="83" t="s">
        <v>102</v>
      </c>
      <c r="F150" s="83" t="s">
        <v>638</v>
      </c>
      <c r="G150" s="83">
        <v>81</v>
      </c>
      <c r="H150" s="83" t="s">
        <v>639</v>
      </c>
      <c r="I150" s="83" t="s">
        <v>430</v>
      </c>
      <c r="J150" s="83" t="s">
        <v>188</v>
      </c>
      <c r="K150" s="83"/>
      <c r="L150" s="84" t="s">
        <v>585</v>
      </c>
      <c r="M150" s="84">
        <v>46330.67083333333</v>
      </c>
      <c r="N150" s="83" t="s">
        <v>146</v>
      </c>
      <c r="O150" s="35" t="s">
        <v>108</v>
      </c>
      <c r="P150" s="25"/>
      <c r="Q150" s="26" t="s">
        <v>108</v>
      </c>
      <c r="R150" s="25"/>
      <c r="S150" s="26" t="s">
        <v>108</v>
      </c>
      <c r="T150" s="25"/>
      <c r="U150" s="26" t="s">
        <v>108</v>
      </c>
      <c r="V150" s="25"/>
      <c r="W150" s="26" t="s">
        <v>108</v>
      </c>
      <c r="X150" s="25"/>
      <c r="Y150" s="26" t="s">
        <v>108</v>
      </c>
      <c r="Z150" s="25"/>
      <c r="AA150" s="26" t="s">
        <v>108</v>
      </c>
      <c r="AB150" s="25"/>
      <c r="AC150" s="26" t="s">
        <v>108</v>
      </c>
      <c r="AD150" s="10"/>
      <c r="AE150" s="26" t="s">
        <v>108</v>
      </c>
      <c r="AF150" s="47" t="str">
        <f t="shared" si="19"/>
        <v>C</v>
      </c>
      <c r="AG150" s="8" t="str">
        <f t="shared" si="21"/>
        <v>UTILIZOU O PDA CORRETAMENTE</v>
      </c>
      <c r="AH150" s="26" t="s">
        <v>108</v>
      </c>
      <c r="AI150" s="66" t="s">
        <v>1</v>
      </c>
      <c r="AJ150" s="22" t="str">
        <f t="shared" si="20"/>
        <v>GUARULHOS</v>
      </c>
      <c r="AK150" s="69" t="s">
        <v>4</v>
      </c>
    </row>
    <row r="151" spans="1:37" ht="30" customHeight="1" x14ac:dyDescent="0.2">
      <c r="A151" s="83" t="s">
        <v>101</v>
      </c>
      <c r="B151" s="83">
        <v>2690331156</v>
      </c>
      <c r="C151" s="83" t="s">
        <v>51</v>
      </c>
      <c r="D151" s="83" t="s">
        <v>29</v>
      </c>
      <c r="E151" s="83" t="s">
        <v>102</v>
      </c>
      <c r="F151" s="83" t="s">
        <v>641</v>
      </c>
      <c r="G151" s="83">
        <v>1068</v>
      </c>
      <c r="H151" s="83" t="s">
        <v>642</v>
      </c>
      <c r="I151" s="83" t="s">
        <v>143</v>
      </c>
      <c r="J151" s="83" t="s">
        <v>170</v>
      </c>
      <c r="K151" s="83"/>
      <c r="L151" s="84" t="s">
        <v>631</v>
      </c>
      <c r="M151" s="84">
        <v>46360.399305555555</v>
      </c>
      <c r="N151" s="83" t="s">
        <v>140</v>
      </c>
      <c r="O151" s="36" t="s">
        <v>108</v>
      </c>
      <c r="P151" s="18"/>
      <c r="Q151" s="28" t="s">
        <v>108</v>
      </c>
      <c r="R151" s="18"/>
      <c r="S151" s="28" t="s">
        <v>108</v>
      </c>
      <c r="T151" s="18"/>
      <c r="U151" s="28" t="s">
        <v>108</v>
      </c>
      <c r="V151" s="18"/>
      <c r="W151" s="28" t="s">
        <v>108</v>
      </c>
      <c r="X151" s="18"/>
      <c r="Y151" s="28" t="s">
        <v>14</v>
      </c>
      <c r="Z151" s="18"/>
      <c r="AA151" s="28" t="s">
        <v>108</v>
      </c>
      <c r="AB151" s="18"/>
      <c r="AC151" s="28" t="s">
        <v>108</v>
      </c>
      <c r="AD151" s="18"/>
      <c r="AE151" s="28" t="s">
        <v>108</v>
      </c>
      <c r="AF151" s="47" t="str">
        <f t="shared" si="19"/>
        <v>C</v>
      </c>
      <c r="AG151" s="8" t="str">
        <f t="shared" si="21"/>
        <v>UTILIZOU O PDA CORRETAMENTE</v>
      </c>
      <c r="AH151" s="26" t="s">
        <v>108</v>
      </c>
      <c r="AI151" s="66" t="s">
        <v>1</v>
      </c>
      <c r="AJ151" s="22" t="str">
        <f t="shared" si="20"/>
        <v>GUARULHOS</v>
      </c>
      <c r="AK151" s="69" t="s">
        <v>4</v>
      </c>
    </row>
    <row r="152" spans="1:37" ht="30" customHeight="1" x14ac:dyDescent="0.2">
      <c r="A152" s="83" t="s">
        <v>101</v>
      </c>
      <c r="B152" s="83">
        <v>2614440037</v>
      </c>
      <c r="C152" s="83" t="s">
        <v>42</v>
      </c>
      <c r="D152" s="83" t="s">
        <v>25</v>
      </c>
      <c r="E152" s="83" t="s">
        <v>102</v>
      </c>
      <c r="F152" s="83" t="s">
        <v>384</v>
      </c>
      <c r="G152" s="83">
        <v>322</v>
      </c>
      <c r="H152" s="83" t="s">
        <v>121</v>
      </c>
      <c r="I152" s="83" t="s">
        <v>118</v>
      </c>
      <c r="J152" s="83" t="s">
        <v>42</v>
      </c>
      <c r="K152" s="83"/>
      <c r="L152" s="84" t="s">
        <v>631</v>
      </c>
      <c r="M152" s="84">
        <v>46360.493750000001</v>
      </c>
      <c r="N152" s="83" t="s">
        <v>107</v>
      </c>
      <c r="O152" s="36" t="s">
        <v>108</v>
      </c>
      <c r="P152" s="18"/>
      <c r="Q152" s="28" t="s">
        <v>108</v>
      </c>
      <c r="R152" s="18"/>
      <c r="S152" s="28" t="s">
        <v>108</v>
      </c>
      <c r="T152" s="18"/>
      <c r="U152" s="28" t="s">
        <v>108</v>
      </c>
      <c r="V152" s="18"/>
      <c r="W152" s="28" t="s">
        <v>108</v>
      </c>
      <c r="X152" s="18"/>
      <c r="Y152" s="28" t="s">
        <v>108</v>
      </c>
      <c r="Z152" s="18"/>
      <c r="AA152" s="28" t="s">
        <v>108</v>
      </c>
      <c r="AB152" s="18"/>
      <c r="AC152" s="28" t="s">
        <v>108</v>
      </c>
      <c r="AD152" s="18"/>
      <c r="AE152" s="28" t="s">
        <v>108</v>
      </c>
      <c r="AF152" s="47" t="str">
        <f t="shared" si="19"/>
        <v>C</v>
      </c>
      <c r="AG152" s="8" t="str">
        <f t="shared" si="21"/>
        <v>UTILIZOU O PDA CORRETAMENTE</v>
      </c>
      <c r="AH152" s="28" t="s">
        <v>108</v>
      </c>
      <c r="AI152" s="66" t="s">
        <v>1</v>
      </c>
      <c r="AJ152" s="22" t="str">
        <f t="shared" si="20"/>
        <v>GUARULHOS</v>
      </c>
      <c r="AK152" s="69" t="s">
        <v>4</v>
      </c>
    </row>
    <row r="153" spans="1:37" ht="30" customHeight="1" x14ac:dyDescent="0.2">
      <c r="A153" s="83" t="s">
        <v>101</v>
      </c>
      <c r="B153" s="83">
        <v>2614440041</v>
      </c>
      <c r="C153" s="83" t="s">
        <v>42</v>
      </c>
      <c r="D153" s="83" t="s">
        <v>25</v>
      </c>
      <c r="E153" s="83" t="s">
        <v>102</v>
      </c>
      <c r="F153" s="83" t="s">
        <v>384</v>
      </c>
      <c r="G153" s="83">
        <v>322</v>
      </c>
      <c r="H153" s="83" t="s">
        <v>322</v>
      </c>
      <c r="I153" s="83" t="s">
        <v>118</v>
      </c>
      <c r="J153" s="83" t="s">
        <v>42</v>
      </c>
      <c r="K153" s="83" t="s">
        <v>643</v>
      </c>
      <c r="L153" s="84" t="s">
        <v>631</v>
      </c>
      <c r="M153" s="84">
        <v>46360.496527777781</v>
      </c>
      <c r="N153" s="83" t="s">
        <v>107</v>
      </c>
      <c r="O153" s="36" t="s">
        <v>108</v>
      </c>
      <c r="P153" s="18"/>
      <c r="Q153" s="28" t="s">
        <v>108</v>
      </c>
      <c r="R153" s="18"/>
      <c r="S153" s="28" t="s">
        <v>108</v>
      </c>
      <c r="T153" s="18"/>
      <c r="U153" s="28" t="s">
        <v>108</v>
      </c>
      <c r="V153" s="18"/>
      <c r="W153" s="28" t="s">
        <v>108</v>
      </c>
      <c r="X153" s="18"/>
      <c r="Y153" s="28" t="s">
        <v>108</v>
      </c>
      <c r="Z153" s="18"/>
      <c r="AA153" s="28" t="s">
        <v>108</v>
      </c>
      <c r="AB153" s="18"/>
      <c r="AC153" s="28" t="s">
        <v>108</v>
      </c>
      <c r="AD153" s="18"/>
      <c r="AE153" s="28" t="s">
        <v>108</v>
      </c>
      <c r="AF153" s="47" t="str">
        <f t="shared" si="19"/>
        <v>C</v>
      </c>
      <c r="AG153" s="8" t="str">
        <f t="shared" ref="AG153:AG172" si="22">IF(AND(AE153="C",AF153="C"),"UTILIZOU O PDA CORRETAMENTE",IF(AND(AE153="C",AF153="NC"),"UTILIZOU O PDA CORRETAMENTE. NÃO HÁ FOTOS DE TODAS AS ETAPAS",IF(AND(AE153="NC",AF153="NC"),"NÃO UTILIZOU O PDA",IF(AND(AE153="NA",AF153="NA"),"NÃO AVALIADO POR FALHA DE SINCRONISMO"))))</f>
        <v>UTILIZOU O PDA CORRETAMENTE</v>
      </c>
      <c r="AH153" s="28" t="s">
        <v>108</v>
      </c>
      <c r="AI153" s="66" t="s">
        <v>1</v>
      </c>
      <c r="AJ153" s="22" t="str">
        <f t="shared" si="20"/>
        <v>GUARULHOS</v>
      </c>
      <c r="AK153" s="69" t="s">
        <v>4</v>
      </c>
    </row>
    <row r="154" spans="1:37" ht="30" customHeight="1" x14ac:dyDescent="0.2">
      <c r="A154" s="83" t="s">
        <v>101</v>
      </c>
      <c r="B154" s="83">
        <v>2614440013</v>
      </c>
      <c r="C154" s="83" t="s">
        <v>40</v>
      </c>
      <c r="D154" s="83" t="s">
        <v>25</v>
      </c>
      <c r="E154" s="83" t="s">
        <v>102</v>
      </c>
      <c r="F154" s="83" t="s">
        <v>384</v>
      </c>
      <c r="G154" s="83">
        <v>322</v>
      </c>
      <c r="H154" s="83" t="s">
        <v>110</v>
      </c>
      <c r="I154" s="83" t="s">
        <v>118</v>
      </c>
      <c r="J154" s="83" t="s">
        <v>40</v>
      </c>
      <c r="K154" s="83"/>
      <c r="L154" s="84" t="s">
        <v>631</v>
      </c>
      <c r="M154" s="84">
        <v>46360.461111111108</v>
      </c>
      <c r="N154" s="83" t="s">
        <v>107</v>
      </c>
      <c r="O154" s="36" t="s">
        <v>108</v>
      </c>
      <c r="P154" s="18"/>
      <c r="Q154" s="28" t="s">
        <v>108</v>
      </c>
      <c r="R154" s="18"/>
      <c r="S154" s="28" t="s">
        <v>108</v>
      </c>
      <c r="T154" s="18"/>
      <c r="U154" s="28" t="s">
        <v>108</v>
      </c>
      <c r="V154" s="18"/>
      <c r="W154" s="28" t="s">
        <v>108</v>
      </c>
      <c r="X154" s="18"/>
      <c r="Y154" s="28" t="s">
        <v>108</v>
      </c>
      <c r="Z154" s="18"/>
      <c r="AA154" s="28" t="s">
        <v>108</v>
      </c>
      <c r="AB154" s="18"/>
      <c r="AC154" s="28" t="s">
        <v>108</v>
      </c>
      <c r="AD154" s="18"/>
      <c r="AE154" s="28" t="s">
        <v>108</v>
      </c>
      <c r="AF154" s="47" t="str">
        <f t="shared" si="19"/>
        <v>C</v>
      </c>
      <c r="AG154" s="8" t="str">
        <f t="shared" si="22"/>
        <v>UTILIZOU O PDA CORRETAMENTE</v>
      </c>
      <c r="AH154" s="28" t="s">
        <v>108</v>
      </c>
      <c r="AI154" s="66" t="s">
        <v>1</v>
      </c>
      <c r="AJ154" s="22" t="str">
        <f t="shared" si="20"/>
        <v>GUARULHOS</v>
      </c>
      <c r="AK154" s="69" t="s">
        <v>4</v>
      </c>
    </row>
    <row r="155" spans="1:37" ht="30" customHeight="1" x14ac:dyDescent="0.2">
      <c r="A155" s="83" t="s">
        <v>101</v>
      </c>
      <c r="B155" s="83">
        <v>2614440027</v>
      </c>
      <c r="C155" s="83" t="s">
        <v>42</v>
      </c>
      <c r="D155" s="83" t="s">
        <v>25</v>
      </c>
      <c r="E155" s="83" t="s">
        <v>102</v>
      </c>
      <c r="F155" s="83" t="s">
        <v>384</v>
      </c>
      <c r="G155" s="83">
        <v>322</v>
      </c>
      <c r="H155" s="83" t="s">
        <v>115</v>
      </c>
      <c r="I155" s="83" t="s">
        <v>118</v>
      </c>
      <c r="J155" s="83" t="s">
        <v>42</v>
      </c>
      <c r="K155" s="83" t="s">
        <v>644</v>
      </c>
      <c r="L155" s="84" t="s">
        <v>631</v>
      </c>
      <c r="M155" s="84">
        <v>46360.472222222219</v>
      </c>
      <c r="N155" s="83" t="s">
        <v>107</v>
      </c>
      <c r="O155" s="36" t="s">
        <v>108</v>
      </c>
      <c r="P155" s="18"/>
      <c r="Q155" s="28" t="s">
        <v>108</v>
      </c>
      <c r="R155" s="18"/>
      <c r="S155" s="28" t="s">
        <v>108</v>
      </c>
      <c r="T155" s="18"/>
      <c r="U155" s="28" t="s">
        <v>108</v>
      </c>
      <c r="V155" s="18"/>
      <c r="W155" s="28" t="s">
        <v>108</v>
      </c>
      <c r="X155" s="18"/>
      <c r="Y155" s="28" t="s">
        <v>108</v>
      </c>
      <c r="Z155" s="18"/>
      <c r="AA155" s="28" t="s">
        <v>108</v>
      </c>
      <c r="AB155" s="18"/>
      <c r="AC155" s="28" t="s">
        <v>108</v>
      </c>
      <c r="AD155" s="18"/>
      <c r="AE155" s="28" t="s">
        <v>108</v>
      </c>
      <c r="AF155" s="47" t="str">
        <f t="shared" si="19"/>
        <v>C</v>
      </c>
      <c r="AG155" s="8" t="str">
        <f t="shared" si="22"/>
        <v>UTILIZOU O PDA CORRETAMENTE</v>
      </c>
      <c r="AH155" s="28" t="s">
        <v>108</v>
      </c>
      <c r="AI155" s="66" t="s">
        <v>1</v>
      </c>
      <c r="AJ155" s="22" t="str">
        <f t="shared" si="20"/>
        <v>GUARULHOS</v>
      </c>
      <c r="AK155" s="69" t="s">
        <v>4</v>
      </c>
    </row>
    <row r="156" spans="1:37" ht="30" customHeight="1" x14ac:dyDescent="0.2">
      <c r="A156" s="83" t="s">
        <v>101</v>
      </c>
      <c r="B156" s="83">
        <v>2690358550</v>
      </c>
      <c r="C156" s="83" t="s">
        <v>46</v>
      </c>
      <c r="D156" s="83" t="s">
        <v>29</v>
      </c>
      <c r="E156" s="83" t="s">
        <v>102</v>
      </c>
      <c r="F156" s="83" t="s">
        <v>329</v>
      </c>
      <c r="G156" s="83">
        <v>131</v>
      </c>
      <c r="H156" s="83" t="s">
        <v>322</v>
      </c>
      <c r="I156" s="83" t="s">
        <v>520</v>
      </c>
      <c r="J156" s="83" t="s">
        <v>170</v>
      </c>
      <c r="K156" s="83"/>
      <c r="L156" s="84" t="s">
        <v>631</v>
      </c>
      <c r="M156" s="84">
        <v>46360.681944444441</v>
      </c>
      <c r="N156" s="83" t="s">
        <v>131</v>
      </c>
      <c r="O156" s="36" t="s">
        <v>108</v>
      </c>
      <c r="P156" s="18"/>
      <c r="Q156" s="28" t="s">
        <v>108</v>
      </c>
      <c r="R156" s="18"/>
      <c r="S156" s="28" t="s">
        <v>108</v>
      </c>
      <c r="T156" s="18"/>
      <c r="U156" s="28" t="s">
        <v>108</v>
      </c>
      <c r="V156" s="18"/>
      <c r="W156" s="28" t="s">
        <v>108</v>
      </c>
      <c r="X156" s="18"/>
      <c r="Y156" s="28" t="s">
        <v>14</v>
      </c>
      <c r="Z156" s="18"/>
      <c r="AA156" s="28" t="s">
        <v>108</v>
      </c>
      <c r="AB156" s="18"/>
      <c r="AC156" s="28" t="s">
        <v>108</v>
      </c>
      <c r="AD156" s="18"/>
      <c r="AE156" s="28" t="s">
        <v>108</v>
      </c>
      <c r="AF156" s="47" t="str">
        <f t="shared" si="19"/>
        <v>C</v>
      </c>
      <c r="AG156" s="8" t="str">
        <f t="shared" si="22"/>
        <v>UTILIZOU O PDA CORRETAMENTE</v>
      </c>
      <c r="AH156" s="26" t="s">
        <v>108</v>
      </c>
      <c r="AI156" s="66" t="s">
        <v>1</v>
      </c>
      <c r="AJ156" s="22" t="str">
        <f t="shared" si="20"/>
        <v>GUARULHOS</v>
      </c>
      <c r="AK156" s="69" t="s">
        <v>4</v>
      </c>
    </row>
    <row r="157" spans="1:37" ht="30" customHeight="1" x14ac:dyDescent="0.2">
      <c r="A157" s="83" t="s">
        <v>101</v>
      </c>
      <c r="B157" s="83">
        <v>2615494506</v>
      </c>
      <c r="C157" s="83" t="s">
        <v>51</v>
      </c>
      <c r="D157" s="83" t="s">
        <v>29</v>
      </c>
      <c r="E157" s="83" t="s">
        <v>102</v>
      </c>
      <c r="F157" s="83" t="s">
        <v>646</v>
      </c>
      <c r="G157" s="83">
        <v>362</v>
      </c>
      <c r="H157" s="83" t="s">
        <v>110</v>
      </c>
      <c r="I157" s="83" t="s">
        <v>647</v>
      </c>
      <c r="J157" s="83" t="s">
        <v>170</v>
      </c>
      <c r="K157" s="83" t="s">
        <v>648</v>
      </c>
      <c r="L157" s="84" t="s">
        <v>631</v>
      </c>
      <c r="M157" s="84">
        <v>46360.617361111108</v>
      </c>
      <c r="N157" s="83" t="s">
        <v>180</v>
      </c>
      <c r="O157" s="36" t="s">
        <v>108</v>
      </c>
      <c r="P157" s="18"/>
      <c r="Q157" s="28" t="s">
        <v>108</v>
      </c>
      <c r="R157" s="18"/>
      <c r="S157" s="28" t="s">
        <v>108</v>
      </c>
      <c r="T157" s="18"/>
      <c r="U157" s="28" t="s">
        <v>108</v>
      </c>
      <c r="V157" s="18"/>
      <c r="W157" s="28" t="s">
        <v>108</v>
      </c>
      <c r="X157" s="18"/>
      <c r="Y157" s="28" t="s">
        <v>14</v>
      </c>
      <c r="Z157" s="18"/>
      <c r="AA157" s="28" t="s">
        <v>108</v>
      </c>
      <c r="AB157" s="18"/>
      <c r="AC157" s="28" t="s">
        <v>108</v>
      </c>
      <c r="AD157" s="18"/>
      <c r="AE157" s="28" t="s">
        <v>108</v>
      </c>
      <c r="AF157" s="47" t="str">
        <f t="shared" si="19"/>
        <v>C</v>
      </c>
      <c r="AG157" s="8" t="str">
        <f t="shared" si="22"/>
        <v>UTILIZOU O PDA CORRETAMENTE</v>
      </c>
      <c r="AH157" s="26" t="s">
        <v>108</v>
      </c>
      <c r="AI157" s="66" t="s">
        <v>1</v>
      </c>
      <c r="AJ157" s="22" t="str">
        <f t="shared" si="20"/>
        <v>GUARULHOS</v>
      </c>
      <c r="AK157" s="69" t="s">
        <v>4</v>
      </c>
    </row>
    <row r="158" spans="1:37" ht="30" customHeight="1" x14ac:dyDescent="0.2">
      <c r="A158" s="82" t="s">
        <v>101</v>
      </c>
      <c r="B158" s="82">
        <v>2615421241</v>
      </c>
      <c r="C158" s="82" t="s">
        <v>49</v>
      </c>
      <c r="D158" s="82" t="s">
        <v>29</v>
      </c>
      <c r="E158" s="82" t="s">
        <v>102</v>
      </c>
      <c r="F158" s="82" t="s">
        <v>651</v>
      </c>
      <c r="G158" s="82">
        <v>607</v>
      </c>
      <c r="H158" s="82" t="s">
        <v>652</v>
      </c>
      <c r="I158" s="82" t="s">
        <v>382</v>
      </c>
      <c r="J158" s="82" t="s">
        <v>130</v>
      </c>
      <c r="K158" s="82" t="s">
        <v>117</v>
      </c>
      <c r="L158" s="82" t="s">
        <v>653</v>
      </c>
      <c r="M158" s="82" t="s">
        <v>654</v>
      </c>
      <c r="N158" s="82" t="s">
        <v>140</v>
      </c>
      <c r="O158" s="36" t="s">
        <v>108</v>
      </c>
      <c r="P158" s="18"/>
      <c r="Q158" s="28" t="s">
        <v>108</v>
      </c>
      <c r="R158" s="18"/>
      <c r="S158" s="28" t="s">
        <v>108</v>
      </c>
      <c r="T158" s="18"/>
      <c r="U158" s="28" t="s">
        <v>108</v>
      </c>
      <c r="V158" s="18"/>
      <c r="W158" s="28" t="s">
        <v>108</v>
      </c>
      <c r="X158" s="18"/>
      <c r="Y158" s="28" t="s">
        <v>14</v>
      </c>
      <c r="Z158" s="18"/>
      <c r="AA158" s="28" t="s">
        <v>108</v>
      </c>
      <c r="AB158" s="18"/>
      <c r="AC158" s="28" t="s">
        <v>108</v>
      </c>
      <c r="AD158" s="18"/>
      <c r="AE158" s="28" t="s">
        <v>108</v>
      </c>
      <c r="AF158" s="47" t="str">
        <f t="shared" si="19"/>
        <v>C</v>
      </c>
      <c r="AG158" s="8" t="str">
        <f t="shared" si="22"/>
        <v>UTILIZOU O PDA CORRETAMENTE</v>
      </c>
      <c r="AH158" s="26" t="s">
        <v>108</v>
      </c>
      <c r="AI158" s="66" t="s">
        <v>1</v>
      </c>
      <c r="AJ158" s="22" t="str">
        <f t="shared" si="20"/>
        <v>GUARULHOS</v>
      </c>
      <c r="AK158" s="69" t="s">
        <v>4</v>
      </c>
    </row>
    <row r="159" spans="1:37" ht="30" customHeight="1" x14ac:dyDescent="0.2">
      <c r="A159" s="82" t="s">
        <v>101</v>
      </c>
      <c r="B159" s="82">
        <v>2615498699</v>
      </c>
      <c r="C159" s="82" t="s">
        <v>51</v>
      </c>
      <c r="D159" s="82" t="s">
        <v>29</v>
      </c>
      <c r="E159" s="82" t="s">
        <v>102</v>
      </c>
      <c r="F159" s="82" t="s">
        <v>655</v>
      </c>
      <c r="G159" s="82">
        <v>4197</v>
      </c>
      <c r="H159" s="82" t="s">
        <v>656</v>
      </c>
      <c r="I159" s="82" t="s">
        <v>367</v>
      </c>
      <c r="J159" s="82" t="s">
        <v>170</v>
      </c>
      <c r="K159" s="82"/>
      <c r="L159" s="82" t="s">
        <v>653</v>
      </c>
      <c r="M159" s="82" t="s">
        <v>657</v>
      </c>
      <c r="N159" s="82" t="s">
        <v>171</v>
      </c>
      <c r="O159" s="36" t="s">
        <v>108</v>
      </c>
      <c r="P159" s="18"/>
      <c r="Q159" s="28" t="s">
        <v>108</v>
      </c>
      <c r="R159" s="18"/>
      <c r="S159" s="28" t="s">
        <v>108</v>
      </c>
      <c r="T159" s="18"/>
      <c r="U159" s="28" t="s">
        <v>108</v>
      </c>
      <c r="V159" s="18"/>
      <c r="W159" s="28" t="s">
        <v>108</v>
      </c>
      <c r="X159" s="18"/>
      <c r="Y159" s="28" t="s">
        <v>14</v>
      </c>
      <c r="Z159" s="18"/>
      <c r="AA159" s="28" t="s">
        <v>108</v>
      </c>
      <c r="AB159" s="18"/>
      <c r="AC159" s="28" t="s">
        <v>108</v>
      </c>
      <c r="AD159" s="18"/>
      <c r="AE159" s="28" t="s">
        <v>108</v>
      </c>
      <c r="AF159" s="47" t="str">
        <f t="shared" si="19"/>
        <v>C</v>
      </c>
      <c r="AG159" s="8" t="str">
        <f t="shared" si="22"/>
        <v>UTILIZOU O PDA CORRETAMENTE</v>
      </c>
      <c r="AH159" s="26" t="s">
        <v>108</v>
      </c>
      <c r="AI159" s="66" t="s">
        <v>1</v>
      </c>
      <c r="AJ159" s="22" t="str">
        <f t="shared" si="20"/>
        <v>GUARULHOS</v>
      </c>
      <c r="AK159" s="69" t="s">
        <v>4</v>
      </c>
    </row>
    <row r="160" spans="1:37" ht="30" customHeight="1" x14ac:dyDescent="0.2">
      <c r="A160" s="82" t="s">
        <v>101</v>
      </c>
      <c r="B160" s="82">
        <v>2615305031</v>
      </c>
      <c r="C160" s="82" t="s">
        <v>50</v>
      </c>
      <c r="D160" s="82" t="s">
        <v>29</v>
      </c>
      <c r="E160" s="82" t="s">
        <v>102</v>
      </c>
      <c r="F160" s="82" t="s">
        <v>658</v>
      </c>
      <c r="G160" s="82">
        <v>77</v>
      </c>
      <c r="H160" s="82" t="s">
        <v>659</v>
      </c>
      <c r="I160" s="82" t="s">
        <v>576</v>
      </c>
      <c r="J160" s="82" t="s">
        <v>130</v>
      </c>
      <c r="K160" s="82" t="s">
        <v>117</v>
      </c>
      <c r="L160" s="82" t="s">
        <v>653</v>
      </c>
      <c r="M160" s="82" t="s">
        <v>660</v>
      </c>
      <c r="N160" s="82" t="s">
        <v>163</v>
      </c>
      <c r="O160" s="36" t="s">
        <v>108</v>
      </c>
      <c r="P160" s="18"/>
      <c r="Q160" s="28" t="s">
        <v>108</v>
      </c>
      <c r="R160" s="18"/>
      <c r="S160" s="28" t="s">
        <v>108</v>
      </c>
      <c r="T160" s="18"/>
      <c r="U160" s="28" t="s">
        <v>108</v>
      </c>
      <c r="V160" s="18"/>
      <c r="W160" s="28" t="s">
        <v>108</v>
      </c>
      <c r="X160" s="18"/>
      <c r="Y160" s="28" t="s">
        <v>14</v>
      </c>
      <c r="Z160" s="18"/>
      <c r="AA160" s="28" t="s">
        <v>108</v>
      </c>
      <c r="AB160" s="18"/>
      <c r="AC160" s="28" t="s">
        <v>108</v>
      </c>
      <c r="AD160" s="18"/>
      <c r="AE160" s="28" t="s">
        <v>108</v>
      </c>
      <c r="AF160" s="47" t="str">
        <f t="shared" si="19"/>
        <v>C</v>
      </c>
      <c r="AG160" s="8" t="str">
        <f t="shared" si="22"/>
        <v>UTILIZOU O PDA CORRETAMENTE</v>
      </c>
      <c r="AH160" s="26" t="s">
        <v>108</v>
      </c>
      <c r="AI160" s="66" t="s">
        <v>1</v>
      </c>
      <c r="AJ160" s="22" t="str">
        <f t="shared" si="20"/>
        <v>GUARULHOS</v>
      </c>
      <c r="AK160" s="69" t="s">
        <v>4</v>
      </c>
    </row>
    <row r="161" spans="1:37" ht="30" customHeight="1" x14ac:dyDescent="0.2">
      <c r="A161" s="82" t="s">
        <v>101</v>
      </c>
      <c r="B161" s="82">
        <v>2615151507</v>
      </c>
      <c r="C161" s="82" t="s">
        <v>41</v>
      </c>
      <c r="D161" s="82" t="s">
        <v>25</v>
      </c>
      <c r="E161" s="82" t="s">
        <v>102</v>
      </c>
      <c r="F161" s="82" t="s">
        <v>663</v>
      </c>
      <c r="G161" s="82">
        <v>165</v>
      </c>
      <c r="H161" s="82" t="s">
        <v>322</v>
      </c>
      <c r="I161" s="82" t="s">
        <v>664</v>
      </c>
      <c r="J161" s="82" t="s">
        <v>41</v>
      </c>
      <c r="K161" s="82" t="s">
        <v>117</v>
      </c>
      <c r="L161" s="82" t="s">
        <v>653</v>
      </c>
      <c r="M161" s="82" t="s">
        <v>665</v>
      </c>
      <c r="N161" s="82" t="s">
        <v>113</v>
      </c>
      <c r="O161" s="36" t="s">
        <v>108</v>
      </c>
      <c r="P161" s="18"/>
      <c r="Q161" s="28" t="s">
        <v>108</v>
      </c>
      <c r="R161" s="18"/>
      <c r="S161" s="28" t="s">
        <v>108</v>
      </c>
      <c r="T161" s="18"/>
      <c r="U161" s="28" t="s">
        <v>108</v>
      </c>
      <c r="V161" s="18"/>
      <c r="W161" s="28" t="s">
        <v>108</v>
      </c>
      <c r="X161" s="18"/>
      <c r="Y161" s="28" t="s">
        <v>14</v>
      </c>
      <c r="Z161" s="18"/>
      <c r="AA161" s="28" t="s">
        <v>108</v>
      </c>
      <c r="AB161" s="18"/>
      <c r="AC161" s="28" t="s">
        <v>108</v>
      </c>
      <c r="AD161" s="18"/>
      <c r="AE161" s="28" t="s">
        <v>108</v>
      </c>
      <c r="AF161" s="47" t="str">
        <f t="shared" si="19"/>
        <v>C</v>
      </c>
      <c r="AG161" s="8" t="str">
        <f t="shared" si="22"/>
        <v>UTILIZOU O PDA CORRETAMENTE</v>
      </c>
      <c r="AH161" s="28" t="s">
        <v>108</v>
      </c>
      <c r="AI161" s="66" t="s">
        <v>1</v>
      </c>
      <c r="AJ161" s="22" t="str">
        <f t="shared" si="20"/>
        <v>GUARULHOS</v>
      </c>
      <c r="AK161" s="69" t="s">
        <v>4</v>
      </c>
    </row>
    <row r="162" spans="1:37" ht="30" customHeight="1" x14ac:dyDescent="0.2">
      <c r="A162" s="82" t="s">
        <v>101</v>
      </c>
      <c r="B162" s="82">
        <v>2615151463</v>
      </c>
      <c r="C162" s="82" t="s">
        <v>41</v>
      </c>
      <c r="D162" s="82" t="s">
        <v>25</v>
      </c>
      <c r="E162" s="82" t="s">
        <v>102</v>
      </c>
      <c r="F162" s="82" t="s">
        <v>663</v>
      </c>
      <c r="G162" s="82">
        <v>165</v>
      </c>
      <c r="H162" s="82" t="s">
        <v>121</v>
      </c>
      <c r="I162" s="82" t="s">
        <v>664</v>
      </c>
      <c r="J162" s="82" t="s">
        <v>41</v>
      </c>
      <c r="K162" s="82"/>
      <c r="L162" s="82" t="s">
        <v>653</v>
      </c>
      <c r="M162" s="82" t="s">
        <v>666</v>
      </c>
      <c r="N162" s="82" t="s">
        <v>113</v>
      </c>
      <c r="O162" s="36" t="s">
        <v>108</v>
      </c>
      <c r="P162" s="18"/>
      <c r="Q162" s="28" t="s">
        <v>108</v>
      </c>
      <c r="R162" s="18"/>
      <c r="S162" s="28" t="s">
        <v>108</v>
      </c>
      <c r="T162" s="18"/>
      <c r="U162" s="28" t="s">
        <v>108</v>
      </c>
      <c r="V162" s="18"/>
      <c r="W162" s="28" t="s">
        <v>108</v>
      </c>
      <c r="X162" s="18"/>
      <c r="Y162" s="28" t="s">
        <v>14</v>
      </c>
      <c r="Z162" s="18"/>
      <c r="AA162" s="28" t="s">
        <v>108</v>
      </c>
      <c r="AB162" s="18"/>
      <c r="AC162" s="28" t="s">
        <v>108</v>
      </c>
      <c r="AD162" s="18"/>
      <c r="AE162" s="28" t="s">
        <v>108</v>
      </c>
      <c r="AF162" s="47" t="str">
        <f t="shared" si="19"/>
        <v>C</v>
      </c>
      <c r="AG162" s="8" t="str">
        <f t="shared" si="22"/>
        <v>UTILIZOU O PDA CORRETAMENTE</v>
      </c>
      <c r="AH162" s="28" t="s">
        <v>108</v>
      </c>
      <c r="AI162" s="66" t="s">
        <v>1</v>
      </c>
      <c r="AJ162" s="22" t="str">
        <f t="shared" si="20"/>
        <v>GUARULHOS</v>
      </c>
      <c r="AK162" s="69" t="s">
        <v>4</v>
      </c>
    </row>
    <row r="163" spans="1:37" ht="30" customHeight="1" x14ac:dyDescent="0.2">
      <c r="A163" s="82" t="s">
        <v>101</v>
      </c>
      <c r="B163" s="82">
        <v>2615075522</v>
      </c>
      <c r="C163" s="82" t="s">
        <v>40</v>
      </c>
      <c r="D163" s="82" t="s">
        <v>25</v>
      </c>
      <c r="E163" s="82" t="s">
        <v>102</v>
      </c>
      <c r="F163" s="82" t="s">
        <v>661</v>
      </c>
      <c r="G163" s="82">
        <v>90</v>
      </c>
      <c r="H163" s="82" t="s">
        <v>284</v>
      </c>
      <c r="I163" s="82" t="s">
        <v>662</v>
      </c>
      <c r="J163" s="82" t="s">
        <v>40</v>
      </c>
      <c r="K163" s="82" t="s">
        <v>668</v>
      </c>
      <c r="L163" s="82" t="s">
        <v>653</v>
      </c>
      <c r="M163" s="82" t="s">
        <v>669</v>
      </c>
      <c r="N163" s="82" t="s">
        <v>274</v>
      </c>
      <c r="O163" s="36" t="s">
        <v>108</v>
      </c>
      <c r="P163" s="18"/>
      <c r="Q163" s="28" t="s">
        <v>108</v>
      </c>
      <c r="R163" s="18"/>
      <c r="S163" s="28" t="s">
        <v>108</v>
      </c>
      <c r="T163" s="18"/>
      <c r="U163" s="28" t="s">
        <v>108</v>
      </c>
      <c r="V163" s="18"/>
      <c r="W163" s="28" t="s">
        <v>108</v>
      </c>
      <c r="X163" s="18"/>
      <c r="Y163" s="28" t="s">
        <v>108</v>
      </c>
      <c r="Z163" s="18"/>
      <c r="AA163" s="28" t="s">
        <v>108</v>
      </c>
      <c r="AB163" s="18"/>
      <c r="AC163" s="28" t="s">
        <v>108</v>
      </c>
      <c r="AD163" s="18"/>
      <c r="AE163" s="28" t="s">
        <v>108</v>
      </c>
      <c r="AF163" s="47" t="str">
        <f t="shared" si="19"/>
        <v>C</v>
      </c>
      <c r="AG163" s="8" t="str">
        <f t="shared" si="22"/>
        <v>UTILIZOU O PDA CORRETAMENTE</v>
      </c>
      <c r="AH163" s="28" t="s">
        <v>108</v>
      </c>
      <c r="AI163" s="66" t="s">
        <v>1</v>
      </c>
      <c r="AJ163" s="22" t="str">
        <f t="shared" si="20"/>
        <v>GUARULHOS</v>
      </c>
      <c r="AK163" s="69" t="s">
        <v>4</v>
      </c>
    </row>
    <row r="164" spans="1:37" ht="30" customHeight="1" x14ac:dyDescent="0.2">
      <c r="A164" s="82" t="s">
        <v>101</v>
      </c>
      <c r="B164" s="82">
        <v>2615161145</v>
      </c>
      <c r="C164" s="82" t="s">
        <v>41</v>
      </c>
      <c r="D164" s="82" t="s">
        <v>25</v>
      </c>
      <c r="E164" s="82" t="s">
        <v>102</v>
      </c>
      <c r="F164" s="82" t="s">
        <v>670</v>
      </c>
      <c r="G164" s="82">
        <v>137</v>
      </c>
      <c r="H164" s="82" t="s">
        <v>671</v>
      </c>
      <c r="I164" s="82" t="s">
        <v>327</v>
      </c>
      <c r="J164" s="82" t="s">
        <v>41</v>
      </c>
      <c r="K164" s="82" t="s">
        <v>672</v>
      </c>
      <c r="L164" s="82" t="s">
        <v>653</v>
      </c>
      <c r="M164" s="82" t="s">
        <v>673</v>
      </c>
      <c r="N164" s="82" t="s">
        <v>274</v>
      </c>
      <c r="O164" s="36" t="s">
        <v>108</v>
      </c>
      <c r="P164" s="18"/>
      <c r="Q164" s="28" t="s">
        <v>14</v>
      </c>
      <c r="R164" s="18"/>
      <c r="S164" s="28" t="s">
        <v>14</v>
      </c>
      <c r="T164" s="18"/>
      <c r="U164" s="28" t="s">
        <v>14</v>
      </c>
      <c r="V164" s="18"/>
      <c r="W164" s="28" t="s">
        <v>14</v>
      </c>
      <c r="X164" s="18"/>
      <c r="Y164" s="28" t="s">
        <v>14</v>
      </c>
      <c r="Z164" s="18"/>
      <c r="AA164" s="28" t="s">
        <v>108</v>
      </c>
      <c r="AB164" s="18"/>
      <c r="AC164" s="28" t="s">
        <v>108</v>
      </c>
      <c r="AD164" s="18"/>
      <c r="AE164" s="28" t="s">
        <v>108</v>
      </c>
      <c r="AF164" s="47" t="str">
        <f t="shared" si="19"/>
        <v>C</v>
      </c>
      <c r="AG164" s="8" t="str">
        <f t="shared" si="22"/>
        <v>UTILIZOU O PDA CORRETAMENTE</v>
      </c>
      <c r="AH164" s="28" t="s">
        <v>108</v>
      </c>
      <c r="AI164" s="66" t="s">
        <v>1</v>
      </c>
      <c r="AJ164" s="22" t="str">
        <f t="shared" si="20"/>
        <v>GUARULHOS</v>
      </c>
      <c r="AK164" s="69" t="s">
        <v>4</v>
      </c>
    </row>
    <row r="165" spans="1:37" ht="30" customHeight="1" x14ac:dyDescent="0.2">
      <c r="A165" s="82" t="s">
        <v>101</v>
      </c>
      <c r="B165" s="82">
        <v>2615161143</v>
      </c>
      <c r="C165" s="82" t="s">
        <v>39</v>
      </c>
      <c r="D165" s="82" t="s">
        <v>25</v>
      </c>
      <c r="E165" s="82" t="s">
        <v>102</v>
      </c>
      <c r="F165" s="82" t="s">
        <v>670</v>
      </c>
      <c r="G165" s="82">
        <v>137</v>
      </c>
      <c r="H165" s="82" t="s">
        <v>674</v>
      </c>
      <c r="I165" s="82" t="s">
        <v>327</v>
      </c>
      <c r="J165" s="82" t="s">
        <v>39</v>
      </c>
      <c r="K165" s="82" t="s">
        <v>675</v>
      </c>
      <c r="L165" s="82" t="s">
        <v>653</v>
      </c>
      <c r="M165" s="82" t="s">
        <v>676</v>
      </c>
      <c r="N165" s="82" t="s">
        <v>274</v>
      </c>
      <c r="O165" s="36" t="s">
        <v>108</v>
      </c>
      <c r="P165" s="18"/>
      <c r="Q165" s="28" t="s">
        <v>14</v>
      </c>
      <c r="R165" s="18"/>
      <c r="S165" s="28" t="s">
        <v>14</v>
      </c>
      <c r="T165" s="18"/>
      <c r="U165" s="28" t="s">
        <v>14</v>
      </c>
      <c r="V165" s="18"/>
      <c r="W165" s="28" t="s">
        <v>14</v>
      </c>
      <c r="X165" s="18"/>
      <c r="Y165" s="28" t="s">
        <v>14</v>
      </c>
      <c r="Z165" s="18"/>
      <c r="AA165" s="28" t="s">
        <v>108</v>
      </c>
      <c r="AB165" s="18"/>
      <c r="AC165" s="28" t="s">
        <v>108</v>
      </c>
      <c r="AD165" s="18"/>
      <c r="AE165" s="28" t="s">
        <v>108</v>
      </c>
      <c r="AF165" s="47" t="str">
        <f t="shared" si="19"/>
        <v>C</v>
      </c>
      <c r="AG165" s="8" t="str">
        <f t="shared" si="22"/>
        <v>UTILIZOU O PDA CORRETAMENTE</v>
      </c>
      <c r="AH165" s="28" t="s">
        <v>108</v>
      </c>
      <c r="AI165" s="66" t="s">
        <v>1</v>
      </c>
      <c r="AJ165" s="22" t="str">
        <f t="shared" si="20"/>
        <v>GUARULHOS</v>
      </c>
      <c r="AK165" s="69" t="s">
        <v>4</v>
      </c>
    </row>
    <row r="166" spans="1:37" ht="30" customHeight="1" x14ac:dyDescent="0.2">
      <c r="A166" s="102" t="s">
        <v>101</v>
      </c>
      <c r="B166" s="102">
        <v>2615151454</v>
      </c>
      <c r="C166" s="102" t="s">
        <v>39</v>
      </c>
      <c r="D166" s="102" t="s">
        <v>25</v>
      </c>
      <c r="E166" s="102" t="s">
        <v>102</v>
      </c>
      <c r="F166" s="102" t="s">
        <v>663</v>
      </c>
      <c r="G166" s="102">
        <v>165</v>
      </c>
      <c r="H166" s="102" t="s">
        <v>110</v>
      </c>
      <c r="I166" s="102" t="s">
        <v>664</v>
      </c>
      <c r="J166" s="102" t="s">
        <v>39</v>
      </c>
      <c r="K166" s="102" t="s">
        <v>117</v>
      </c>
      <c r="L166" s="102" t="s">
        <v>653</v>
      </c>
      <c r="M166" s="102" t="s">
        <v>677</v>
      </c>
      <c r="N166" s="102" t="s">
        <v>113</v>
      </c>
      <c r="O166" s="103" t="s">
        <v>108</v>
      </c>
      <c r="P166" s="104"/>
      <c r="Q166" s="105" t="s">
        <v>108</v>
      </c>
      <c r="R166" s="104"/>
      <c r="S166" s="105" t="s">
        <v>108</v>
      </c>
      <c r="T166" s="104"/>
      <c r="U166" s="105" t="s">
        <v>108</v>
      </c>
      <c r="V166" s="104"/>
      <c r="W166" s="105" t="s">
        <v>108</v>
      </c>
      <c r="X166" s="104"/>
      <c r="Y166" s="105" t="s">
        <v>14</v>
      </c>
      <c r="Z166" s="104"/>
      <c r="AA166" s="105" t="s">
        <v>108</v>
      </c>
      <c r="AB166" s="104"/>
      <c r="AC166" s="105" t="s">
        <v>114</v>
      </c>
      <c r="AD166" s="104" t="s">
        <v>443</v>
      </c>
      <c r="AE166" s="28" t="s">
        <v>108</v>
      </c>
      <c r="AF166" s="47" t="str">
        <f t="shared" si="19"/>
        <v>NC</v>
      </c>
      <c r="AG166" s="8" t="str">
        <f t="shared" si="22"/>
        <v>UTILIZOU O PDA CORRETAMENTE. NÃO HÁ FOTOS DE TODAS AS ETAPAS</v>
      </c>
      <c r="AH166" s="28" t="s">
        <v>108</v>
      </c>
      <c r="AI166" s="66" t="s">
        <v>1</v>
      </c>
      <c r="AJ166" s="22" t="str">
        <f t="shared" si="20"/>
        <v>GUARULHOS</v>
      </c>
      <c r="AK166" s="69" t="s">
        <v>4</v>
      </c>
    </row>
    <row r="167" spans="1:37" ht="30" customHeight="1" x14ac:dyDescent="0.2">
      <c r="A167" s="102" t="s">
        <v>101</v>
      </c>
      <c r="B167" s="102">
        <v>2615151458</v>
      </c>
      <c r="C167" s="102" t="s">
        <v>41</v>
      </c>
      <c r="D167" s="102" t="s">
        <v>25</v>
      </c>
      <c r="E167" s="102" t="s">
        <v>102</v>
      </c>
      <c r="F167" s="102" t="s">
        <v>663</v>
      </c>
      <c r="G167" s="102">
        <v>165</v>
      </c>
      <c r="H167" s="102" t="s">
        <v>115</v>
      </c>
      <c r="I167" s="102" t="s">
        <v>664</v>
      </c>
      <c r="J167" s="102" t="s">
        <v>41</v>
      </c>
      <c r="K167" s="102" t="s">
        <v>678</v>
      </c>
      <c r="L167" s="102" t="s">
        <v>653</v>
      </c>
      <c r="M167" s="102" t="s">
        <v>679</v>
      </c>
      <c r="N167" s="102" t="s">
        <v>113</v>
      </c>
      <c r="O167" s="103" t="s">
        <v>108</v>
      </c>
      <c r="P167" s="104"/>
      <c r="Q167" s="105" t="s">
        <v>108</v>
      </c>
      <c r="R167" s="104"/>
      <c r="S167" s="105" t="s">
        <v>108</v>
      </c>
      <c r="T167" s="104"/>
      <c r="U167" s="105" t="s">
        <v>108</v>
      </c>
      <c r="V167" s="104"/>
      <c r="W167" s="105" t="s">
        <v>108</v>
      </c>
      <c r="X167" s="104"/>
      <c r="Y167" s="105" t="s">
        <v>14</v>
      </c>
      <c r="Z167" s="104"/>
      <c r="AA167" s="105" t="s">
        <v>108</v>
      </c>
      <c r="AB167" s="104"/>
      <c r="AC167" s="105" t="s">
        <v>114</v>
      </c>
      <c r="AD167" s="104" t="s">
        <v>443</v>
      </c>
      <c r="AE167" s="28" t="s">
        <v>108</v>
      </c>
      <c r="AF167" s="47" t="str">
        <f t="shared" si="19"/>
        <v>NC</v>
      </c>
      <c r="AG167" s="8" t="str">
        <f t="shared" si="22"/>
        <v>UTILIZOU O PDA CORRETAMENTE. NÃO HÁ FOTOS DE TODAS AS ETAPAS</v>
      </c>
      <c r="AH167" s="28" t="s">
        <v>108</v>
      </c>
      <c r="AI167" s="66" t="s">
        <v>1</v>
      </c>
      <c r="AJ167" s="22" t="str">
        <f t="shared" si="20"/>
        <v>GUARULHOS</v>
      </c>
      <c r="AK167" s="69" t="s">
        <v>4</v>
      </c>
    </row>
    <row r="168" spans="1:37" ht="30" customHeight="1" x14ac:dyDescent="0.2">
      <c r="A168" s="82" t="s">
        <v>101</v>
      </c>
      <c r="B168" s="82">
        <v>2614836219</v>
      </c>
      <c r="C168" s="82" t="s">
        <v>33</v>
      </c>
      <c r="D168" s="82" t="s">
        <v>25</v>
      </c>
      <c r="E168" s="82" t="s">
        <v>102</v>
      </c>
      <c r="F168" s="82" t="s">
        <v>682</v>
      </c>
      <c r="G168" s="82">
        <v>353</v>
      </c>
      <c r="H168" s="82"/>
      <c r="I168" s="82" t="s">
        <v>647</v>
      </c>
      <c r="J168" s="82" t="s">
        <v>33</v>
      </c>
      <c r="K168" s="82"/>
      <c r="L168" s="82" t="s">
        <v>653</v>
      </c>
      <c r="M168" s="82" t="s">
        <v>683</v>
      </c>
      <c r="N168" s="82" t="s">
        <v>113</v>
      </c>
      <c r="O168" s="36" t="s">
        <v>108</v>
      </c>
      <c r="P168" s="18"/>
      <c r="Q168" s="28" t="s">
        <v>108</v>
      </c>
      <c r="R168" s="18"/>
      <c r="S168" s="28" t="s">
        <v>108</v>
      </c>
      <c r="T168" s="18"/>
      <c r="U168" s="28" t="s">
        <v>108</v>
      </c>
      <c r="V168" s="18"/>
      <c r="W168" s="28" t="s">
        <v>108</v>
      </c>
      <c r="X168" s="18"/>
      <c r="Y168" s="28" t="s">
        <v>14</v>
      </c>
      <c r="Z168" s="18"/>
      <c r="AA168" s="28" t="s">
        <v>108</v>
      </c>
      <c r="AB168" s="18"/>
      <c r="AC168" s="28" t="s">
        <v>108</v>
      </c>
      <c r="AD168" s="18"/>
      <c r="AE168" s="28" t="s">
        <v>108</v>
      </c>
      <c r="AF168" s="47" t="str">
        <f t="shared" si="19"/>
        <v>C</v>
      </c>
      <c r="AG168" s="8" t="str">
        <f t="shared" si="22"/>
        <v>UTILIZOU O PDA CORRETAMENTE</v>
      </c>
      <c r="AH168" s="28" t="s">
        <v>108</v>
      </c>
      <c r="AI168" s="66" t="s">
        <v>1</v>
      </c>
      <c r="AJ168" s="22" t="str">
        <f t="shared" si="20"/>
        <v>GUARULHOS</v>
      </c>
      <c r="AK168" s="69" t="s">
        <v>4</v>
      </c>
    </row>
    <row r="169" spans="1:37" ht="30" customHeight="1" x14ac:dyDescent="0.2">
      <c r="A169" s="82" t="s">
        <v>101</v>
      </c>
      <c r="B169" s="82">
        <v>2615134345</v>
      </c>
      <c r="C169" s="82" t="s">
        <v>33</v>
      </c>
      <c r="D169" s="82" t="s">
        <v>25</v>
      </c>
      <c r="E169" s="82" t="s">
        <v>102</v>
      </c>
      <c r="F169" s="82" t="s">
        <v>687</v>
      </c>
      <c r="G169" s="82">
        <v>120</v>
      </c>
      <c r="H169" s="82"/>
      <c r="I169" s="82" t="s">
        <v>688</v>
      </c>
      <c r="J169" s="82" t="s">
        <v>33</v>
      </c>
      <c r="K169" s="82"/>
      <c r="L169" s="82" t="s">
        <v>653</v>
      </c>
      <c r="M169" s="82" t="s">
        <v>689</v>
      </c>
      <c r="N169" s="82" t="s">
        <v>107</v>
      </c>
      <c r="O169" s="36" t="s">
        <v>108</v>
      </c>
      <c r="P169" s="18"/>
      <c r="Q169" s="28" t="s">
        <v>108</v>
      </c>
      <c r="R169" s="18"/>
      <c r="S169" s="28" t="s">
        <v>108</v>
      </c>
      <c r="T169" s="18"/>
      <c r="U169" s="28" t="s">
        <v>108</v>
      </c>
      <c r="V169" s="18"/>
      <c r="W169" s="28" t="s">
        <v>108</v>
      </c>
      <c r="X169" s="18"/>
      <c r="Y169" s="28" t="s">
        <v>14</v>
      </c>
      <c r="Z169" s="18"/>
      <c r="AA169" s="28" t="s">
        <v>108</v>
      </c>
      <c r="AB169" s="18"/>
      <c r="AC169" s="28" t="s">
        <v>108</v>
      </c>
      <c r="AD169" s="18"/>
      <c r="AE169" s="28" t="s">
        <v>108</v>
      </c>
      <c r="AF169" s="47" t="str">
        <f t="shared" si="19"/>
        <v>C</v>
      </c>
      <c r="AG169" s="8" t="str">
        <f t="shared" si="22"/>
        <v>UTILIZOU O PDA CORRETAMENTE</v>
      </c>
      <c r="AH169" s="28" t="s">
        <v>108</v>
      </c>
      <c r="AI169" s="66" t="s">
        <v>1</v>
      </c>
      <c r="AJ169" s="22" t="str">
        <f t="shared" si="20"/>
        <v>GUARULHOS</v>
      </c>
      <c r="AK169" s="69" t="s">
        <v>4</v>
      </c>
    </row>
    <row r="170" spans="1:37" ht="30" customHeight="1" x14ac:dyDescent="0.2">
      <c r="A170" s="82" t="s">
        <v>101</v>
      </c>
      <c r="B170" s="82">
        <v>2614845332</v>
      </c>
      <c r="C170" s="82" t="s">
        <v>41</v>
      </c>
      <c r="D170" s="82" t="s">
        <v>25</v>
      </c>
      <c r="E170" s="82" t="s">
        <v>102</v>
      </c>
      <c r="F170" s="82" t="s">
        <v>684</v>
      </c>
      <c r="G170" s="82">
        <v>30</v>
      </c>
      <c r="H170" s="82" t="s">
        <v>690</v>
      </c>
      <c r="I170" s="82" t="s">
        <v>169</v>
      </c>
      <c r="J170" s="82" t="s">
        <v>41</v>
      </c>
      <c r="K170" s="82" t="s">
        <v>691</v>
      </c>
      <c r="L170" s="82" t="s">
        <v>653</v>
      </c>
      <c r="M170" s="82" t="s">
        <v>692</v>
      </c>
      <c r="N170" s="82" t="s">
        <v>107</v>
      </c>
      <c r="O170" s="36" t="s">
        <v>108</v>
      </c>
      <c r="P170" s="18"/>
      <c r="Q170" s="28" t="s">
        <v>14</v>
      </c>
      <c r="R170" s="18"/>
      <c r="S170" s="28" t="s">
        <v>14</v>
      </c>
      <c r="T170" s="18"/>
      <c r="U170" s="28" t="s">
        <v>14</v>
      </c>
      <c r="V170" s="18"/>
      <c r="W170" s="28" t="s">
        <v>14</v>
      </c>
      <c r="X170" s="18"/>
      <c r="Y170" s="28" t="s">
        <v>14</v>
      </c>
      <c r="Z170" s="18"/>
      <c r="AA170" s="28" t="s">
        <v>108</v>
      </c>
      <c r="AB170" s="18"/>
      <c r="AC170" s="28" t="s">
        <v>108</v>
      </c>
      <c r="AD170" s="18"/>
      <c r="AE170" s="28" t="s">
        <v>108</v>
      </c>
      <c r="AF170" s="47" t="str">
        <f t="shared" ref="AF170:AF200" si="23">IF(AND(O170="",Q170="",S170="",U170="",W170="",Y170="",AA170="",AC170=""),"",IF(OR(AND(O170&lt;&gt;"NA",O170&lt;&gt;"C",O170&lt;&gt;"NC",O170&lt;&gt;"SF",O170&lt;&gt;""),AND(Q170&lt;&gt;"NA",Q170&lt;&gt;"C",Q170&lt;&gt;"NC",Q170&lt;&gt;"SF",Q170&lt;&gt;""),AND(S170&lt;&gt;"NA",S170&lt;&gt;"C",S170&lt;&gt;"NC",S170&lt;&gt;"SF",S170&lt;&gt;""),AND(U170&lt;&gt;"NA",U170&lt;&gt;"C",U170&lt;&gt;"NC",U170&lt;&gt;"SF",U170&lt;&gt;""),AND(W170&lt;&gt;"NA",W170&lt;&gt;"C",W170&lt;&gt;"NC",W170&lt;&gt;"SF",W170&lt;&gt;""),AND(Y170&lt;&gt;"NA",Y170&lt;&gt;"C",Y170&lt;&gt;"NC",Y170&lt;&gt;"SF",Y170&lt;&gt;""),AND(AA170&lt;&gt;"NA",AA170&lt;&gt;"C",AA170&lt;&gt;"NC",AA170&lt;&gt;"SF",AA170&lt;&gt;""),AND(AC170&lt;&gt;"NA",AC170&lt;&gt;"C",AC170&lt;&gt;"NC",AC170&lt;&gt;"SF",AC170&lt;&gt;"")),"FALSO",IF(AND(O170="NA",Q170="NA",S170="NA",U170="NA",W170="NA",Y170="NA",AA170="NA",AC170="NA"),"NA",IF(OR(O170="NC",Q170="NC",S170="NC",U170="NC",W170="NC",Y170="NC",AA170="NC",AC170="NC",O170="SF",Q170="SF",S170="SF",U170="SF",W170="SF",Y170="SF",AA170="SF",AC170="SF"),"NC",IF(OR(O170="C",Q170="C",S170="C",U170="C",W170="C",Y170="C",AA170="C",AC170="C"),"C","")))))</f>
        <v>C</v>
      </c>
      <c r="AG170" s="8" t="str">
        <f t="shared" si="22"/>
        <v>UTILIZOU O PDA CORRETAMENTE</v>
      </c>
      <c r="AH170" s="28" t="s">
        <v>108</v>
      </c>
      <c r="AI170" s="66" t="s">
        <v>1</v>
      </c>
      <c r="AJ170" s="22" t="str">
        <f t="shared" ref="AJ170:AJ200" si="24">E170</f>
        <v>GUARULHOS</v>
      </c>
      <c r="AK170" s="69" t="s">
        <v>4</v>
      </c>
    </row>
    <row r="171" spans="1:37" ht="30" customHeight="1" x14ac:dyDescent="0.2">
      <c r="A171" s="82" t="s">
        <v>101</v>
      </c>
      <c r="B171" s="82">
        <v>2690385046</v>
      </c>
      <c r="C171" s="82" t="s">
        <v>51</v>
      </c>
      <c r="D171" s="82" t="s">
        <v>29</v>
      </c>
      <c r="E171" s="82" t="s">
        <v>102</v>
      </c>
      <c r="F171" s="82" t="s">
        <v>693</v>
      </c>
      <c r="G171" s="82">
        <v>38</v>
      </c>
      <c r="H171" s="82" t="s">
        <v>117</v>
      </c>
      <c r="I171" s="82" t="s">
        <v>340</v>
      </c>
      <c r="J171" s="82" t="s">
        <v>159</v>
      </c>
      <c r="K171" s="82" t="s">
        <v>117</v>
      </c>
      <c r="L171" s="82" t="s">
        <v>653</v>
      </c>
      <c r="M171" s="82" t="s">
        <v>694</v>
      </c>
      <c r="N171" s="82" t="s">
        <v>144</v>
      </c>
      <c r="O171" s="36" t="s">
        <v>108</v>
      </c>
      <c r="P171" s="18"/>
      <c r="Q171" s="28" t="s">
        <v>108</v>
      </c>
      <c r="R171" s="18"/>
      <c r="S171" s="28" t="s">
        <v>108</v>
      </c>
      <c r="T171" s="18"/>
      <c r="U171" s="28" t="s">
        <v>108</v>
      </c>
      <c r="V171" s="18"/>
      <c r="W171" s="28" t="s">
        <v>108</v>
      </c>
      <c r="X171" s="18"/>
      <c r="Y171" s="28" t="s">
        <v>14</v>
      </c>
      <c r="Z171" s="18"/>
      <c r="AA171" s="28" t="s">
        <v>108</v>
      </c>
      <c r="AB171" s="18"/>
      <c r="AC171" s="28" t="s">
        <v>108</v>
      </c>
      <c r="AD171" s="18"/>
      <c r="AE171" s="28" t="s">
        <v>108</v>
      </c>
      <c r="AF171" s="47" t="str">
        <f t="shared" si="23"/>
        <v>C</v>
      </c>
      <c r="AG171" s="8" t="str">
        <f t="shared" si="22"/>
        <v>UTILIZOU O PDA CORRETAMENTE</v>
      </c>
      <c r="AH171" s="26" t="s">
        <v>108</v>
      </c>
      <c r="AI171" s="66" t="s">
        <v>1</v>
      </c>
      <c r="AJ171" s="22" t="str">
        <f t="shared" si="24"/>
        <v>GUARULHOS</v>
      </c>
      <c r="AK171" s="69" t="s">
        <v>4</v>
      </c>
    </row>
    <row r="172" spans="1:37" ht="30" customHeight="1" x14ac:dyDescent="0.2">
      <c r="A172" s="82" t="s">
        <v>101</v>
      </c>
      <c r="B172" s="82">
        <v>2690386420</v>
      </c>
      <c r="C172" s="82" t="s">
        <v>51</v>
      </c>
      <c r="D172" s="82" t="s">
        <v>29</v>
      </c>
      <c r="E172" s="82" t="s">
        <v>102</v>
      </c>
      <c r="F172" s="82" t="s">
        <v>152</v>
      </c>
      <c r="G172" s="82">
        <v>36</v>
      </c>
      <c r="H172" s="82" t="s">
        <v>138</v>
      </c>
      <c r="I172" s="82" t="s">
        <v>154</v>
      </c>
      <c r="J172" s="82" t="s">
        <v>159</v>
      </c>
      <c r="K172" s="82" t="s">
        <v>695</v>
      </c>
      <c r="L172" s="82" t="s">
        <v>653</v>
      </c>
      <c r="M172" s="82" t="s">
        <v>696</v>
      </c>
      <c r="N172" s="82" t="s">
        <v>144</v>
      </c>
      <c r="O172" s="36" t="s">
        <v>108</v>
      </c>
      <c r="P172" s="18"/>
      <c r="Q172" s="28" t="s">
        <v>108</v>
      </c>
      <c r="R172" s="18"/>
      <c r="S172" s="28" t="s">
        <v>108</v>
      </c>
      <c r="T172" s="18"/>
      <c r="U172" s="28" t="s">
        <v>108</v>
      </c>
      <c r="V172" s="18"/>
      <c r="W172" s="28" t="s">
        <v>108</v>
      </c>
      <c r="X172" s="18"/>
      <c r="Y172" s="28" t="s">
        <v>14</v>
      </c>
      <c r="Z172" s="18"/>
      <c r="AA172" s="28" t="s">
        <v>108</v>
      </c>
      <c r="AB172" s="18"/>
      <c r="AC172" s="28" t="s">
        <v>108</v>
      </c>
      <c r="AD172" s="18"/>
      <c r="AE172" s="28" t="s">
        <v>108</v>
      </c>
      <c r="AF172" s="47" t="str">
        <f t="shared" si="23"/>
        <v>C</v>
      </c>
      <c r="AG172" s="8" t="str">
        <f t="shared" si="22"/>
        <v>UTILIZOU O PDA CORRETAMENTE</v>
      </c>
      <c r="AH172" s="26" t="s">
        <v>108</v>
      </c>
      <c r="AI172" s="66" t="s">
        <v>1</v>
      </c>
      <c r="AJ172" s="22" t="str">
        <f t="shared" si="24"/>
        <v>GUARULHOS</v>
      </c>
      <c r="AK172" s="69" t="s">
        <v>4</v>
      </c>
    </row>
    <row r="173" spans="1:37" ht="30" customHeight="1" x14ac:dyDescent="0.2">
      <c r="A173" s="82" t="s">
        <v>101</v>
      </c>
      <c r="B173" s="82">
        <v>2615527794</v>
      </c>
      <c r="C173" s="82" t="s">
        <v>47</v>
      </c>
      <c r="D173" s="82" t="s">
        <v>29</v>
      </c>
      <c r="E173" s="82" t="s">
        <v>102</v>
      </c>
      <c r="F173" s="82" t="s">
        <v>697</v>
      </c>
      <c r="G173" s="82">
        <v>1097</v>
      </c>
      <c r="H173" s="82" t="s">
        <v>121</v>
      </c>
      <c r="I173" s="82" t="s">
        <v>430</v>
      </c>
      <c r="J173" s="82" t="s">
        <v>170</v>
      </c>
      <c r="K173" s="82" t="s">
        <v>698</v>
      </c>
      <c r="L173" s="82" t="s">
        <v>653</v>
      </c>
      <c r="M173" s="82" t="s">
        <v>699</v>
      </c>
      <c r="N173" s="82" t="s">
        <v>160</v>
      </c>
      <c r="O173" s="36" t="s">
        <v>108</v>
      </c>
      <c r="P173" s="18"/>
      <c r="Q173" s="28" t="s">
        <v>108</v>
      </c>
      <c r="R173" s="18"/>
      <c r="S173" s="28" t="s">
        <v>108</v>
      </c>
      <c r="T173" s="18"/>
      <c r="U173" s="28" t="s">
        <v>108</v>
      </c>
      <c r="V173" s="18"/>
      <c r="W173" s="28" t="s">
        <v>108</v>
      </c>
      <c r="X173" s="18"/>
      <c r="Y173" s="28" t="s">
        <v>14</v>
      </c>
      <c r="Z173" s="18"/>
      <c r="AA173" s="28" t="s">
        <v>108</v>
      </c>
      <c r="AB173" s="18"/>
      <c r="AC173" s="28" t="s">
        <v>108</v>
      </c>
      <c r="AD173" s="18"/>
      <c r="AE173" s="28" t="s">
        <v>108</v>
      </c>
      <c r="AF173" s="47" t="str">
        <f t="shared" si="23"/>
        <v>C</v>
      </c>
      <c r="AG173" s="8" t="str">
        <f t="shared" ref="AG173:AG180" si="25">IF(AND(AE173="C",AF173="C"),"UTILIZOU O PDA CORRETAMENTE",IF(AND(AE173="C",AF173="NC"),"UTILIZOU O PDA CORRETAMENTE. NÃO HÁ FOTOS DE TODAS AS ETAPAS",IF(AND(AE173="NC",AF173="NC"),"NÃO UTILIZOU O PDA",IF(AND(AE173="NA",AF173="NA"),"NÃO AVALIADO POR FALHA DE SINCRONISMO"))))</f>
        <v>UTILIZOU O PDA CORRETAMENTE</v>
      </c>
      <c r="AH173" s="26" t="s">
        <v>108</v>
      </c>
      <c r="AI173" s="66" t="s">
        <v>1</v>
      </c>
      <c r="AJ173" s="22" t="str">
        <f t="shared" si="24"/>
        <v>GUARULHOS</v>
      </c>
      <c r="AK173" s="69" t="s">
        <v>4</v>
      </c>
    </row>
    <row r="174" spans="1:37" ht="30" customHeight="1" x14ac:dyDescent="0.2">
      <c r="A174" s="82" t="s">
        <v>101</v>
      </c>
      <c r="B174" s="82">
        <v>2690395770</v>
      </c>
      <c r="C174" s="82" t="s">
        <v>48</v>
      </c>
      <c r="D174" s="82" t="s">
        <v>29</v>
      </c>
      <c r="E174" s="82" t="s">
        <v>102</v>
      </c>
      <c r="F174" s="82" t="s">
        <v>700</v>
      </c>
      <c r="G174" s="82">
        <v>77</v>
      </c>
      <c r="H174" s="82" t="s">
        <v>701</v>
      </c>
      <c r="I174" s="82" t="s">
        <v>702</v>
      </c>
      <c r="J174" s="82" t="s">
        <v>159</v>
      </c>
      <c r="K174" s="82" t="s">
        <v>117</v>
      </c>
      <c r="L174" s="82" t="s">
        <v>653</v>
      </c>
      <c r="M174" s="82" t="s">
        <v>703</v>
      </c>
      <c r="N174" s="82" t="s">
        <v>151</v>
      </c>
      <c r="O174" s="36" t="s">
        <v>108</v>
      </c>
      <c r="P174" s="18"/>
      <c r="Q174" s="28" t="s">
        <v>108</v>
      </c>
      <c r="R174" s="18"/>
      <c r="S174" s="28" t="s">
        <v>108</v>
      </c>
      <c r="T174" s="18"/>
      <c r="U174" s="28" t="s">
        <v>108</v>
      </c>
      <c r="V174" s="18"/>
      <c r="W174" s="28" t="s">
        <v>108</v>
      </c>
      <c r="X174" s="18"/>
      <c r="Y174" s="28" t="s">
        <v>14</v>
      </c>
      <c r="Z174" s="18"/>
      <c r="AA174" s="28" t="s">
        <v>108</v>
      </c>
      <c r="AB174" s="18"/>
      <c r="AC174" s="28" t="s">
        <v>108</v>
      </c>
      <c r="AD174" s="18"/>
      <c r="AE174" s="28" t="s">
        <v>108</v>
      </c>
      <c r="AF174" s="47" t="str">
        <f t="shared" si="23"/>
        <v>C</v>
      </c>
      <c r="AG174" s="8" t="str">
        <f t="shared" si="25"/>
        <v>UTILIZOU O PDA CORRETAMENTE</v>
      </c>
      <c r="AH174" s="26" t="s">
        <v>108</v>
      </c>
      <c r="AI174" s="66" t="s">
        <v>1</v>
      </c>
      <c r="AJ174" s="22" t="str">
        <f t="shared" si="24"/>
        <v>GUARULHOS</v>
      </c>
      <c r="AK174" s="69" t="s">
        <v>4</v>
      </c>
    </row>
    <row r="175" spans="1:37" ht="30" customHeight="1" x14ac:dyDescent="0.2">
      <c r="A175" s="82" t="s">
        <v>101</v>
      </c>
      <c r="B175" s="82">
        <v>2615546186</v>
      </c>
      <c r="C175" s="82" t="s">
        <v>45</v>
      </c>
      <c r="D175" s="82" t="s">
        <v>27</v>
      </c>
      <c r="E175" s="82" t="s">
        <v>102</v>
      </c>
      <c r="F175" s="82" t="s">
        <v>557</v>
      </c>
      <c r="G175" s="82">
        <v>162</v>
      </c>
      <c r="H175" s="82"/>
      <c r="I175" s="82" t="s">
        <v>558</v>
      </c>
      <c r="J175" s="82" t="s">
        <v>150</v>
      </c>
      <c r="K175" s="88" t="s">
        <v>708</v>
      </c>
      <c r="L175" s="82" t="s">
        <v>653</v>
      </c>
      <c r="M175" s="82" t="s">
        <v>709</v>
      </c>
      <c r="N175" s="82" t="s">
        <v>297</v>
      </c>
      <c r="O175" s="35" t="s">
        <v>108</v>
      </c>
      <c r="P175" s="25"/>
      <c r="Q175" s="26" t="s">
        <v>108</v>
      </c>
      <c r="R175" s="25"/>
      <c r="S175" s="26" t="s">
        <v>108</v>
      </c>
      <c r="T175" s="25"/>
      <c r="U175" s="26" t="s">
        <v>108</v>
      </c>
      <c r="V175" s="25"/>
      <c r="W175" s="26" t="s">
        <v>108</v>
      </c>
      <c r="X175" s="25"/>
      <c r="Y175" s="26" t="s">
        <v>108</v>
      </c>
      <c r="Z175" s="25"/>
      <c r="AA175" s="26" t="s">
        <v>108</v>
      </c>
      <c r="AB175" s="25"/>
      <c r="AC175" s="26" t="s">
        <v>108</v>
      </c>
      <c r="AD175" s="10"/>
      <c r="AE175" s="26" t="s">
        <v>108</v>
      </c>
      <c r="AF175" s="47" t="str">
        <f t="shared" si="23"/>
        <v>C</v>
      </c>
      <c r="AG175" s="8" t="str">
        <f t="shared" si="25"/>
        <v>UTILIZOU O PDA CORRETAMENTE</v>
      </c>
      <c r="AH175" s="26" t="s">
        <v>108</v>
      </c>
      <c r="AI175" s="66" t="s">
        <v>1</v>
      </c>
      <c r="AJ175" s="22" t="str">
        <f t="shared" si="24"/>
        <v>GUARULHOS</v>
      </c>
      <c r="AK175" s="69" t="s">
        <v>4</v>
      </c>
    </row>
    <row r="176" spans="1:37" ht="30" customHeight="1" x14ac:dyDescent="0.2">
      <c r="A176" s="82" t="s">
        <v>101</v>
      </c>
      <c r="B176" s="82">
        <v>2615247957</v>
      </c>
      <c r="C176" s="82" t="s">
        <v>43</v>
      </c>
      <c r="D176" s="82" t="s">
        <v>29</v>
      </c>
      <c r="E176" s="82" t="s">
        <v>102</v>
      </c>
      <c r="F176" s="82" t="s">
        <v>152</v>
      </c>
      <c r="G176" s="82">
        <v>5</v>
      </c>
      <c r="H176" s="82" t="s">
        <v>174</v>
      </c>
      <c r="I176" s="82" t="s">
        <v>154</v>
      </c>
      <c r="J176" s="82" t="s">
        <v>188</v>
      </c>
      <c r="K176" s="82" t="s">
        <v>710</v>
      </c>
      <c r="L176" s="82" t="s">
        <v>653</v>
      </c>
      <c r="M176" s="82" t="s">
        <v>681</v>
      </c>
      <c r="N176" s="82" t="s">
        <v>231</v>
      </c>
      <c r="O176" s="35" t="s">
        <v>108</v>
      </c>
      <c r="P176" s="25"/>
      <c r="Q176" s="26" t="s">
        <v>108</v>
      </c>
      <c r="R176" s="25"/>
      <c r="S176" s="26" t="s">
        <v>108</v>
      </c>
      <c r="T176" s="25"/>
      <c r="U176" s="26" t="s">
        <v>108</v>
      </c>
      <c r="V176" s="25"/>
      <c r="W176" s="26" t="s">
        <v>108</v>
      </c>
      <c r="X176" s="25"/>
      <c r="Y176" s="26" t="s">
        <v>108</v>
      </c>
      <c r="Z176" s="25"/>
      <c r="AA176" s="26" t="s">
        <v>108</v>
      </c>
      <c r="AB176" s="25"/>
      <c r="AC176" s="26" t="s">
        <v>108</v>
      </c>
      <c r="AD176" s="10"/>
      <c r="AE176" s="26" t="s">
        <v>108</v>
      </c>
      <c r="AF176" s="47" t="str">
        <f t="shared" si="23"/>
        <v>C</v>
      </c>
      <c r="AG176" s="8" t="str">
        <f t="shared" si="25"/>
        <v>UTILIZOU O PDA CORRETAMENTE</v>
      </c>
      <c r="AH176" s="26" t="s">
        <v>108</v>
      </c>
      <c r="AI176" s="66" t="s">
        <v>1</v>
      </c>
      <c r="AJ176" s="22" t="str">
        <f t="shared" si="24"/>
        <v>GUARULHOS</v>
      </c>
      <c r="AK176" s="69" t="s">
        <v>4</v>
      </c>
    </row>
    <row r="177" spans="1:37" ht="30" customHeight="1" x14ac:dyDescent="0.2">
      <c r="A177" s="82" t="s">
        <v>101</v>
      </c>
      <c r="B177" s="82">
        <v>2690367107</v>
      </c>
      <c r="C177" s="82" t="s">
        <v>43</v>
      </c>
      <c r="D177" s="82" t="s">
        <v>29</v>
      </c>
      <c r="E177" s="82" t="s">
        <v>102</v>
      </c>
      <c r="F177" s="82" t="s">
        <v>711</v>
      </c>
      <c r="G177" s="82">
        <v>143</v>
      </c>
      <c r="H177" s="82" t="s">
        <v>712</v>
      </c>
      <c r="I177" s="82" t="s">
        <v>713</v>
      </c>
      <c r="J177" s="82" t="s">
        <v>188</v>
      </c>
      <c r="K177" s="82" t="s">
        <v>714</v>
      </c>
      <c r="L177" s="82" t="s">
        <v>653</v>
      </c>
      <c r="M177" s="82" t="s">
        <v>715</v>
      </c>
      <c r="N177" s="82" t="s">
        <v>171</v>
      </c>
      <c r="O177" s="35" t="s">
        <v>108</v>
      </c>
      <c r="P177" s="25"/>
      <c r="Q177" s="26" t="s">
        <v>108</v>
      </c>
      <c r="R177" s="25"/>
      <c r="S177" s="26" t="s">
        <v>108</v>
      </c>
      <c r="T177" s="25"/>
      <c r="U177" s="26" t="s">
        <v>108</v>
      </c>
      <c r="V177" s="25"/>
      <c r="W177" s="26" t="s">
        <v>108</v>
      </c>
      <c r="X177" s="25"/>
      <c r="Y177" s="26" t="s">
        <v>108</v>
      </c>
      <c r="Z177" s="25"/>
      <c r="AA177" s="26" t="s">
        <v>108</v>
      </c>
      <c r="AB177" s="25"/>
      <c r="AC177" s="26" t="s">
        <v>108</v>
      </c>
      <c r="AD177" s="10"/>
      <c r="AE177" s="26" t="s">
        <v>108</v>
      </c>
      <c r="AF177" s="47" t="str">
        <f t="shared" si="23"/>
        <v>C</v>
      </c>
      <c r="AG177" s="8" t="str">
        <f t="shared" si="25"/>
        <v>UTILIZOU O PDA CORRETAMENTE</v>
      </c>
      <c r="AH177" s="26" t="s">
        <v>108</v>
      </c>
      <c r="AI177" s="66" t="s">
        <v>1</v>
      </c>
      <c r="AJ177" s="22" t="str">
        <f t="shared" si="24"/>
        <v>GUARULHOS</v>
      </c>
      <c r="AK177" s="69" t="s">
        <v>4</v>
      </c>
    </row>
    <row r="178" spans="1:37" ht="30" customHeight="1" x14ac:dyDescent="0.2">
      <c r="A178" s="82" t="s">
        <v>101</v>
      </c>
      <c r="B178" s="82">
        <v>2690367107</v>
      </c>
      <c r="C178" s="82" t="s">
        <v>37</v>
      </c>
      <c r="D178" s="82" t="s">
        <v>26</v>
      </c>
      <c r="E178" s="82" t="s">
        <v>102</v>
      </c>
      <c r="F178" s="82" t="s">
        <v>711</v>
      </c>
      <c r="G178" s="82">
        <v>143</v>
      </c>
      <c r="H178" s="82" t="s">
        <v>712</v>
      </c>
      <c r="I178" s="82" t="s">
        <v>713</v>
      </c>
      <c r="J178" s="82" t="s">
        <v>230</v>
      </c>
      <c r="K178" s="82" t="s">
        <v>714</v>
      </c>
      <c r="L178" s="82" t="s">
        <v>653</v>
      </c>
      <c r="M178" s="82" t="s">
        <v>716</v>
      </c>
      <c r="N178" s="82" t="s">
        <v>171</v>
      </c>
      <c r="O178" s="36" t="s">
        <v>108</v>
      </c>
      <c r="P178" s="28"/>
      <c r="Q178" s="28" t="s">
        <v>108</v>
      </c>
      <c r="R178" s="65"/>
      <c r="S178" s="28" t="s">
        <v>108</v>
      </c>
      <c r="T178" s="28"/>
      <c r="U178" s="28" t="s">
        <v>108</v>
      </c>
      <c r="V178" s="28"/>
      <c r="W178" s="28" t="s">
        <v>108</v>
      </c>
      <c r="X178" s="28"/>
      <c r="Y178" s="28" t="s">
        <v>14</v>
      </c>
      <c r="Z178" s="28"/>
      <c r="AA178" s="28" t="s">
        <v>108</v>
      </c>
      <c r="AB178" s="28"/>
      <c r="AC178" s="28" t="s">
        <v>108</v>
      </c>
      <c r="AD178" s="28"/>
      <c r="AE178" s="28" t="s">
        <v>108</v>
      </c>
      <c r="AF178" s="47" t="str">
        <f t="shared" si="23"/>
        <v>C</v>
      </c>
      <c r="AG178" s="8" t="str">
        <f t="shared" si="25"/>
        <v>UTILIZOU O PDA CORRETAMENTE</v>
      </c>
      <c r="AH178" s="28" t="s">
        <v>108</v>
      </c>
      <c r="AI178" s="66" t="s">
        <v>1</v>
      </c>
      <c r="AJ178" s="22" t="str">
        <f t="shared" si="24"/>
        <v>GUARULHOS</v>
      </c>
      <c r="AK178" s="69" t="s">
        <v>4</v>
      </c>
    </row>
    <row r="179" spans="1:37" ht="30" customHeight="1" x14ac:dyDescent="0.2">
      <c r="A179" s="82" t="s">
        <v>101</v>
      </c>
      <c r="B179" s="82">
        <v>2615162996</v>
      </c>
      <c r="C179" s="82" t="s">
        <v>44</v>
      </c>
      <c r="D179" s="82" t="s">
        <v>29</v>
      </c>
      <c r="E179" s="82" t="s">
        <v>102</v>
      </c>
      <c r="F179" s="82" t="s">
        <v>717</v>
      </c>
      <c r="G179" s="82">
        <v>117</v>
      </c>
      <c r="H179" s="82" t="s">
        <v>718</v>
      </c>
      <c r="I179" s="82" t="s">
        <v>719</v>
      </c>
      <c r="J179" s="82" t="s">
        <v>194</v>
      </c>
      <c r="K179" s="82"/>
      <c r="L179" s="82" t="s">
        <v>653</v>
      </c>
      <c r="M179" s="82" t="s">
        <v>720</v>
      </c>
      <c r="N179" s="82" t="s">
        <v>160</v>
      </c>
      <c r="O179" s="35" t="s">
        <v>108</v>
      </c>
      <c r="P179" s="25"/>
      <c r="Q179" s="26" t="s">
        <v>108</v>
      </c>
      <c r="R179" s="25"/>
      <c r="S179" s="26" t="s">
        <v>108</v>
      </c>
      <c r="T179" s="25"/>
      <c r="U179" s="26" t="s">
        <v>108</v>
      </c>
      <c r="V179" s="25"/>
      <c r="W179" s="26" t="s">
        <v>108</v>
      </c>
      <c r="X179" s="25"/>
      <c r="Y179" s="26" t="s">
        <v>108</v>
      </c>
      <c r="Z179" s="25"/>
      <c r="AA179" s="26" t="s">
        <v>108</v>
      </c>
      <c r="AB179" s="25"/>
      <c r="AC179" s="26" t="s">
        <v>108</v>
      </c>
      <c r="AD179" s="10"/>
      <c r="AE179" s="26" t="s">
        <v>108</v>
      </c>
      <c r="AF179" s="47" t="str">
        <f t="shared" si="23"/>
        <v>C</v>
      </c>
      <c r="AG179" s="8" t="str">
        <f t="shared" si="25"/>
        <v>UTILIZOU O PDA CORRETAMENTE</v>
      </c>
      <c r="AH179" s="26" t="s">
        <v>108</v>
      </c>
      <c r="AI179" s="66" t="s">
        <v>1</v>
      </c>
      <c r="AJ179" s="22" t="str">
        <f t="shared" si="24"/>
        <v>GUARULHOS</v>
      </c>
      <c r="AK179" s="69" t="s">
        <v>4</v>
      </c>
    </row>
    <row r="180" spans="1:37" ht="30" customHeight="1" x14ac:dyDescent="0.2">
      <c r="A180" s="82" t="s">
        <v>101</v>
      </c>
      <c r="B180" s="82">
        <v>2615571777</v>
      </c>
      <c r="C180" s="82" t="s">
        <v>37</v>
      </c>
      <c r="D180" s="82" t="s">
        <v>26</v>
      </c>
      <c r="E180" s="82" t="s">
        <v>102</v>
      </c>
      <c r="F180" s="82" t="s">
        <v>651</v>
      </c>
      <c r="G180" s="82">
        <v>608</v>
      </c>
      <c r="H180" s="82" t="s">
        <v>174</v>
      </c>
      <c r="I180" s="82" t="s">
        <v>382</v>
      </c>
      <c r="J180" s="82" t="s">
        <v>230</v>
      </c>
      <c r="K180" s="82" t="s">
        <v>517</v>
      </c>
      <c r="L180" s="82" t="s">
        <v>653</v>
      </c>
      <c r="M180" s="82" t="s">
        <v>721</v>
      </c>
      <c r="N180" s="82" t="s">
        <v>140</v>
      </c>
      <c r="O180" s="36" t="s">
        <v>14</v>
      </c>
      <c r="P180" s="28"/>
      <c r="Q180" s="28" t="s">
        <v>14</v>
      </c>
      <c r="R180" s="65"/>
      <c r="S180" s="28" t="s">
        <v>14</v>
      </c>
      <c r="T180" s="28"/>
      <c r="U180" s="28" t="s">
        <v>14</v>
      </c>
      <c r="V180" s="28"/>
      <c r="W180" s="28" t="s">
        <v>14</v>
      </c>
      <c r="X180" s="28"/>
      <c r="Y180" s="28" t="s">
        <v>14</v>
      </c>
      <c r="Z180" s="28"/>
      <c r="AA180" s="28" t="s">
        <v>14</v>
      </c>
      <c r="AB180" s="28"/>
      <c r="AC180" s="28" t="s">
        <v>14</v>
      </c>
      <c r="AD180" s="28"/>
      <c r="AE180" s="28" t="s">
        <v>14</v>
      </c>
      <c r="AF180" s="47" t="str">
        <f t="shared" si="23"/>
        <v>NA</v>
      </c>
      <c r="AG180" s="8" t="str">
        <f t="shared" si="25"/>
        <v>NÃO AVALIADO POR FALHA DE SINCRONISMO</v>
      </c>
      <c r="AH180" s="28" t="s">
        <v>108</v>
      </c>
      <c r="AI180" s="66" t="s">
        <v>1</v>
      </c>
      <c r="AJ180" s="22" t="str">
        <f t="shared" si="24"/>
        <v>GUARULHOS</v>
      </c>
      <c r="AK180" s="69" t="s">
        <v>4</v>
      </c>
    </row>
    <row r="181" spans="1:37" ht="30" customHeight="1" x14ac:dyDescent="0.2">
      <c r="A181" s="82" t="s">
        <v>101</v>
      </c>
      <c r="B181" s="82">
        <v>2615570980</v>
      </c>
      <c r="C181" s="82" t="s">
        <v>37</v>
      </c>
      <c r="D181" s="82" t="s">
        <v>26</v>
      </c>
      <c r="E181" s="82" t="s">
        <v>102</v>
      </c>
      <c r="F181" s="82" t="s">
        <v>651</v>
      </c>
      <c r="G181" s="82">
        <v>596</v>
      </c>
      <c r="H181" s="82" t="s">
        <v>187</v>
      </c>
      <c r="I181" s="82" t="s">
        <v>382</v>
      </c>
      <c r="J181" s="82" t="s">
        <v>230</v>
      </c>
      <c r="K181" s="82" t="s">
        <v>723</v>
      </c>
      <c r="L181" s="82" t="s">
        <v>653</v>
      </c>
      <c r="M181" s="82" t="s">
        <v>724</v>
      </c>
      <c r="N181" s="82" t="s">
        <v>140</v>
      </c>
      <c r="O181" s="36" t="s">
        <v>14</v>
      </c>
      <c r="P181" s="28"/>
      <c r="Q181" s="28" t="s">
        <v>14</v>
      </c>
      <c r="R181" s="65"/>
      <c r="S181" s="28" t="s">
        <v>14</v>
      </c>
      <c r="T181" s="28"/>
      <c r="U181" s="28" t="s">
        <v>14</v>
      </c>
      <c r="V181" s="28"/>
      <c r="W181" s="28" t="s">
        <v>14</v>
      </c>
      <c r="X181" s="28"/>
      <c r="Y181" s="28" t="s">
        <v>14</v>
      </c>
      <c r="Z181" s="28"/>
      <c r="AA181" s="28" t="s">
        <v>14</v>
      </c>
      <c r="AB181" s="28"/>
      <c r="AC181" s="28" t="s">
        <v>14</v>
      </c>
      <c r="AD181" s="28"/>
      <c r="AE181" s="28" t="s">
        <v>14</v>
      </c>
      <c r="AF181" s="47" t="str">
        <f t="shared" si="23"/>
        <v>NA</v>
      </c>
      <c r="AG181" s="8" t="s">
        <v>200</v>
      </c>
      <c r="AH181" s="28" t="s">
        <v>108</v>
      </c>
      <c r="AI181" s="66" t="s">
        <v>1</v>
      </c>
      <c r="AJ181" s="22" t="str">
        <f t="shared" si="24"/>
        <v>GUARULHOS</v>
      </c>
      <c r="AK181" s="69" t="s">
        <v>4</v>
      </c>
    </row>
    <row r="182" spans="1:37" ht="30" customHeight="1" x14ac:dyDescent="0.2">
      <c r="A182" s="82" t="s">
        <v>101</v>
      </c>
      <c r="B182" s="82">
        <v>2690451085</v>
      </c>
      <c r="C182" s="82" t="s">
        <v>46</v>
      </c>
      <c r="D182" s="82" t="s">
        <v>29</v>
      </c>
      <c r="E182" s="82" t="s">
        <v>102</v>
      </c>
      <c r="F182" s="82" t="s">
        <v>725</v>
      </c>
      <c r="G182" s="82">
        <v>323</v>
      </c>
      <c r="H182" s="82" t="s">
        <v>726</v>
      </c>
      <c r="I182" s="82" t="s">
        <v>169</v>
      </c>
      <c r="J182" s="82" t="s">
        <v>159</v>
      </c>
      <c r="K182" s="82" t="s">
        <v>727</v>
      </c>
      <c r="L182" s="82" t="s">
        <v>653</v>
      </c>
      <c r="M182" s="82" t="s">
        <v>728</v>
      </c>
      <c r="N182" s="82" t="s">
        <v>205</v>
      </c>
      <c r="O182" s="36" t="s">
        <v>108</v>
      </c>
      <c r="P182" s="18"/>
      <c r="Q182" s="28" t="s">
        <v>108</v>
      </c>
      <c r="R182" s="18"/>
      <c r="S182" s="28" t="s">
        <v>108</v>
      </c>
      <c r="T182" s="18"/>
      <c r="U182" s="28" t="s">
        <v>108</v>
      </c>
      <c r="V182" s="18"/>
      <c r="W182" s="28" t="s">
        <v>108</v>
      </c>
      <c r="X182" s="18"/>
      <c r="Y182" s="28" t="s">
        <v>14</v>
      </c>
      <c r="Z182" s="18"/>
      <c r="AA182" s="28" t="s">
        <v>108</v>
      </c>
      <c r="AB182" s="18"/>
      <c r="AC182" s="28" t="s">
        <v>108</v>
      </c>
      <c r="AD182" s="18"/>
      <c r="AE182" s="28" t="s">
        <v>108</v>
      </c>
      <c r="AF182" s="47" t="str">
        <f t="shared" si="23"/>
        <v>C</v>
      </c>
      <c r="AG182" s="8" t="str">
        <f>IF(AND(AE182="C",AF182="C"),"UTILIZOU O PDA CORRETAMENTE",IF(AND(AE182="C",AF182="NC"),"UTILIZOU O PDA CORRETAMENTE. NÃO HÁ FOTOS DE TODAS AS ETAPAS",IF(AND(AE182="NC",AF182="NC"),"NÃO UTILIZOU O PDA",IF(AND(AE182="NA",AF182="NA"),"NÃO AVALIADO POR FALHA DE SINCRONISMO"))))</f>
        <v>UTILIZOU O PDA CORRETAMENTE</v>
      </c>
      <c r="AH182" s="26" t="s">
        <v>108</v>
      </c>
      <c r="AI182" s="66" t="s">
        <v>1</v>
      </c>
      <c r="AJ182" s="22" t="str">
        <f t="shared" si="24"/>
        <v>GUARULHOS</v>
      </c>
      <c r="AK182" s="69" t="s">
        <v>4</v>
      </c>
    </row>
    <row r="183" spans="1:37" ht="30" customHeight="1" x14ac:dyDescent="0.2">
      <c r="A183" s="91" t="s">
        <v>101</v>
      </c>
      <c r="B183" s="91">
        <v>2690405184</v>
      </c>
      <c r="C183" s="91" t="s">
        <v>36</v>
      </c>
      <c r="D183" s="91" t="s">
        <v>26</v>
      </c>
      <c r="E183" s="91" t="s">
        <v>102</v>
      </c>
      <c r="F183" s="91" t="s">
        <v>729</v>
      </c>
      <c r="G183" s="91">
        <v>150</v>
      </c>
      <c r="H183" s="91" t="s">
        <v>730</v>
      </c>
      <c r="I183" s="91" t="s">
        <v>179</v>
      </c>
      <c r="J183" s="91" t="s">
        <v>269</v>
      </c>
      <c r="K183" s="91" t="s">
        <v>607</v>
      </c>
      <c r="L183" s="91" t="s">
        <v>653</v>
      </c>
      <c r="M183" s="91" t="s">
        <v>731</v>
      </c>
      <c r="N183" s="91" t="s">
        <v>231</v>
      </c>
      <c r="O183" s="36" t="s">
        <v>108</v>
      </c>
      <c r="P183" s="28"/>
      <c r="Q183" s="28" t="s">
        <v>108</v>
      </c>
      <c r="R183" s="65"/>
      <c r="S183" s="28" t="s">
        <v>108</v>
      </c>
      <c r="T183" s="28"/>
      <c r="U183" s="28" t="s">
        <v>108</v>
      </c>
      <c r="V183" s="28"/>
      <c r="W183" s="28" t="s">
        <v>108</v>
      </c>
      <c r="X183" s="28"/>
      <c r="Y183" s="28" t="s">
        <v>14</v>
      </c>
      <c r="Z183" s="28"/>
      <c r="AA183" s="28" t="s">
        <v>108</v>
      </c>
      <c r="AB183" s="28"/>
      <c r="AC183" s="28" t="s">
        <v>108</v>
      </c>
      <c r="AD183" s="28"/>
      <c r="AE183" s="28" t="s">
        <v>108</v>
      </c>
      <c r="AF183" s="47" t="str">
        <f t="shared" si="23"/>
        <v>C</v>
      </c>
      <c r="AG183" s="8" t="s">
        <v>200</v>
      </c>
      <c r="AH183" s="28" t="s">
        <v>108</v>
      </c>
      <c r="AI183" s="66" t="s">
        <v>1</v>
      </c>
      <c r="AJ183" s="22" t="str">
        <f t="shared" si="24"/>
        <v>GUARULHOS</v>
      </c>
      <c r="AK183" s="69" t="s">
        <v>4</v>
      </c>
    </row>
    <row r="184" spans="1:37" ht="30" customHeight="1" x14ac:dyDescent="0.2">
      <c r="A184" s="82" t="s">
        <v>101</v>
      </c>
      <c r="B184" s="82">
        <v>2615593418</v>
      </c>
      <c r="C184" s="82" t="s">
        <v>50</v>
      </c>
      <c r="D184" s="82" t="s">
        <v>29</v>
      </c>
      <c r="E184" s="82" t="s">
        <v>102</v>
      </c>
      <c r="F184" s="82" t="s">
        <v>732</v>
      </c>
      <c r="G184" s="82">
        <v>1750</v>
      </c>
      <c r="H184" s="82"/>
      <c r="I184" s="82" t="s">
        <v>102</v>
      </c>
      <c r="J184" s="82" t="s">
        <v>130</v>
      </c>
      <c r="K184" s="82" t="s">
        <v>733</v>
      </c>
      <c r="L184" s="82" t="s">
        <v>734</v>
      </c>
      <c r="M184" s="82" t="s">
        <v>735</v>
      </c>
      <c r="N184" s="82" t="s">
        <v>205</v>
      </c>
      <c r="O184" s="36" t="s">
        <v>108</v>
      </c>
      <c r="P184" s="18"/>
      <c r="Q184" s="28" t="s">
        <v>108</v>
      </c>
      <c r="R184" s="18"/>
      <c r="S184" s="28" t="s">
        <v>108</v>
      </c>
      <c r="T184" s="18"/>
      <c r="U184" s="28" t="s">
        <v>108</v>
      </c>
      <c r="V184" s="18"/>
      <c r="W184" s="28" t="s">
        <v>108</v>
      </c>
      <c r="X184" s="18"/>
      <c r="Y184" s="28" t="s">
        <v>14</v>
      </c>
      <c r="Z184" s="18"/>
      <c r="AA184" s="28" t="s">
        <v>108</v>
      </c>
      <c r="AB184" s="18"/>
      <c r="AC184" s="28" t="s">
        <v>108</v>
      </c>
      <c r="AD184" s="18"/>
      <c r="AE184" s="28" t="s">
        <v>108</v>
      </c>
      <c r="AF184" s="47" t="str">
        <f t="shared" si="23"/>
        <v>C</v>
      </c>
      <c r="AG184" s="8" t="str">
        <f t="shared" ref="AG184:AG192" si="26">IF(AND(AE184="C",AF184="C"),"UTILIZOU O PDA CORRETAMENTE",IF(AND(AE184="C",AF184="NC"),"UTILIZOU O PDA CORRETAMENTE. NÃO HÁ FOTOS DE TODAS AS ETAPAS",IF(AND(AE184="NC",AF184="NC"),"NÃO UTILIZOU O PDA",IF(AND(AE184="NA",AF184="NA"),"NÃO AVALIADO POR FALHA DE SINCRONISMO"))))</f>
        <v>UTILIZOU O PDA CORRETAMENTE</v>
      </c>
      <c r="AH184" s="26" t="s">
        <v>108</v>
      </c>
      <c r="AI184" s="66" t="s">
        <v>1</v>
      </c>
      <c r="AJ184" s="22" t="str">
        <f t="shared" si="24"/>
        <v>GUARULHOS</v>
      </c>
      <c r="AK184" s="69" t="s">
        <v>4</v>
      </c>
    </row>
    <row r="185" spans="1:37" ht="30" customHeight="1" x14ac:dyDescent="0.2">
      <c r="A185" s="82" t="s">
        <v>101</v>
      </c>
      <c r="B185" s="82">
        <v>2615495178</v>
      </c>
      <c r="C185" s="82" t="s">
        <v>50</v>
      </c>
      <c r="D185" s="82" t="s">
        <v>29</v>
      </c>
      <c r="E185" s="82" t="s">
        <v>102</v>
      </c>
      <c r="F185" s="82" t="s">
        <v>737</v>
      </c>
      <c r="G185" s="82">
        <v>735</v>
      </c>
      <c r="H185" s="82" t="s">
        <v>117</v>
      </c>
      <c r="I185" s="82" t="s">
        <v>738</v>
      </c>
      <c r="J185" s="82" t="s">
        <v>130</v>
      </c>
      <c r="K185" s="82" t="s">
        <v>739</v>
      </c>
      <c r="L185" s="82" t="s">
        <v>734</v>
      </c>
      <c r="M185" s="82" t="s">
        <v>740</v>
      </c>
      <c r="N185" s="82" t="s">
        <v>131</v>
      </c>
      <c r="O185" s="36" t="s">
        <v>108</v>
      </c>
      <c r="P185" s="18"/>
      <c r="Q185" s="28" t="s">
        <v>108</v>
      </c>
      <c r="R185" s="18"/>
      <c r="S185" s="28" t="s">
        <v>108</v>
      </c>
      <c r="T185" s="18"/>
      <c r="U185" s="28" t="s">
        <v>108</v>
      </c>
      <c r="V185" s="18"/>
      <c r="W185" s="28" t="s">
        <v>108</v>
      </c>
      <c r="X185" s="18"/>
      <c r="Y185" s="28" t="s">
        <v>14</v>
      </c>
      <c r="Z185" s="18"/>
      <c r="AA185" s="28" t="s">
        <v>108</v>
      </c>
      <c r="AB185" s="18"/>
      <c r="AC185" s="28" t="s">
        <v>108</v>
      </c>
      <c r="AD185" s="18"/>
      <c r="AE185" s="28" t="s">
        <v>108</v>
      </c>
      <c r="AF185" s="47" t="str">
        <f t="shared" si="23"/>
        <v>C</v>
      </c>
      <c r="AG185" s="8" t="str">
        <f t="shared" si="26"/>
        <v>UTILIZOU O PDA CORRETAMENTE</v>
      </c>
      <c r="AH185" s="26" t="s">
        <v>108</v>
      </c>
      <c r="AI185" s="66" t="s">
        <v>1</v>
      </c>
      <c r="AJ185" s="22" t="str">
        <f t="shared" si="24"/>
        <v>GUARULHOS</v>
      </c>
      <c r="AK185" s="69" t="s">
        <v>4</v>
      </c>
    </row>
    <row r="186" spans="1:37" ht="30" customHeight="1" x14ac:dyDescent="0.2">
      <c r="A186" s="82" t="s">
        <v>101</v>
      </c>
      <c r="B186" s="82">
        <v>2615422931</v>
      </c>
      <c r="C186" s="82" t="s">
        <v>49</v>
      </c>
      <c r="D186" s="82" t="s">
        <v>29</v>
      </c>
      <c r="E186" s="82" t="s">
        <v>102</v>
      </c>
      <c r="F186" s="82" t="s">
        <v>573</v>
      </c>
      <c r="G186" s="82">
        <v>426</v>
      </c>
      <c r="H186" s="82" t="s">
        <v>741</v>
      </c>
      <c r="I186" s="82" t="s">
        <v>247</v>
      </c>
      <c r="J186" s="82" t="s">
        <v>130</v>
      </c>
      <c r="K186" s="82" t="s">
        <v>117</v>
      </c>
      <c r="L186" s="82" t="s">
        <v>734</v>
      </c>
      <c r="M186" s="82" t="s">
        <v>742</v>
      </c>
      <c r="N186" s="82" t="s">
        <v>140</v>
      </c>
      <c r="O186" s="36" t="s">
        <v>108</v>
      </c>
      <c r="P186" s="18"/>
      <c r="Q186" s="28" t="s">
        <v>108</v>
      </c>
      <c r="R186" s="18"/>
      <c r="S186" s="28" t="s">
        <v>108</v>
      </c>
      <c r="T186" s="18"/>
      <c r="U186" s="28" t="s">
        <v>108</v>
      </c>
      <c r="V186" s="18"/>
      <c r="W186" s="28" t="s">
        <v>108</v>
      </c>
      <c r="X186" s="18"/>
      <c r="Y186" s="28" t="s">
        <v>14</v>
      </c>
      <c r="Z186" s="18"/>
      <c r="AA186" s="28" t="s">
        <v>108</v>
      </c>
      <c r="AB186" s="18"/>
      <c r="AC186" s="28" t="s">
        <v>108</v>
      </c>
      <c r="AD186" s="18"/>
      <c r="AE186" s="28" t="s">
        <v>108</v>
      </c>
      <c r="AF186" s="47" t="str">
        <f t="shared" si="23"/>
        <v>C</v>
      </c>
      <c r="AG186" s="8" t="str">
        <f t="shared" si="26"/>
        <v>UTILIZOU O PDA CORRETAMENTE</v>
      </c>
      <c r="AH186" s="26" t="s">
        <v>108</v>
      </c>
      <c r="AI186" s="66" t="s">
        <v>1</v>
      </c>
      <c r="AJ186" s="22" t="str">
        <f t="shared" si="24"/>
        <v>GUARULHOS</v>
      </c>
      <c r="AK186" s="69" t="s">
        <v>4</v>
      </c>
    </row>
    <row r="187" spans="1:37" ht="30" customHeight="1" x14ac:dyDescent="0.2">
      <c r="A187" s="82" t="s">
        <v>101</v>
      </c>
      <c r="B187" s="82">
        <v>2690504108</v>
      </c>
      <c r="C187" s="82" t="s">
        <v>47</v>
      </c>
      <c r="D187" s="82" t="s">
        <v>29</v>
      </c>
      <c r="E187" s="82" t="s">
        <v>102</v>
      </c>
      <c r="F187" s="82" t="s">
        <v>746</v>
      </c>
      <c r="G187" s="82">
        <v>191</v>
      </c>
      <c r="H187" s="82" t="s">
        <v>747</v>
      </c>
      <c r="I187" s="82" t="s">
        <v>191</v>
      </c>
      <c r="J187" s="82" t="s">
        <v>159</v>
      </c>
      <c r="K187" s="82" t="s">
        <v>748</v>
      </c>
      <c r="L187" s="82" t="s">
        <v>734</v>
      </c>
      <c r="M187" s="82" t="s">
        <v>749</v>
      </c>
      <c r="N187" s="82" t="s">
        <v>253</v>
      </c>
      <c r="O187" s="36" t="s">
        <v>108</v>
      </c>
      <c r="P187" s="18"/>
      <c r="Q187" s="28" t="s">
        <v>108</v>
      </c>
      <c r="R187" s="18"/>
      <c r="S187" s="28" t="s">
        <v>108</v>
      </c>
      <c r="T187" s="18"/>
      <c r="U187" s="28" t="s">
        <v>108</v>
      </c>
      <c r="V187" s="18"/>
      <c r="W187" s="28" t="s">
        <v>108</v>
      </c>
      <c r="X187" s="18"/>
      <c r="Y187" s="28" t="s">
        <v>14</v>
      </c>
      <c r="Z187" s="18"/>
      <c r="AA187" s="28" t="s">
        <v>108</v>
      </c>
      <c r="AB187" s="18"/>
      <c r="AC187" s="28" t="s">
        <v>108</v>
      </c>
      <c r="AD187" s="18"/>
      <c r="AE187" s="28" t="s">
        <v>108</v>
      </c>
      <c r="AF187" s="47" t="str">
        <f t="shared" si="23"/>
        <v>C</v>
      </c>
      <c r="AG187" s="8" t="str">
        <f t="shared" si="26"/>
        <v>UTILIZOU O PDA CORRETAMENTE</v>
      </c>
      <c r="AH187" s="26" t="s">
        <v>108</v>
      </c>
      <c r="AI187" s="66" t="s">
        <v>1</v>
      </c>
      <c r="AJ187" s="22" t="str">
        <f t="shared" si="24"/>
        <v>GUARULHOS</v>
      </c>
      <c r="AK187" s="69" t="s">
        <v>4</v>
      </c>
    </row>
    <row r="188" spans="1:37" ht="30" customHeight="1" x14ac:dyDescent="0.2">
      <c r="A188" s="82" t="s">
        <v>101</v>
      </c>
      <c r="B188" s="82">
        <v>2615309904</v>
      </c>
      <c r="C188" s="82" t="s">
        <v>42</v>
      </c>
      <c r="D188" s="82" t="s">
        <v>25</v>
      </c>
      <c r="E188" s="82" t="s">
        <v>102</v>
      </c>
      <c r="F188" s="82" t="s">
        <v>477</v>
      </c>
      <c r="G188" s="82">
        <v>70</v>
      </c>
      <c r="H188" s="82" t="s">
        <v>750</v>
      </c>
      <c r="I188" s="82" t="s">
        <v>479</v>
      </c>
      <c r="J188" s="82" t="s">
        <v>42</v>
      </c>
      <c r="K188" s="82" t="s">
        <v>751</v>
      </c>
      <c r="L188" s="82" t="s">
        <v>734</v>
      </c>
      <c r="M188" s="82" t="s">
        <v>752</v>
      </c>
      <c r="N188" s="82" t="s">
        <v>274</v>
      </c>
      <c r="O188" s="36" t="s">
        <v>108</v>
      </c>
      <c r="P188" s="18"/>
      <c r="Q188" s="28" t="s">
        <v>108</v>
      </c>
      <c r="R188" s="18"/>
      <c r="S188" s="28" t="s">
        <v>108</v>
      </c>
      <c r="T188" s="18"/>
      <c r="U188" s="28" t="s">
        <v>108</v>
      </c>
      <c r="V188" s="18"/>
      <c r="W188" s="28" t="s">
        <v>108</v>
      </c>
      <c r="X188" s="18"/>
      <c r="Y188" s="28" t="s">
        <v>108</v>
      </c>
      <c r="Z188" s="18"/>
      <c r="AA188" s="28" t="s">
        <v>108</v>
      </c>
      <c r="AB188" s="18"/>
      <c r="AC188" s="28" t="s">
        <v>108</v>
      </c>
      <c r="AD188" s="18"/>
      <c r="AE188" s="28" t="s">
        <v>108</v>
      </c>
      <c r="AF188" s="47" t="str">
        <f t="shared" si="23"/>
        <v>C</v>
      </c>
      <c r="AG188" s="8" t="str">
        <f t="shared" si="26"/>
        <v>UTILIZOU O PDA CORRETAMENTE</v>
      </c>
      <c r="AH188" s="28" t="s">
        <v>108</v>
      </c>
      <c r="AI188" s="66" t="s">
        <v>1</v>
      </c>
      <c r="AJ188" s="22" t="str">
        <f t="shared" si="24"/>
        <v>GUARULHOS</v>
      </c>
      <c r="AK188" s="69" t="s">
        <v>4</v>
      </c>
    </row>
    <row r="189" spans="1:37" ht="30" customHeight="1" x14ac:dyDescent="0.2">
      <c r="A189" s="82" t="s">
        <v>101</v>
      </c>
      <c r="B189" s="82">
        <v>2615250858</v>
      </c>
      <c r="C189" s="82" t="s">
        <v>39</v>
      </c>
      <c r="D189" s="82" t="s">
        <v>25</v>
      </c>
      <c r="E189" s="82" t="s">
        <v>102</v>
      </c>
      <c r="F189" s="82" t="s">
        <v>754</v>
      </c>
      <c r="G189" s="82">
        <v>1824</v>
      </c>
      <c r="H189" s="82" t="s">
        <v>110</v>
      </c>
      <c r="I189" s="82" t="s">
        <v>169</v>
      </c>
      <c r="J189" s="82" t="s">
        <v>39</v>
      </c>
      <c r="K189" s="82" t="s">
        <v>755</v>
      </c>
      <c r="L189" s="82" t="s">
        <v>734</v>
      </c>
      <c r="M189" s="82" t="s">
        <v>756</v>
      </c>
      <c r="N189" s="82" t="s">
        <v>274</v>
      </c>
      <c r="O189" s="36" t="s">
        <v>108</v>
      </c>
      <c r="P189" s="18"/>
      <c r="Q189" s="28" t="s">
        <v>14</v>
      </c>
      <c r="R189" s="18"/>
      <c r="S189" s="28" t="s">
        <v>14</v>
      </c>
      <c r="T189" s="18"/>
      <c r="U189" s="28" t="s">
        <v>14</v>
      </c>
      <c r="V189" s="18"/>
      <c r="W189" s="28" t="s">
        <v>14</v>
      </c>
      <c r="X189" s="18"/>
      <c r="Y189" s="28" t="s">
        <v>14</v>
      </c>
      <c r="Z189" s="18"/>
      <c r="AA189" s="28" t="s">
        <v>108</v>
      </c>
      <c r="AB189" s="18"/>
      <c r="AC189" s="28" t="s">
        <v>108</v>
      </c>
      <c r="AD189" s="18"/>
      <c r="AE189" s="28" t="s">
        <v>108</v>
      </c>
      <c r="AF189" s="47" t="str">
        <f t="shared" si="23"/>
        <v>C</v>
      </c>
      <c r="AG189" s="8" t="str">
        <f t="shared" si="26"/>
        <v>UTILIZOU O PDA CORRETAMENTE</v>
      </c>
      <c r="AH189" s="28" t="s">
        <v>108</v>
      </c>
      <c r="AI189" s="66" t="s">
        <v>1</v>
      </c>
      <c r="AJ189" s="22" t="str">
        <f t="shared" si="24"/>
        <v>GUARULHOS</v>
      </c>
      <c r="AK189" s="69" t="s">
        <v>4</v>
      </c>
    </row>
    <row r="190" spans="1:37" ht="30" customHeight="1" x14ac:dyDescent="0.2">
      <c r="A190" s="82" t="s">
        <v>101</v>
      </c>
      <c r="B190" s="82">
        <v>2615307999</v>
      </c>
      <c r="C190" s="82" t="s">
        <v>132</v>
      </c>
      <c r="D190" s="82" t="s">
        <v>25</v>
      </c>
      <c r="E190" s="82" t="s">
        <v>102</v>
      </c>
      <c r="F190" s="82" t="s">
        <v>758</v>
      </c>
      <c r="G190" s="82">
        <v>11</v>
      </c>
      <c r="H190" s="82" t="s">
        <v>759</v>
      </c>
      <c r="I190" s="82" t="s">
        <v>154</v>
      </c>
      <c r="J190" s="82" t="s">
        <v>135</v>
      </c>
      <c r="K190" s="82" t="s">
        <v>760</v>
      </c>
      <c r="L190" s="82" t="s">
        <v>734</v>
      </c>
      <c r="M190" s="82" t="s">
        <v>761</v>
      </c>
      <c r="N190" s="82" t="s">
        <v>107</v>
      </c>
      <c r="O190" s="36" t="s">
        <v>14</v>
      </c>
      <c r="P190" s="18"/>
      <c r="Q190" s="28" t="s">
        <v>14</v>
      </c>
      <c r="R190" s="18"/>
      <c r="S190" s="28" t="s">
        <v>14</v>
      </c>
      <c r="T190" s="18"/>
      <c r="U190" s="28" t="s">
        <v>14</v>
      </c>
      <c r="V190" s="18"/>
      <c r="W190" s="28" t="s">
        <v>14</v>
      </c>
      <c r="X190" s="18"/>
      <c r="Y190" s="28" t="s">
        <v>14</v>
      </c>
      <c r="Z190" s="18"/>
      <c r="AA190" s="28" t="s">
        <v>14</v>
      </c>
      <c r="AB190" s="18"/>
      <c r="AC190" s="28" t="s">
        <v>14</v>
      </c>
      <c r="AD190" s="18"/>
      <c r="AE190" s="28" t="s">
        <v>14</v>
      </c>
      <c r="AF190" s="47" t="str">
        <f t="shared" si="23"/>
        <v>NA</v>
      </c>
      <c r="AG190" s="8" t="str">
        <f t="shared" si="26"/>
        <v>NÃO AVALIADO POR FALHA DE SINCRONISMO</v>
      </c>
      <c r="AH190" s="28" t="s">
        <v>108</v>
      </c>
      <c r="AI190" s="66" t="s">
        <v>1</v>
      </c>
      <c r="AJ190" s="22" t="str">
        <f t="shared" si="24"/>
        <v>GUARULHOS</v>
      </c>
      <c r="AK190" s="69" t="s">
        <v>4</v>
      </c>
    </row>
    <row r="191" spans="1:37" ht="30" customHeight="1" x14ac:dyDescent="0.2">
      <c r="A191" s="82" t="s">
        <v>101</v>
      </c>
      <c r="B191" s="82">
        <v>2615308000</v>
      </c>
      <c r="C191" s="82" t="s">
        <v>132</v>
      </c>
      <c r="D191" s="82" t="s">
        <v>25</v>
      </c>
      <c r="E191" s="82" t="s">
        <v>102</v>
      </c>
      <c r="F191" s="82" t="s">
        <v>758</v>
      </c>
      <c r="G191" s="82">
        <v>11</v>
      </c>
      <c r="H191" s="82" t="s">
        <v>762</v>
      </c>
      <c r="I191" s="82" t="s">
        <v>154</v>
      </c>
      <c r="J191" s="82" t="s">
        <v>135</v>
      </c>
      <c r="K191" s="82"/>
      <c r="L191" s="82" t="s">
        <v>734</v>
      </c>
      <c r="M191" s="82" t="s">
        <v>763</v>
      </c>
      <c r="N191" s="82" t="s">
        <v>107</v>
      </c>
      <c r="O191" s="36" t="s">
        <v>14</v>
      </c>
      <c r="P191" s="18"/>
      <c r="Q191" s="28" t="s">
        <v>14</v>
      </c>
      <c r="R191" s="18"/>
      <c r="S191" s="28" t="s">
        <v>14</v>
      </c>
      <c r="T191" s="18"/>
      <c r="U191" s="28" t="s">
        <v>14</v>
      </c>
      <c r="V191" s="18"/>
      <c r="W191" s="28" t="s">
        <v>14</v>
      </c>
      <c r="X191" s="18"/>
      <c r="Y191" s="28" t="s">
        <v>14</v>
      </c>
      <c r="Z191" s="18"/>
      <c r="AA191" s="28" t="s">
        <v>14</v>
      </c>
      <c r="AB191" s="18"/>
      <c r="AC191" s="28" t="s">
        <v>14</v>
      </c>
      <c r="AD191" s="18"/>
      <c r="AE191" s="28" t="s">
        <v>14</v>
      </c>
      <c r="AF191" s="47" t="str">
        <f t="shared" si="23"/>
        <v>NA</v>
      </c>
      <c r="AG191" s="8" t="str">
        <f t="shared" si="26"/>
        <v>NÃO AVALIADO POR FALHA DE SINCRONISMO</v>
      </c>
      <c r="AH191" s="28" t="s">
        <v>108</v>
      </c>
      <c r="AI191" s="66" t="s">
        <v>1</v>
      </c>
      <c r="AJ191" s="22" t="str">
        <f t="shared" si="24"/>
        <v>GUARULHOS</v>
      </c>
      <c r="AK191" s="69" t="s">
        <v>4</v>
      </c>
    </row>
    <row r="192" spans="1:37" ht="30" customHeight="1" x14ac:dyDescent="0.2">
      <c r="A192" s="82" t="s">
        <v>101</v>
      </c>
      <c r="B192" s="82">
        <v>2615682432</v>
      </c>
      <c r="C192" s="82" t="s">
        <v>33</v>
      </c>
      <c r="D192" s="82" t="s">
        <v>25</v>
      </c>
      <c r="E192" s="82" t="s">
        <v>102</v>
      </c>
      <c r="F192" s="82" t="s">
        <v>764</v>
      </c>
      <c r="G192" s="82">
        <v>106</v>
      </c>
      <c r="H192" s="82"/>
      <c r="I192" s="82" t="s">
        <v>765</v>
      </c>
      <c r="J192" s="82" t="s">
        <v>33</v>
      </c>
      <c r="K192" s="82"/>
      <c r="L192" s="82" t="s">
        <v>734</v>
      </c>
      <c r="M192" s="82" t="s">
        <v>766</v>
      </c>
      <c r="N192" s="82" t="s">
        <v>767</v>
      </c>
      <c r="O192" s="36" t="s">
        <v>108</v>
      </c>
      <c r="P192" s="18"/>
      <c r="Q192" s="28" t="s">
        <v>14</v>
      </c>
      <c r="R192" s="18"/>
      <c r="S192" s="28" t="s">
        <v>14</v>
      </c>
      <c r="T192" s="18"/>
      <c r="U192" s="28" t="s">
        <v>14</v>
      </c>
      <c r="V192" s="18"/>
      <c r="W192" s="28" t="s">
        <v>14</v>
      </c>
      <c r="X192" s="18"/>
      <c r="Y192" s="28" t="s">
        <v>14</v>
      </c>
      <c r="Z192" s="18"/>
      <c r="AA192" s="28" t="s">
        <v>14</v>
      </c>
      <c r="AB192" s="18"/>
      <c r="AC192" s="28" t="s">
        <v>108</v>
      </c>
      <c r="AD192" s="18"/>
      <c r="AE192" s="28" t="s">
        <v>108</v>
      </c>
      <c r="AF192" s="47" t="str">
        <f t="shared" si="23"/>
        <v>C</v>
      </c>
      <c r="AG192" s="8" t="str">
        <f t="shared" si="26"/>
        <v>UTILIZOU O PDA CORRETAMENTE</v>
      </c>
      <c r="AH192" s="28" t="s">
        <v>108</v>
      </c>
      <c r="AI192" s="66" t="s">
        <v>1</v>
      </c>
      <c r="AJ192" s="22" t="str">
        <f t="shared" si="24"/>
        <v>GUARULHOS</v>
      </c>
      <c r="AK192" s="69" t="s">
        <v>4</v>
      </c>
    </row>
    <row r="193" spans="1:37" ht="30" customHeight="1" x14ac:dyDescent="0.2">
      <c r="A193" s="82" t="s">
        <v>101</v>
      </c>
      <c r="B193" s="82">
        <v>2614638688</v>
      </c>
      <c r="C193" s="82" t="s">
        <v>508</v>
      </c>
      <c r="D193" s="82" t="s">
        <v>28</v>
      </c>
      <c r="E193" s="82" t="s">
        <v>102</v>
      </c>
      <c r="F193" s="82" t="s">
        <v>768</v>
      </c>
      <c r="G193" s="82">
        <v>300</v>
      </c>
      <c r="H193" s="82" t="s">
        <v>769</v>
      </c>
      <c r="I193" s="82" t="s">
        <v>505</v>
      </c>
      <c r="J193" s="82" t="s">
        <v>510</v>
      </c>
      <c r="K193" s="82" t="s">
        <v>770</v>
      </c>
      <c r="L193" s="82" t="s">
        <v>734</v>
      </c>
      <c r="M193" s="82" t="s">
        <v>771</v>
      </c>
      <c r="N193" s="82" t="s">
        <v>772</v>
      </c>
      <c r="O193" s="36" t="s">
        <v>14</v>
      </c>
      <c r="P193" s="18"/>
      <c r="Q193" s="28" t="s">
        <v>14</v>
      </c>
      <c r="R193" s="18"/>
      <c r="S193" s="28" t="s">
        <v>14</v>
      </c>
      <c r="T193" s="18"/>
      <c r="U193" s="28" t="s">
        <v>14</v>
      </c>
      <c r="V193" s="18"/>
      <c r="W193" s="28" t="s">
        <v>14</v>
      </c>
      <c r="X193" s="18"/>
      <c r="Y193" s="28" t="s">
        <v>14</v>
      </c>
      <c r="Z193" s="18"/>
      <c r="AA193" s="28" t="s">
        <v>14</v>
      </c>
      <c r="AB193" s="18"/>
      <c r="AC193" s="28" t="s">
        <v>14</v>
      </c>
      <c r="AD193" s="18"/>
      <c r="AE193" s="28" t="s">
        <v>14</v>
      </c>
      <c r="AF193" s="47" t="str">
        <f t="shared" si="23"/>
        <v>NA</v>
      </c>
      <c r="AG193" s="8" t="s">
        <v>200</v>
      </c>
      <c r="AH193" s="28" t="s">
        <v>108</v>
      </c>
      <c r="AI193" s="66" t="s">
        <v>1</v>
      </c>
      <c r="AJ193" s="22" t="str">
        <f t="shared" si="24"/>
        <v>GUARULHOS</v>
      </c>
      <c r="AK193" s="69" t="s">
        <v>4</v>
      </c>
    </row>
    <row r="194" spans="1:37" ht="30" customHeight="1" x14ac:dyDescent="0.2">
      <c r="A194" s="82" t="s">
        <v>101</v>
      </c>
      <c r="B194" s="82">
        <v>2615263914</v>
      </c>
      <c r="C194" s="82" t="s">
        <v>32</v>
      </c>
      <c r="D194" s="82" t="s">
        <v>28</v>
      </c>
      <c r="E194" s="82" t="s">
        <v>102</v>
      </c>
      <c r="F194" s="82" t="s">
        <v>773</v>
      </c>
      <c r="G194" s="82">
        <v>64</v>
      </c>
      <c r="H194" s="82" t="s">
        <v>774</v>
      </c>
      <c r="I194" s="82" t="s">
        <v>516</v>
      </c>
      <c r="J194" s="82" t="s">
        <v>262</v>
      </c>
      <c r="K194" s="82" t="s">
        <v>775</v>
      </c>
      <c r="L194" s="82" t="s">
        <v>734</v>
      </c>
      <c r="M194" s="82" t="s">
        <v>776</v>
      </c>
      <c r="N194" s="82" t="s">
        <v>772</v>
      </c>
      <c r="O194" s="36" t="s">
        <v>14</v>
      </c>
      <c r="P194" s="18"/>
      <c r="Q194" s="28" t="s">
        <v>14</v>
      </c>
      <c r="R194" s="18"/>
      <c r="S194" s="28" t="s">
        <v>14</v>
      </c>
      <c r="T194" s="18"/>
      <c r="U194" s="28" t="s">
        <v>14</v>
      </c>
      <c r="V194" s="18"/>
      <c r="W194" s="28" t="s">
        <v>14</v>
      </c>
      <c r="X194" s="18"/>
      <c r="Y194" s="28" t="s">
        <v>14</v>
      </c>
      <c r="Z194" s="18"/>
      <c r="AA194" s="28" t="s">
        <v>14</v>
      </c>
      <c r="AB194" s="18"/>
      <c r="AC194" s="28" t="s">
        <v>14</v>
      </c>
      <c r="AD194" s="18"/>
      <c r="AE194" s="28" t="s">
        <v>14</v>
      </c>
      <c r="AF194" s="47" t="str">
        <f t="shared" si="23"/>
        <v>NA</v>
      </c>
      <c r="AG194" s="8" t="str">
        <f>IF(AND(AE194="C",AF194="C"),"UTILIZOU O PDA CORRETAMENTE",IF(AND(AE194="C",AF194="NC"),"UTILIZOU O PDA CORRETAMENTE. NÃO HÁ FOTOS DE TODAS AS ETAPAS",IF(AND(AE194="NC",AF194="NC"),"NÃO UTILIZOU O PDA",IF(AND(AE194="NA",AF194="NA"),"NÃO AVALIADO POR FALHA DE SINCRONISMO"))))</f>
        <v>NÃO AVALIADO POR FALHA DE SINCRONISMO</v>
      </c>
      <c r="AH194" s="28" t="s">
        <v>108</v>
      </c>
      <c r="AI194" s="66" t="s">
        <v>1</v>
      </c>
      <c r="AJ194" s="22" t="str">
        <f t="shared" si="24"/>
        <v>GUARULHOS</v>
      </c>
      <c r="AK194" s="69" t="s">
        <v>4</v>
      </c>
    </row>
    <row r="195" spans="1:37" ht="30" customHeight="1" x14ac:dyDescent="0.2">
      <c r="A195" s="82" t="s">
        <v>101</v>
      </c>
      <c r="B195" s="82">
        <v>2615264503</v>
      </c>
      <c r="C195" s="82" t="s">
        <v>508</v>
      </c>
      <c r="D195" s="82" t="s">
        <v>28</v>
      </c>
      <c r="E195" s="82" t="s">
        <v>102</v>
      </c>
      <c r="F195" s="82" t="s">
        <v>773</v>
      </c>
      <c r="G195" s="82">
        <v>52</v>
      </c>
      <c r="H195" s="82" t="s">
        <v>117</v>
      </c>
      <c r="I195" s="82" t="s">
        <v>516</v>
      </c>
      <c r="J195" s="82" t="s">
        <v>510</v>
      </c>
      <c r="K195" s="88" t="s">
        <v>777</v>
      </c>
      <c r="L195" s="82" t="s">
        <v>734</v>
      </c>
      <c r="M195" s="82" t="s">
        <v>778</v>
      </c>
      <c r="N195" s="82" t="s">
        <v>772</v>
      </c>
      <c r="O195" s="36" t="s">
        <v>14</v>
      </c>
      <c r="P195" s="18"/>
      <c r="Q195" s="28" t="s">
        <v>14</v>
      </c>
      <c r="R195" s="18"/>
      <c r="S195" s="28" t="s">
        <v>14</v>
      </c>
      <c r="T195" s="18"/>
      <c r="U195" s="28" t="s">
        <v>14</v>
      </c>
      <c r="V195" s="18"/>
      <c r="W195" s="28" t="s">
        <v>14</v>
      </c>
      <c r="X195" s="18"/>
      <c r="Y195" s="28" t="s">
        <v>14</v>
      </c>
      <c r="Z195" s="18"/>
      <c r="AA195" s="28" t="s">
        <v>14</v>
      </c>
      <c r="AB195" s="18"/>
      <c r="AC195" s="28" t="s">
        <v>14</v>
      </c>
      <c r="AD195" s="18"/>
      <c r="AE195" s="28" t="s">
        <v>14</v>
      </c>
      <c r="AF195" s="47" t="str">
        <f t="shared" si="23"/>
        <v>NA</v>
      </c>
      <c r="AG195" s="8" t="s">
        <v>200</v>
      </c>
      <c r="AH195" s="28" t="s">
        <v>108</v>
      </c>
      <c r="AI195" s="66" t="s">
        <v>1</v>
      </c>
      <c r="AJ195" s="22" t="str">
        <f t="shared" si="24"/>
        <v>GUARULHOS</v>
      </c>
      <c r="AK195" s="69" t="s">
        <v>4</v>
      </c>
    </row>
    <row r="196" spans="1:37" ht="30" customHeight="1" x14ac:dyDescent="0.2">
      <c r="A196" s="82" t="s">
        <v>101</v>
      </c>
      <c r="B196" s="82">
        <v>2615577393</v>
      </c>
      <c r="C196" s="82" t="s">
        <v>32</v>
      </c>
      <c r="D196" s="82" t="s">
        <v>28</v>
      </c>
      <c r="E196" s="82" t="s">
        <v>102</v>
      </c>
      <c r="F196" s="82" t="s">
        <v>736</v>
      </c>
      <c r="G196" s="82">
        <v>219</v>
      </c>
      <c r="H196" s="82" t="s">
        <v>779</v>
      </c>
      <c r="I196" s="82" t="s">
        <v>516</v>
      </c>
      <c r="J196" s="82" t="s">
        <v>262</v>
      </c>
      <c r="K196" s="82" t="s">
        <v>775</v>
      </c>
      <c r="L196" s="82" t="s">
        <v>734</v>
      </c>
      <c r="M196" s="82" t="s">
        <v>780</v>
      </c>
      <c r="N196" s="82" t="s">
        <v>772</v>
      </c>
      <c r="O196" s="36" t="s">
        <v>14</v>
      </c>
      <c r="P196" s="18"/>
      <c r="Q196" s="28" t="s">
        <v>14</v>
      </c>
      <c r="R196" s="18"/>
      <c r="S196" s="28" t="s">
        <v>14</v>
      </c>
      <c r="T196" s="18"/>
      <c r="U196" s="28" t="s">
        <v>14</v>
      </c>
      <c r="V196" s="18"/>
      <c r="W196" s="28" t="s">
        <v>14</v>
      </c>
      <c r="X196" s="18"/>
      <c r="Y196" s="28" t="s">
        <v>14</v>
      </c>
      <c r="Z196" s="18"/>
      <c r="AA196" s="28" t="s">
        <v>14</v>
      </c>
      <c r="AB196" s="18"/>
      <c r="AC196" s="28" t="s">
        <v>14</v>
      </c>
      <c r="AD196" s="18"/>
      <c r="AE196" s="28" t="s">
        <v>14</v>
      </c>
      <c r="AF196" s="47" t="str">
        <f t="shared" si="23"/>
        <v>NA</v>
      </c>
      <c r="AG196" s="8" t="str">
        <f>IF(AND(AE196="C",AF196="C"),"UTILIZOU O PDA CORRETAMENTE",IF(AND(AE196="C",AF196="NC"),"UTILIZOU O PDA CORRETAMENTE. NÃO HÁ FOTOS DE TODAS AS ETAPAS",IF(AND(AE196="NC",AF196="NC"),"NÃO UTILIZOU O PDA",IF(AND(AE196="NA",AF196="NA"),"NÃO AVALIADO POR FALHA DE SINCRONISMO"))))</f>
        <v>NÃO AVALIADO POR FALHA DE SINCRONISMO</v>
      </c>
      <c r="AH196" s="28" t="s">
        <v>108</v>
      </c>
      <c r="AI196" s="66" t="s">
        <v>1</v>
      </c>
      <c r="AJ196" s="22" t="str">
        <f t="shared" si="24"/>
        <v>GUARULHOS</v>
      </c>
      <c r="AK196" s="69" t="s">
        <v>4</v>
      </c>
    </row>
    <row r="197" spans="1:37" ht="30" customHeight="1" x14ac:dyDescent="0.2">
      <c r="A197" s="82" t="s">
        <v>101</v>
      </c>
      <c r="B197" s="82">
        <v>2615100657</v>
      </c>
      <c r="C197" s="82" t="s">
        <v>32</v>
      </c>
      <c r="D197" s="82" t="s">
        <v>28</v>
      </c>
      <c r="E197" s="82" t="s">
        <v>102</v>
      </c>
      <c r="F197" s="82" t="s">
        <v>773</v>
      </c>
      <c r="G197" s="82">
        <v>46</v>
      </c>
      <c r="H197" s="82">
        <v>2</v>
      </c>
      <c r="I197" s="82" t="s">
        <v>516</v>
      </c>
      <c r="J197" s="82" t="s">
        <v>262</v>
      </c>
      <c r="K197" s="88" t="s">
        <v>781</v>
      </c>
      <c r="L197" s="82" t="s">
        <v>734</v>
      </c>
      <c r="M197" s="82" t="s">
        <v>782</v>
      </c>
      <c r="N197" s="82" t="s">
        <v>772</v>
      </c>
      <c r="O197" s="36" t="s">
        <v>14</v>
      </c>
      <c r="P197" s="18"/>
      <c r="Q197" s="28" t="s">
        <v>14</v>
      </c>
      <c r="R197" s="18"/>
      <c r="S197" s="28" t="s">
        <v>14</v>
      </c>
      <c r="T197" s="18"/>
      <c r="U197" s="28" t="s">
        <v>14</v>
      </c>
      <c r="V197" s="18"/>
      <c r="W197" s="28" t="s">
        <v>14</v>
      </c>
      <c r="X197" s="18"/>
      <c r="Y197" s="28" t="s">
        <v>14</v>
      </c>
      <c r="Z197" s="18"/>
      <c r="AA197" s="28" t="s">
        <v>14</v>
      </c>
      <c r="AB197" s="18"/>
      <c r="AC197" s="28" t="s">
        <v>14</v>
      </c>
      <c r="AD197" s="18"/>
      <c r="AE197" s="28" t="s">
        <v>14</v>
      </c>
      <c r="AF197" s="47" t="str">
        <f t="shared" si="23"/>
        <v>NA</v>
      </c>
      <c r="AG197" s="8" t="str">
        <f>IF(AND(AE197="C",AF197="C"),"UTILIZOU O PDA CORRETAMENTE",IF(AND(AE197="C",AF197="NC"),"UTILIZOU O PDA CORRETAMENTE. NÃO HÁ FOTOS DE TODAS AS ETAPAS",IF(AND(AE197="NC",AF197="NC"),"NÃO UTILIZOU O PDA",IF(AND(AE197="NA",AF197="NA"),"NÃO AVALIADO POR FALHA DE SINCRONISMO"))))</f>
        <v>NÃO AVALIADO POR FALHA DE SINCRONISMO</v>
      </c>
      <c r="AH197" s="28" t="s">
        <v>108</v>
      </c>
      <c r="AI197" s="66" t="s">
        <v>1</v>
      </c>
      <c r="AJ197" s="22" t="str">
        <f t="shared" si="24"/>
        <v>GUARULHOS</v>
      </c>
      <c r="AK197" s="69" t="s">
        <v>4</v>
      </c>
    </row>
    <row r="198" spans="1:37" ht="30" customHeight="1" x14ac:dyDescent="0.2">
      <c r="A198" s="82" t="s">
        <v>101</v>
      </c>
      <c r="B198" s="82">
        <v>2615264292</v>
      </c>
      <c r="C198" s="82" t="s">
        <v>508</v>
      </c>
      <c r="D198" s="82" t="s">
        <v>28</v>
      </c>
      <c r="E198" s="82" t="s">
        <v>102</v>
      </c>
      <c r="F198" s="82" t="s">
        <v>773</v>
      </c>
      <c r="G198" s="82">
        <v>64</v>
      </c>
      <c r="H198" s="82" t="s">
        <v>774</v>
      </c>
      <c r="I198" s="82" t="s">
        <v>516</v>
      </c>
      <c r="J198" s="82" t="s">
        <v>510</v>
      </c>
      <c r="K198" s="88" t="s">
        <v>783</v>
      </c>
      <c r="L198" s="82" t="s">
        <v>734</v>
      </c>
      <c r="M198" s="82" t="s">
        <v>784</v>
      </c>
      <c r="N198" s="82" t="s">
        <v>772</v>
      </c>
      <c r="O198" s="36" t="s">
        <v>14</v>
      </c>
      <c r="P198" s="18"/>
      <c r="Q198" s="28" t="s">
        <v>14</v>
      </c>
      <c r="R198" s="18"/>
      <c r="S198" s="28" t="s">
        <v>14</v>
      </c>
      <c r="T198" s="18"/>
      <c r="U198" s="28" t="s">
        <v>14</v>
      </c>
      <c r="V198" s="18"/>
      <c r="W198" s="28" t="s">
        <v>14</v>
      </c>
      <c r="X198" s="18"/>
      <c r="Y198" s="28" t="s">
        <v>14</v>
      </c>
      <c r="Z198" s="18"/>
      <c r="AA198" s="28" t="s">
        <v>14</v>
      </c>
      <c r="AB198" s="18"/>
      <c r="AC198" s="28" t="s">
        <v>14</v>
      </c>
      <c r="AD198" s="18"/>
      <c r="AE198" s="28" t="s">
        <v>14</v>
      </c>
      <c r="AF198" s="47" t="str">
        <f t="shared" si="23"/>
        <v>NA</v>
      </c>
      <c r="AG198" s="8" t="s">
        <v>200</v>
      </c>
      <c r="AH198" s="28" t="s">
        <v>108</v>
      </c>
      <c r="AI198" s="66" t="s">
        <v>1</v>
      </c>
      <c r="AJ198" s="22" t="str">
        <f t="shared" si="24"/>
        <v>GUARULHOS</v>
      </c>
      <c r="AK198" s="69" t="s">
        <v>4</v>
      </c>
    </row>
    <row r="199" spans="1:37" ht="30" customHeight="1" x14ac:dyDescent="0.2">
      <c r="A199" s="82" t="s">
        <v>101</v>
      </c>
      <c r="B199" s="82">
        <v>2615585734</v>
      </c>
      <c r="C199" s="82" t="s">
        <v>45</v>
      </c>
      <c r="D199" s="82" t="s">
        <v>27</v>
      </c>
      <c r="E199" s="82" t="s">
        <v>102</v>
      </c>
      <c r="F199" s="82" t="s">
        <v>697</v>
      </c>
      <c r="G199" s="82">
        <v>601</v>
      </c>
      <c r="H199" s="82" t="s">
        <v>788</v>
      </c>
      <c r="I199" s="82" t="s">
        <v>430</v>
      </c>
      <c r="J199" s="82" t="s">
        <v>150</v>
      </c>
      <c r="K199" s="82" t="s">
        <v>789</v>
      </c>
      <c r="L199" s="82" t="s">
        <v>734</v>
      </c>
      <c r="M199" s="82" t="s">
        <v>790</v>
      </c>
      <c r="N199" s="82" t="s">
        <v>144</v>
      </c>
      <c r="O199" s="35" t="s">
        <v>108</v>
      </c>
      <c r="P199" s="25"/>
      <c r="Q199" s="26" t="s">
        <v>108</v>
      </c>
      <c r="R199" s="25"/>
      <c r="S199" s="26" t="s">
        <v>108</v>
      </c>
      <c r="T199" s="25"/>
      <c r="U199" s="26" t="s">
        <v>108</v>
      </c>
      <c r="V199" s="25"/>
      <c r="W199" s="26" t="s">
        <v>108</v>
      </c>
      <c r="X199" s="25"/>
      <c r="Y199" s="26" t="s">
        <v>108</v>
      </c>
      <c r="Z199" s="25"/>
      <c r="AA199" s="26" t="s">
        <v>108</v>
      </c>
      <c r="AB199" s="25"/>
      <c r="AC199" s="26" t="s">
        <v>108</v>
      </c>
      <c r="AD199" s="10"/>
      <c r="AE199" s="26" t="s">
        <v>108</v>
      </c>
      <c r="AF199" s="47" t="str">
        <f t="shared" si="23"/>
        <v>C</v>
      </c>
      <c r="AG199" s="8" t="str">
        <f>IF(AND(AE199="C",AF199="C"),"UTILIZOU O PDA CORRETAMENTE",IF(AND(AE199="C",AF199="NC"),"UTILIZOU O PDA CORRETAMENTE. NÃO HÁ FOTOS DE TODAS AS ETAPAS",IF(AND(AE199="NC",AF199="NC"),"NÃO UTILIZOU O PDA",IF(AND(AE199="NA",AF199="NA"),"NÃO AVALIADO POR FALHA DE SINCRONISMO"))))</f>
        <v>UTILIZOU O PDA CORRETAMENTE</v>
      </c>
      <c r="AH199" s="26" t="s">
        <v>108</v>
      </c>
      <c r="AI199" s="66" t="s">
        <v>1</v>
      </c>
      <c r="AJ199" s="22" t="str">
        <f t="shared" si="24"/>
        <v>GUARULHOS</v>
      </c>
      <c r="AK199" s="69" t="s">
        <v>4</v>
      </c>
    </row>
    <row r="200" spans="1:37" ht="30" customHeight="1" x14ac:dyDescent="0.2">
      <c r="A200" s="82" t="s">
        <v>101</v>
      </c>
      <c r="B200" s="82">
        <v>2614193684</v>
      </c>
      <c r="C200" s="82" t="s">
        <v>508</v>
      </c>
      <c r="D200" s="82" t="s">
        <v>28</v>
      </c>
      <c r="E200" s="82" t="s">
        <v>102</v>
      </c>
      <c r="F200" s="82" t="s">
        <v>791</v>
      </c>
      <c r="G200" s="82">
        <v>38</v>
      </c>
      <c r="H200" s="82" t="s">
        <v>792</v>
      </c>
      <c r="I200" s="82" t="s">
        <v>793</v>
      </c>
      <c r="J200" s="82" t="s">
        <v>510</v>
      </c>
      <c r="K200" s="82" t="s">
        <v>794</v>
      </c>
      <c r="L200" s="82" t="s">
        <v>734</v>
      </c>
      <c r="M200" s="82" t="s">
        <v>795</v>
      </c>
      <c r="N200" s="82" t="s">
        <v>772</v>
      </c>
      <c r="O200" s="36" t="s">
        <v>14</v>
      </c>
      <c r="P200" s="18"/>
      <c r="Q200" s="28" t="s">
        <v>14</v>
      </c>
      <c r="R200" s="18"/>
      <c r="S200" s="28" t="s">
        <v>14</v>
      </c>
      <c r="T200" s="18"/>
      <c r="U200" s="28" t="s">
        <v>14</v>
      </c>
      <c r="V200" s="18"/>
      <c r="W200" s="28" t="s">
        <v>14</v>
      </c>
      <c r="X200" s="18"/>
      <c r="Y200" s="28" t="s">
        <v>14</v>
      </c>
      <c r="Z200" s="18"/>
      <c r="AA200" s="28" t="s">
        <v>14</v>
      </c>
      <c r="AB200" s="18"/>
      <c r="AC200" s="28" t="s">
        <v>14</v>
      </c>
      <c r="AD200" s="18"/>
      <c r="AE200" s="28" t="s">
        <v>14</v>
      </c>
      <c r="AF200" s="47" t="str">
        <f t="shared" si="23"/>
        <v>NA</v>
      </c>
      <c r="AG200" s="8" t="s">
        <v>200</v>
      </c>
      <c r="AH200" s="28" t="s">
        <v>108</v>
      </c>
      <c r="AI200" s="66" t="s">
        <v>1</v>
      </c>
      <c r="AJ200" s="22" t="str">
        <f t="shared" si="24"/>
        <v>GUARULHOS</v>
      </c>
      <c r="AK200" s="69" t="s">
        <v>4</v>
      </c>
    </row>
    <row r="201" spans="1:37" ht="30" customHeight="1" x14ac:dyDescent="0.2">
      <c r="A201" s="82" t="s">
        <v>101</v>
      </c>
      <c r="B201" s="82">
        <v>2614192759</v>
      </c>
      <c r="C201" s="82" t="s">
        <v>32</v>
      </c>
      <c r="D201" s="82" t="s">
        <v>28</v>
      </c>
      <c r="E201" s="82" t="s">
        <v>102</v>
      </c>
      <c r="F201" s="82" t="s">
        <v>791</v>
      </c>
      <c r="G201" s="82">
        <v>28</v>
      </c>
      <c r="H201" s="82" t="s">
        <v>796</v>
      </c>
      <c r="I201" s="82" t="s">
        <v>793</v>
      </c>
      <c r="J201" s="82" t="s">
        <v>262</v>
      </c>
      <c r="K201" s="82" t="s">
        <v>775</v>
      </c>
      <c r="L201" s="82" t="s">
        <v>734</v>
      </c>
      <c r="M201" s="82" t="s">
        <v>797</v>
      </c>
      <c r="N201" s="82" t="s">
        <v>772</v>
      </c>
      <c r="O201" s="36" t="s">
        <v>14</v>
      </c>
      <c r="P201" s="18"/>
      <c r="Q201" s="28" t="s">
        <v>14</v>
      </c>
      <c r="R201" s="18"/>
      <c r="S201" s="28" t="s">
        <v>14</v>
      </c>
      <c r="T201" s="18"/>
      <c r="U201" s="28" t="s">
        <v>14</v>
      </c>
      <c r="V201" s="18"/>
      <c r="W201" s="28" t="s">
        <v>14</v>
      </c>
      <c r="X201" s="18"/>
      <c r="Y201" s="28" t="s">
        <v>14</v>
      </c>
      <c r="Z201" s="18"/>
      <c r="AA201" s="28" t="s">
        <v>14</v>
      </c>
      <c r="AB201" s="18"/>
      <c r="AC201" s="28" t="s">
        <v>14</v>
      </c>
      <c r="AD201" s="18"/>
      <c r="AE201" s="28" t="s">
        <v>14</v>
      </c>
      <c r="AF201" s="47" t="str">
        <f t="shared" ref="AF201:AF232" si="27">IF(AND(O201="",Q201="",S201="",U201="",W201="",Y201="",AA201="",AC201=""),"",IF(OR(AND(O201&lt;&gt;"NA",O201&lt;&gt;"C",O201&lt;&gt;"NC",O201&lt;&gt;"SF",O201&lt;&gt;""),AND(Q201&lt;&gt;"NA",Q201&lt;&gt;"C",Q201&lt;&gt;"NC",Q201&lt;&gt;"SF",Q201&lt;&gt;""),AND(S201&lt;&gt;"NA",S201&lt;&gt;"C",S201&lt;&gt;"NC",S201&lt;&gt;"SF",S201&lt;&gt;""),AND(U201&lt;&gt;"NA",U201&lt;&gt;"C",U201&lt;&gt;"NC",U201&lt;&gt;"SF",U201&lt;&gt;""),AND(W201&lt;&gt;"NA",W201&lt;&gt;"C",W201&lt;&gt;"NC",W201&lt;&gt;"SF",W201&lt;&gt;""),AND(Y201&lt;&gt;"NA",Y201&lt;&gt;"C",Y201&lt;&gt;"NC",Y201&lt;&gt;"SF",Y201&lt;&gt;""),AND(AA201&lt;&gt;"NA",AA201&lt;&gt;"C",AA201&lt;&gt;"NC",AA201&lt;&gt;"SF",AA201&lt;&gt;""),AND(AC201&lt;&gt;"NA",AC201&lt;&gt;"C",AC201&lt;&gt;"NC",AC201&lt;&gt;"SF",AC201&lt;&gt;"")),"FALSO",IF(AND(O201="NA",Q201="NA",S201="NA",U201="NA",W201="NA",Y201="NA",AA201="NA",AC201="NA"),"NA",IF(OR(O201="NC",Q201="NC",S201="NC",U201="NC",W201="NC",Y201="NC",AA201="NC",AC201="NC",O201="SF",Q201="SF",S201="SF",U201="SF",W201="SF",Y201="SF",AA201="SF",AC201="SF"),"NC",IF(OR(O201="C",Q201="C",S201="C",U201="C",W201="C",Y201="C",AA201="C",AC201="C"),"C","")))))</f>
        <v>NA</v>
      </c>
      <c r="AG201" s="8" t="str">
        <f>IF(AND(AE201="C",AF201="C"),"UTILIZOU O PDA CORRETAMENTE",IF(AND(AE201="C",AF201="NC"),"UTILIZOU O PDA CORRETAMENTE. NÃO HÁ FOTOS DE TODAS AS ETAPAS",IF(AND(AE201="NC",AF201="NC"),"NÃO UTILIZOU O PDA",IF(AND(AE201="NA",AF201="NA"),"NÃO AVALIADO POR FALHA DE SINCRONISMO"))))</f>
        <v>NÃO AVALIADO POR FALHA DE SINCRONISMO</v>
      </c>
      <c r="AH201" s="28" t="s">
        <v>108</v>
      </c>
      <c r="AI201" s="66" t="s">
        <v>1</v>
      </c>
      <c r="AJ201" s="22" t="str">
        <f t="shared" ref="AJ201:AJ232" si="28">E201</f>
        <v>GUARULHOS</v>
      </c>
      <c r="AK201" s="69" t="s">
        <v>4</v>
      </c>
    </row>
    <row r="202" spans="1:37" ht="30" customHeight="1" x14ac:dyDescent="0.2">
      <c r="A202" s="82" t="s">
        <v>101</v>
      </c>
      <c r="B202" s="82">
        <v>2614193336</v>
      </c>
      <c r="C202" s="82" t="s">
        <v>508</v>
      </c>
      <c r="D202" s="82" t="s">
        <v>28</v>
      </c>
      <c r="E202" s="82" t="s">
        <v>102</v>
      </c>
      <c r="F202" s="82" t="s">
        <v>791</v>
      </c>
      <c r="G202" s="82">
        <v>28</v>
      </c>
      <c r="H202" s="82" t="s">
        <v>796</v>
      </c>
      <c r="I202" s="82" t="s">
        <v>793</v>
      </c>
      <c r="J202" s="82" t="s">
        <v>510</v>
      </c>
      <c r="K202" s="82" t="s">
        <v>798</v>
      </c>
      <c r="L202" s="82" t="s">
        <v>734</v>
      </c>
      <c r="M202" s="82" t="s">
        <v>799</v>
      </c>
      <c r="N202" s="82" t="s">
        <v>772</v>
      </c>
      <c r="O202" s="36" t="s">
        <v>14</v>
      </c>
      <c r="P202" s="18"/>
      <c r="Q202" s="28" t="s">
        <v>14</v>
      </c>
      <c r="R202" s="18"/>
      <c r="S202" s="28" t="s">
        <v>14</v>
      </c>
      <c r="T202" s="18"/>
      <c r="U202" s="28" t="s">
        <v>14</v>
      </c>
      <c r="V202" s="18"/>
      <c r="W202" s="28" t="s">
        <v>14</v>
      </c>
      <c r="X202" s="18"/>
      <c r="Y202" s="28" t="s">
        <v>14</v>
      </c>
      <c r="Z202" s="18"/>
      <c r="AA202" s="28" t="s">
        <v>14</v>
      </c>
      <c r="AB202" s="18"/>
      <c r="AC202" s="28" t="s">
        <v>14</v>
      </c>
      <c r="AD202" s="18"/>
      <c r="AE202" s="28" t="s">
        <v>14</v>
      </c>
      <c r="AF202" s="47" t="str">
        <f t="shared" si="27"/>
        <v>NA</v>
      </c>
      <c r="AG202" s="8" t="s">
        <v>200</v>
      </c>
      <c r="AH202" s="28" t="s">
        <v>108</v>
      </c>
      <c r="AI202" s="66" t="s">
        <v>1</v>
      </c>
      <c r="AJ202" s="22" t="str">
        <f t="shared" si="28"/>
        <v>GUARULHOS</v>
      </c>
      <c r="AK202" s="69" t="s">
        <v>4</v>
      </c>
    </row>
    <row r="203" spans="1:37" ht="30" customHeight="1" x14ac:dyDescent="0.2">
      <c r="A203" s="82" t="s">
        <v>101</v>
      </c>
      <c r="B203" s="82">
        <v>2614470350</v>
      </c>
      <c r="C203" s="82" t="s">
        <v>32</v>
      </c>
      <c r="D203" s="82" t="s">
        <v>28</v>
      </c>
      <c r="E203" s="82" t="s">
        <v>102</v>
      </c>
      <c r="F203" s="82" t="s">
        <v>800</v>
      </c>
      <c r="G203" s="82">
        <v>10</v>
      </c>
      <c r="H203" s="82" t="s">
        <v>174</v>
      </c>
      <c r="I203" s="82" t="s">
        <v>793</v>
      </c>
      <c r="J203" s="82" t="s">
        <v>262</v>
      </c>
      <c r="K203" s="82" t="s">
        <v>775</v>
      </c>
      <c r="L203" s="82" t="s">
        <v>734</v>
      </c>
      <c r="M203" s="82" t="s">
        <v>801</v>
      </c>
      <c r="N203" s="82" t="s">
        <v>772</v>
      </c>
      <c r="O203" s="36" t="s">
        <v>14</v>
      </c>
      <c r="P203" s="18"/>
      <c r="Q203" s="28" t="s">
        <v>14</v>
      </c>
      <c r="R203" s="18"/>
      <c r="S203" s="28" t="s">
        <v>14</v>
      </c>
      <c r="T203" s="18"/>
      <c r="U203" s="28" t="s">
        <v>14</v>
      </c>
      <c r="V203" s="18"/>
      <c r="W203" s="28" t="s">
        <v>14</v>
      </c>
      <c r="X203" s="18"/>
      <c r="Y203" s="28" t="s">
        <v>14</v>
      </c>
      <c r="Z203" s="18"/>
      <c r="AA203" s="28" t="s">
        <v>14</v>
      </c>
      <c r="AB203" s="18"/>
      <c r="AC203" s="28" t="s">
        <v>14</v>
      </c>
      <c r="AD203" s="18"/>
      <c r="AE203" s="28" t="s">
        <v>14</v>
      </c>
      <c r="AF203" s="47" t="str">
        <f t="shared" si="27"/>
        <v>NA</v>
      </c>
      <c r="AG203" s="8" t="str">
        <f>IF(AND(AE203="C",AF203="C"),"UTILIZOU O PDA CORRETAMENTE",IF(AND(AE203="C",AF203="NC"),"UTILIZOU O PDA CORRETAMENTE. NÃO HÁ FOTOS DE TODAS AS ETAPAS",IF(AND(AE203="NC",AF203="NC"),"NÃO UTILIZOU O PDA",IF(AND(AE203="NA",AF203="NA"),"NÃO AVALIADO POR FALHA DE SINCRONISMO"))))</f>
        <v>NÃO AVALIADO POR FALHA DE SINCRONISMO</v>
      </c>
      <c r="AH203" s="28" t="s">
        <v>108</v>
      </c>
      <c r="AI203" s="66" t="s">
        <v>1</v>
      </c>
      <c r="AJ203" s="22" t="str">
        <f t="shared" si="28"/>
        <v>GUARULHOS</v>
      </c>
      <c r="AK203" s="69" t="s">
        <v>4</v>
      </c>
    </row>
    <row r="204" spans="1:37" ht="30" customHeight="1" x14ac:dyDescent="0.2">
      <c r="A204" s="82" t="s">
        <v>101</v>
      </c>
      <c r="B204" s="82">
        <v>2614192306</v>
      </c>
      <c r="C204" s="82" t="s">
        <v>32</v>
      </c>
      <c r="D204" s="82" t="s">
        <v>28</v>
      </c>
      <c r="E204" s="82" t="s">
        <v>102</v>
      </c>
      <c r="F204" s="82" t="s">
        <v>141</v>
      </c>
      <c r="G204" s="82">
        <v>1475</v>
      </c>
      <c r="H204" s="82"/>
      <c r="I204" s="82" t="s">
        <v>802</v>
      </c>
      <c r="J204" s="82" t="s">
        <v>262</v>
      </c>
      <c r="K204" s="82" t="s">
        <v>775</v>
      </c>
      <c r="L204" s="82" t="s">
        <v>734</v>
      </c>
      <c r="M204" s="82" t="s">
        <v>803</v>
      </c>
      <c r="N204" s="82" t="s">
        <v>772</v>
      </c>
      <c r="O204" s="36" t="s">
        <v>14</v>
      </c>
      <c r="P204" s="18"/>
      <c r="Q204" s="28" t="s">
        <v>14</v>
      </c>
      <c r="R204" s="18"/>
      <c r="S204" s="28" t="s">
        <v>14</v>
      </c>
      <c r="T204" s="18"/>
      <c r="U204" s="28" t="s">
        <v>14</v>
      </c>
      <c r="V204" s="18"/>
      <c r="W204" s="28" t="s">
        <v>14</v>
      </c>
      <c r="X204" s="18"/>
      <c r="Y204" s="28" t="s">
        <v>14</v>
      </c>
      <c r="Z204" s="18"/>
      <c r="AA204" s="28" t="s">
        <v>14</v>
      </c>
      <c r="AB204" s="18"/>
      <c r="AC204" s="28" t="s">
        <v>14</v>
      </c>
      <c r="AD204" s="18"/>
      <c r="AE204" s="28" t="s">
        <v>14</v>
      </c>
      <c r="AF204" s="47" t="str">
        <f t="shared" si="27"/>
        <v>NA</v>
      </c>
      <c r="AG204" s="8" t="str">
        <f>IF(AND(AE204="C",AF204="C"),"UTILIZOU O PDA CORRETAMENTE",IF(AND(AE204="C",AF204="NC"),"UTILIZOU O PDA CORRETAMENTE. NÃO HÁ FOTOS DE TODAS AS ETAPAS",IF(AND(AE204="NC",AF204="NC"),"NÃO UTILIZOU O PDA",IF(AND(AE204="NA",AF204="NA"),"NÃO AVALIADO POR FALHA DE SINCRONISMO"))))</f>
        <v>NÃO AVALIADO POR FALHA DE SINCRONISMO</v>
      </c>
      <c r="AH204" s="28" t="s">
        <v>108</v>
      </c>
      <c r="AI204" s="66" t="s">
        <v>1</v>
      </c>
      <c r="AJ204" s="22" t="str">
        <f t="shared" si="28"/>
        <v>GUARULHOS</v>
      </c>
      <c r="AK204" s="69" t="s">
        <v>4</v>
      </c>
    </row>
    <row r="205" spans="1:37" ht="30" customHeight="1" x14ac:dyDescent="0.2">
      <c r="A205" s="82" t="s">
        <v>101</v>
      </c>
      <c r="B205" s="82">
        <v>2614192775</v>
      </c>
      <c r="C205" s="82" t="s">
        <v>508</v>
      </c>
      <c r="D205" s="82" t="s">
        <v>28</v>
      </c>
      <c r="E205" s="82" t="s">
        <v>102</v>
      </c>
      <c r="F205" s="82" t="s">
        <v>141</v>
      </c>
      <c r="G205" s="82">
        <v>1475</v>
      </c>
      <c r="H205" s="82" t="s">
        <v>117</v>
      </c>
      <c r="I205" s="82" t="s">
        <v>802</v>
      </c>
      <c r="J205" s="82" t="s">
        <v>510</v>
      </c>
      <c r="K205" s="88" t="s">
        <v>804</v>
      </c>
      <c r="L205" s="82" t="s">
        <v>734</v>
      </c>
      <c r="M205" s="82" t="s">
        <v>805</v>
      </c>
      <c r="N205" s="82" t="s">
        <v>772</v>
      </c>
      <c r="O205" s="36" t="s">
        <v>14</v>
      </c>
      <c r="P205" s="18"/>
      <c r="Q205" s="28" t="s">
        <v>14</v>
      </c>
      <c r="R205" s="18"/>
      <c r="S205" s="28" t="s">
        <v>14</v>
      </c>
      <c r="T205" s="18"/>
      <c r="U205" s="28" t="s">
        <v>14</v>
      </c>
      <c r="V205" s="18"/>
      <c r="W205" s="28" t="s">
        <v>14</v>
      </c>
      <c r="X205" s="18"/>
      <c r="Y205" s="28" t="s">
        <v>14</v>
      </c>
      <c r="Z205" s="18"/>
      <c r="AA205" s="28" t="s">
        <v>14</v>
      </c>
      <c r="AB205" s="18"/>
      <c r="AC205" s="28" t="s">
        <v>14</v>
      </c>
      <c r="AD205" s="18"/>
      <c r="AE205" s="28" t="s">
        <v>14</v>
      </c>
      <c r="AF205" s="47" t="str">
        <f t="shared" si="27"/>
        <v>NA</v>
      </c>
      <c r="AG205" s="8" t="s">
        <v>200</v>
      </c>
      <c r="AH205" s="28" t="s">
        <v>108</v>
      </c>
      <c r="AI205" s="66" t="s">
        <v>1</v>
      </c>
      <c r="AJ205" s="22" t="str">
        <f t="shared" si="28"/>
        <v>GUARULHOS</v>
      </c>
      <c r="AK205" s="69" t="s">
        <v>4</v>
      </c>
    </row>
    <row r="206" spans="1:37" ht="30" customHeight="1" x14ac:dyDescent="0.2">
      <c r="A206" s="82" t="s">
        <v>101</v>
      </c>
      <c r="B206" s="82">
        <v>2615422791</v>
      </c>
      <c r="C206" s="82" t="s">
        <v>44</v>
      </c>
      <c r="D206" s="82" t="s">
        <v>29</v>
      </c>
      <c r="E206" s="82" t="s">
        <v>102</v>
      </c>
      <c r="F206" s="82" t="s">
        <v>807</v>
      </c>
      <c r="G206" s="82">
        <v>60</v>
      </c>
      <c r="H206" s="82" t="s">
        <v>808</v>
      </c>
      <c r="I206" s="82" t="s">
        <v>809</v>
      </c>
      <c r="J206" s="82" t="s">
        <v>194</v>
      </c>
      <c r="K206" s="82"/>
      <c r="L206" s="82" t="s">
        <v>734</v>
      </c>
      <c r="M206" s="82" t="s">
        <v>810</v>
      </c>
      <c r="N206" s="82" t="s">
        <v>163</v>
      </c>
      <c r="O206" s="35" t="s">
        <v>108</v>
      </c>
      <c r="P206" s="25"/>
      <c r="Q206" s="26" t="s">
        <v>108</v>
      </c>
      <c r="R206" s="25"/>
      <c r="S206" s="26" t="s">
        <v>108</v>
      </c>
      <c r="T206" s="25"/>
      <c r="U206" s="26" t="s">
        <v>108</v>
      </c>
      <c r="V206" s="25"/>
      <c r="W206" s="26" t="s">
        <v>108</v>
      </c>
      <c r="X206" s="25"/>
      <c r="Y206" s="26" t="s">
        <v>108</v>
      </c>
      <c r="Z206" s="25"/>
      <c r="AA206" s="26" t="s">
        <v>108</v>
      </c>
      <c r="AB206" s="25"/>
      <c r="AC206" s="26" t="s">
        <v>108</v>
      </c>
      <c r="AD206" s="10"/>
      <c r="AE206" s="26" t="s">
        <v>108</v>
      </c>
      <c r="AF206" s="47" t="str">
        <f t="shared" si="27"/>
        <v>C</v>
      </c>
      <c r="AG206" s="8" t="str">
        <f t="shared" ref="AG206:AG221" si="29">IF(AND(AE206="C",AF206="C"),"UTILIZOU O PDA CORRETAMENTE",IF(AND(AE206="C",AF206="NC"),"UTILIZOU O PDA CORRETAMENTE. NÃO HÁ FOTOS DE TODAS AS ETAPAS",IF(AND(AE206="NC",AF206="NC"),"NÃO UTILIZOU O PDA",IF(AND(AE206="NA",AF206="NA"),"NÃO AVALIADO POR FALHA DE SINCRONISMO"))))</f>
        <v>UTILIZOU O PDA CORRETAMENTE</v>
      </c>
      <c r="AH206" s="26" t="s">
        <v>108</v>
      </c>
      <c r="AI206" s="66" t="s">
        <v>1</v>
      </c>
      <c r="AJ206" s="22" t="str">
        <f t="shared" si="28"/>
        <v>GUARULHOS</v>
      </c>
      <c r="AK206" s="69" t="s">
        <v>4</v>
      </c>
    </row>
    <row r="207" spans="1:37" ht="30" customHeight="1" x14ac:dyDescent="0.2">
      <c r="A207" s="82" t="s">
        <v>101</v>
      </c>
      <c r="B207" s="82">
        <v>2690493632</v>
      </c>
      <c r="C207" s="82" t="s">
        <v>37</v>
      </c>
      <c r="D207" s="82" t="s">
        <v>26</v>
      </c>
      <c r="E207" s="82" t="s">
        <v>102</v>
      </c>
      <c r="F207" s="82" t="s">
        <v>814</v>
      </c>
      <c r="G207" s="82">
        <v>23</v>
      </c>
      <c r="H207" s="82" t="s">
        <v>117</v>
      </c>
      <c r="I207" s="82" t="s">
        <v>815</v>
      </c>
      <c r="J207" s="82" t="s">
        <v>230</v>
      </c>
      <c r="K207" s="82" t="s">
        <v>816</v>
      </c>
      <c r="L207" s="82" t="s">
        <v>734</v>
      </c>
      <c r="M207" s="82" t="s">
        <v>817</v>
      </c>
      <c r="N207" s="82" t="s">
        <v>171</v>
      </c>
      <c r="O207" s="36" t="s">
        <v>108</v>
      </c>
      <c r="P207" s="28"/>
      <c r="Q207" s="28" t="s">
        <v>108</v>
      </c>
      <c r="R207" s="65"/>
      <c r="S207" s="28" t="s">
        <v>108</v>
      </c>
      <c r="T207" s="28"/>
      <c r="U207" s="28" t="s">
        <v>108</v>
      </c>
      <c r="V207" s="28"/>
      <c r="W207" s="28" t="s">
        <v>108</v>
      </c>
      <c r="X207" s="28"/>
      <c r="Y207" s="28" t="s">
        <v>14</v>
      </c>
      <c r="Z207" s="28"/>
      <c r="AA207" s="28" t="s">
        <v>108</v>
      </c>
      <c r="AB207" s="28"/>
      <c r="AC207" s="28" t="s">
        <v>108</v>
      </c>
      <c r="AD207" s="28"/>
      <c r="AE207" s="28" t="s">
        <v>108</v>
      </c>
      <c r="AF207" s="47" t="str">
        <f t="shared" si="27"/>
        <v>C</v>
      </c>
      <c r="AG207" s="8" t="str">
        <f t="shared" si="29"/>
        <v>UTILIZOU O PDA CORRETAMENTE</v>
      </c>
      <c r="AH207" s="28" t="s">
        <v>108</v>
      </c>
      <c r="AI207" s="66" t="s">
        <v>1</v>
      </c>
      <c r="AJ207" s="22" t="str">
        <f t="shared" si="28"/>
        <v>GUARULHOS</v>
      </c>
      <c r="AK207" s="69" t="s">
        <v>4</v>
      </c>
    </row>
    <row r="208" spans="1:37" ht="30" customHeight="1" x14ac:dyDescent="0.2">
      <c r="A208" s="82" t="s">
        <v>101</v>
      </c>
      <c r="B208" s="82">
        <v>2615422827</v>
      </c>
      <c r="C208" s="82" t="s">
        <v>44</v>
      </c>
      <c r="D208" s="82" t="s">
        <v>29</v>
      </c>
      <c r="E208" s="82" t="s">
        <v>102</v>
      </c>
      <c r="F208" s="82" t="s">
        <v>818</v>
      </c>
      <c r="G208" s="82">
        <v>530</v>
      </c>
      <c r="H208" s="82" t="s">
        <v>819</v>
      </c>
      <c r="I208" s="82" t="s">
        <v>820</v>
      </c>
      <c r="J208" s="82" t="s">
        <v>194</v>
      </c>
      <c r="K208" s="82" t="s">
        <v>275</v>
      </c>
      <c r="L208" s="82" t="s">
        <v>734</v>
      </c>
      <c r="M208" s="82" t="s">
        <v>821</v>
      </c>
      <c r="N208" s="82" t="s">
        <v>192</v>
      </c>
      <c r="O208" s="35" t="s">
        <v>108</v>
      </c>
      <c r="P208" s="25"/>
      <c r="Q208" s="26" t="s">
        <v>108</v>
      </c>
      <c r="R208" s="25"/>
      <c r="S208" s="26" t="s">
        <v>108</v>
      </c>
      <c r="T208" s="25"/>
      <c r="U208" s="26" t="s">
        <v>108</v>
      </c>
      <c r="V208" s="25"/>
      <c r="W208" s="26" t="s">
        <v>108</v>
      </c>
      <c r="X208" s="25"/>
      <c r="Y208" s="26" t="s">
        <v>108</v>
      </c>
      <c r="Z208" s="25"/>
      <c r="AA208" s="26" t="s">
        <v>108</v>
      </c>
      <c r="AB208" s="25"/>
      <c r="AC208" s="26" t="s">
        <v>108</v>
      </c>
      <c r="AD208" s="10"/>
      <c r="AE208" s="26" t="s">
        <v>108</v>
      </c>
      <c r="AF208" s="47" t="str">
        <f t="shared" si="27"/>
        <v>C</v>
      </c>
      <c r="AG208" s="8" t="str">
        <f t="shared" si="29"/>
        <v>UTILIZOU O PDA CORRETAMENTE</v>
      </c>
      <c r="AH208" s="26" t="s">
        <v>108</v>
      </c>
      <c r="AI208" s="66" t="s">
        <v>1</v>
      </c>
      <c r="AJ208" s="22" t="str">
        <f t="shared" si="28"/>
        <v>GUARULHOS</v>
      </c>
      <c r="AK208" s="69" t="s">
        <v>4</v>
      </c>
    </row>
    <row r="209" spans="1:37" ht="30" customHeight="1" x14ac:dyDescent="0.2">
      <c r="A209" s="82" t="s">
        <v>101</v>
      </c>
      <c r="B209" s="82">
        <v>2615741135</v>
      </c>
      <c r="C209" s="82" t="s">
        <v>45</v>
      </c>
      <c r="D209" s="82" t="s">
        <v>27</v>
      </c>
      <c r="E209" s="82" t="s">
        <v>102</v>
      </c>
      <c r="F209" s="82" t="s">
        <v>822</v>
      </c>
      <c r="G209" s="82">
        <v>71</v>
      </c>
      <c r="H209" s="82"/>
      <c r="I209" s="82" t="s">
        <v>282</v>
      </c>
      <c r="J209" s="82" t="s">
        <v>150</v>
      </c>
      <c r="K209" s="82" t="s">
        <v>823</v>
      </c>
      <c r="L209" s="82" t="s">
        <v>734</v>
      </c>
      <c r="M209" s="82" t="s">
        <v>824</v>
      </c>
      <c r="N209" s="82" t="s">
        <v>231</v>
      </c>
      <c r="O209" s="35" t="s">
        <v>108</v>
      </c>
      <c r="P209" s="25"/>
      <c r="Q209" s="26" t="s">
        <v>108</v>
      </c>
      <c r="R209" s="25"/>
      <c r="S209" s="26" t="s">
        <v>108</v>
      </c>
      <c r="T209" s="25"/>
      <c r="U209" s="26" t="s">
        <v>108</v>
      </c>
      <c r="V209" s="25"/>
      <c r="W209" s="26" t="s">
        <v>108</v>
      </c>
      <c r="X209" s="25"/>
      <c r="Y209" s="26" t="s">
        <v>108</v>
      </c>
      <c r="Z209" s="25"/>
      <c r="AA209" s="26" t="s">
        <v>108</v>
      </c>
      <c r="AB209" s="25"/>
      <c r="AC209" s="26" t="s">
        <v>108</v>
      </c>
      <c r="AD209" s="10"/>
      <c r="AE209" s="26" t="s">
        <v>108</v>
      </c>
      <c r="AF209" s="47" t="str">
        <f t="shared" si="27"/>
        <v>C</v>
      </c>
      <c r="AG209" s="8" t="str">
        <f t="shared" si="29"/>
        <v>UTILIZOU O PDA CORRETAMENTE</v>
      </c>
      <c r="AH209" s="26" t="s">
        <v>108</v>
      </c>
      <c r="AI209" s="66" t="s">
        <v>1</v>
      </c>
      <c r="AJ209" s="22" t="str">
        <f t="shared" si="28"/>
        <v>GUARULHOS</v>
      </c>
      <c r="AK209" s="69" t="s">
        <v>4</v>
      </c>
    </row>
    <row r="210" spans="1:37" ht="30" customHeight="1" x14ac:dyDescent="0.2">
      <c r="A210" s="82" t="s">
        <v>101</v>
      </c>
      <c r="B210" s="82">
        <v>2615745732</v>
      </c>
      <c r="C210" s="82" t="s">
        <v>30</v>
      </c>
      <c r="D210" s="82" t="s">
        <v>29</v>
      </c>
      <c r="E210" s="82" t="s">
        <v>102</v>
      </c>
      <c r="F210" s="82" t="s">
        <v>826</v>
      </c>
      <c r="G210" s="82">
        <v>108</v>
      </c>
      <c r="H210" s="82" t="s">
        <v>827</v>
      </c>
      <c r="I210" s="82" t="s">
        <v>367</v>
      </c>
      <c r="J210" s="82" t="s">
        <v>170</v>
      </c>
      <c r="K210" s="82" t="s">
        <v>828</v>
      </c>
      <c r="L210" s="82" t="s">
        <v>734</v>
      </c>
      <c r="M210" s="82" t="s">
        <v>829</v>
      </c>
      <c r="N210" s="82" t="s">
        <v>253</v>
      </c>
      <c r="O210" s="36" t="s">
        <v>108</v>
      </c>
      <c r="P210" s="18"/>
      <c r="Q210" s="28" t="s">
        <v>14</v>
      </c>
      <c r="R210" s="18"/>
      <c r="S210" s="28" t="s">
        <v>14</v>
      </c>
      <c r="T210" s="18"/>
      <c r="U210" s="28" t="s">
        <v>14</v>
      </c>
      <c r="V210" s="18"/>
      <c r="W210" s="28" t="s">
        <v>108</v>
      </c>
      <c r="X210" s="18"/>
      <c r="Y210" s="28" t="s">
        <v>14</v>
      </c>
      <c r="Z210" s="18"/>
      <c r="AA210" s="28" t="s">
        <v>214</v>
      </c>
      <c r="AB210" s="18"/>
      <c r="AC210" s="28" t="s">
        <v>114</v>
      </c>
      <c r="AD210" s="18"/>
      <c r="AE210" s="28" t="s">
        <v>108</v>
      </c>
      <c r="AF210" s="47" t="str">
        <f t="shared" si="27"/>
        <v>NC</v>
      </c>
      <c r="AG210" s="8" t="str">
        <f t="shared" si="29"/>
        <v>UTILIZOU O PDA CORRETAMENTE. NÃO HÁ FOTOS DE TODAS AS ETAPAS</v>
      </c>
      <c r="AH210" s="28" t="s">
        <v>108</v>
      </c>
      <c r="AI210" s="66" t="s">
        <v>1</v>
      </c>
      <c r="AJ210" s="22" t="str">
        <f t="shared" si="28"/>
        <v>GUARULHOS</v>
      </c>
      <c r="AK210" s="69" t="s">
        <v>4</v>
      </c>
    </row>
    <row r="211" spans="1:37" ht="30" customHeight="1" x14ac:dyDescent="0.2">
      <c r="A211" s="82" t="s">
        <v>101</v>
      </c>
      <c r="B211" s="82">
        <v>2615422751</v>
      </c>
      <c r="C211" s="82" t="s">
        <v>44</v>
      </c>
      <c r="D211" s="82" t="s">
        <v>29</v>
      </c>
      <c r="E211" s="82" t="s">
        <v>102</v>
      </c>
      <c r="F211" s="82" t="s">
        <v>830</v>
      </c>
      <c r="G211" s="82">
        <v>181</v>
      </c>
      <c r="H211" s="82"/>
      <c r="I211" s="82" t="s">
        <v>809</v>
      </c>
      <c r="J211" s="82" t="s">
        <v>194</v>
      </c>
      <c r="K211" s="82"/>
      <c r="L211" s="82" t="s">
        <v>734</v>
      </c>
      <c r="M211" s="82" t="s">
        <v>831</v>
      </c>
      <c r="N211" s="82" t="s">
        <v>163</v>
      </c>
      <c r="O211" s="35" t="s">
        <v>108</v>
      </c>
      <c r="P211" s="25"/>
      <c r="Q211" s="26" t="s">
        <v>108</v>
      </c>
      <c r="R211" s="25"/>
      <c r="S211" s="26" t="s">
        <v>108</v>
      </c>
      <c r="T211" s="25"/>
      <c r="U211" s="26" t="s">
        <v>108</v>
      </c>
      <c r="V211" s="25"/>
      <c r="W211" s="26" t="s">
        <v>108</v>
      </c>
      <c r="X211" s="25"/>
      <c r="Y211" s="26" t="s">
        <v>108</v>
      </c>
      <c r="Z211" s="25"/>
      <c r="AA211" s="26" t="s">
        <v>108</v>
      </c>
      <c r="AB211" s="25"/>
      <c r="AC211" s="26" t="s">
        <v>108</v>
      </c>
      <c r="AD211" s="10"/>
      <c r="AE211" s="26" t="s">
        <v>108</v>
      </c>
      <c r="AF211" s="47" t="str">
        <f t="shared" si="27"/>
        <v>C</v>
      </c>
      <c r="AG211" s="8" t="str">
        <f t="shared" si="29"/>
        <v>UTILIZOU O PDA CORRETAMENTE</v>
      </c>
      <c r="AH211" s="26" t="s">
        <v>108</v>
      </c>
      <c r="AI211" s="66" t="s">
        <v>1</v>
      </c>
      <c r="AJ211" s="22" t="str">
        <f t="shared" si="28"/>
        <v>GUARULHOS</v>
      </c>
      <c r="AK211" s="69" t="s">
        <v>4</v>
      </c>
    </row>
    <row r="212" spans="1:37" ht="30" customHeight="1" x14ac:dyDescent="0.2">
      <c r="A212" s="82" t="s">
        <v>101</v>
      </c>
      <c r="B212" s="82">
        <v>2615320067</v>
      </c>
      <c r="C212" s="82" t="s">
        <v>40</v>
      </c>
      <c r="D212" s="82" t="s">
        <v>25</v>
      </c>
      <c r="E212" s="82" t="s">
        <v>102</v>
      </c>
      <c r="F212" s="82" t="s">
        <v>835</v>
      </c>
      <c r="G212" s="82">
        <v>59</v>
      </c>
      <c r="H212" s="82" t="s">
        <v>110</v>
      </c>
      <c r="I212" s="82" t="s">
        <v>836</v>
      </c>
      <c r="J212" s="82" t="s">
        <v>40</v>
      </c>
      <c r="K212" s="82" t="s">
        <v>837</v>
      </c>
      <c r="L212" s="82" t="s">
        <v>833</v>
      </c>
      <c r="M212" s="82" t="s">
        <v>838</v>
      </c>
      <c r="N212" s="82" t="s">
        <v>274</v>
      </c>
      <c r="O212" s="36" t="s">
        <v>108</v>
      </c>
      <c r="P212" s="18"/>
      <c r="Q212" s="28" t="s">
        <v>108</v>
      </c>
      <c r="R212" s="18"/>
      <c r="S212" s="28" t="s">
        <v>108</v>
      </c>
      <c r="T212" s="18"/>
      <c r="U212" s="28" t="s">
        <v>108</v>
      </c>
      <c r="V212" s="18"/>
      <c r="W212" s="28" t="s">
        <v>108</v>
      </c>
      <c r="X212" s="18"/>
      <c r="Y212" s="28" t="s">
        <v>108</v>
      </c>
      <c r="Z212" s="18"/>
      <c r="AA212" s="28" t="s">
        <v>108</v>
      </c>
      <c r="AB212" s="18"/>
      <c r="AC212" s="28" t="s">
        <v>108</v>
      </c>
      <c r="AD212" s="18"/>
      <c r="AE212" s="28" t="s">
        <v>108</v>
      </c>
      <c r="AF212" s="47" t="str">
        <f t="shared" si="27"/>
        <v>C</v>
      </c>
      <c r="AG212" s="8" t="str">
        <f t="shared" si="29"/>
        <v>UTILIZOU O PDA CORRETAMENTE</v>
      </c>
      <c r="AH212" s="28" t="s">
        <v>108</v>
      </c>
      <c r="AI212" s="66" t="s">
        <v>1</v>
      </c>
      <c r="AJ212" s="22" t="str">
        <f t="shared" si="28"/>
        <v>GUARULHOS</v>
      </c>
      <c r="AK212" s="69" t="s">
        <v>4</v>
      </c>
    </row>
    <row r="213" spans="1:37" ht="30" customHeight="1" x14ac:dyDescent="0.2">
      <c r="A213" s="82" t="s">
        <v>101</v>
      </c>
      <c r="B213" s="82">
        <v>2615269775</v>
      </c>
      <c r="C213" s="82" t="s">
        <v>33</v>
      </c>
      <c r="D213" s="82" t="s">
        <v>25</v>
      </c>
      <c r="E213" s="82" t="s">
        <v>102</v>
      </c>
      <c r="F213" s="82" t="s">
        <v>462</v>
      </c>
      <c r="G213" s="82">
        <v>713</v>
      </c>
      <c r="H213" s="82"/>
      <c r="I213" s="82" t="s">
        <v>179</v>
      </c>
      <c r="J213" s="82" t="s">
        <v>33</v>
      </c>
      <c r="K213" s="82"/>
      <c r="L213" s="82" t="s">
        <v>833</v>
      </c>
      <c r="M213" s="82" t="s">
        <v>839</v>
      </c>
      <c r="N213" s="82" t="s">
        <v>113</v>
      </c>
      <c r="O213" s="36" t="s">
        <v>108</v>
      </c>
      <c r="P213" s="18"/>
      <c r="Q213" s="28" t="s">
        <v>108</v>
      </c>
      <c r="R213" s="18"/>
      <c r="S213" s="28" t="s">
        <v>108</v>
      </c>
      <c r="T213" s="18"/>
      <c r="U213" s="28" t="s">
        <v>108</v>
      </c>
      <c r="V213" s="18"/>
      <c r="W213" s="28" t="s">
        <v>108</v>
      </c>
      <c r="X213" s="18"/>
      <c r="Y213" s="28" t="s">
        <v>14</v>
      </c>
      <c r="Z213" s="18"/>
      <c r="AA213" s="28" t="s">
        <v>108</v>
      </c>
      <c r="AB213" s="18"/>
      <c r="AC213" s="28" t="s">
        <v>108</v>
      </c>
      <c r="AD213" s="18"/>
      <c r="AE213" s="28" t="s">
        <v>108</v>
      </c>
      <c r="AF213" s="47" t="str">
        <f t="shared" si="27"/>
        <v>C</v>
      </c>
      <c r="AG213" s="8" t="str">
        <f t="shared" si="29"/>
        <v>UTILIZOU O PDA CORRETAMENTE</v>
      </c>
      <c r="AH213" s="28"/>
      <c r="AI213" s="66" t="s">
        <v>1</v>
      </c>
      <c r="AJ213" s="22" t="str">
        <f t="shared" si="28"/>
        <v>GUARULHOS</v>
      </c>
      <c r="AK213" s="69" t="s">
        <v>4</v>
      </c>
    </row>
    <row r="214" spans="1:37" ht="30" customHeight="1" x14ac:dyDescent="0.2">
      <c r="A214" s="82" t="s">
        <v>101</v>
      </c>
      <c r="B214" s="82">
        <v>2615321679</v>
      </c>
      <c r="C214" s="82" t="s">
        <v>39</v>
      </c>
      <c r="D214" s="82" t="s">
        <v>25</v>
      </c>
      <c r="E214" s="82" t="s">
        <v>102</v>
      </c>
      <c r="F214" s="82" t="s">
        <v>840</v>
      </c>
      <c r="G214" s="82">
        <v>1</v>
      </c>
      <c r="H214" s="82" t="s">
        <v>110</v>
      </c>
      <c r="I214" s="82" t="s">
        <v>500</v>
      </c>
      <c r="J214" s="82" t="s">
        <v>39</v>
      </c>
      <c r="K214" s="82" t="s">
        <v>841</v>
      </c>
      <c r="L214" s="82" t="s">
        <v>833</v>
      </c>
      <c r="M214" s="82" t="s">
        <v>834</v>
      </c>
      <c r="N214" s="82" t="s">
        <v>113</v>
      </c>
      <c r="O214" s="36" t="s">
        <v>108</v>
      </c>
      <c r="P214" s="18"/>
      <c r="Q214" s="28" t="s">
        <v>14</v>
      </c>
      <c r="R214" s="18"/>
      <c r="S214" s="28" t="s">
        <v>14</v>
      </c>
      <c r="T214" s="18"/>
      <c r="U214" s="28" t="s">
        <v>14</v>
      </c>
      <c r="V214" s="18"/>
      <c r="W214" s="28" t="s">
        <v>14</v>
      </c>
      <c r="X214" s="18"/>
      <c r="Y214" s="28" t="s">
        <v>14</v>
      </c>
      <c r="Z214" s="18"/>
      <c r="AA214" s="28" t="s">
        <v>108</v>
      </c>
      <c r="AB214" s="18"/>
      <c r="AC214" s="28" t="s">
        <v>108</v>
      </c>
      <c r="AD214" s="18"/>
      <c r="AE214" s="28" t="s">
        <v>108</v>
      </c>
      <c r="AF214" s="47" t="str">
        <f t="shared" si="27"/>
        <v>C</v>
      </c>
      <c r="AG214" s="8" t="str">
        <f t="shared" si="29"/>
        <v>UTILIZOU O PDA CORRETAMENTE</v>
      </c>
      <c r="AH214" s="28" t="s">
        <v>108</v>
      </c>
      <c r="AI214" s="66" t="s">
        <v>1</v>
      </c>
      <c r="AJ214" s="22" t="str">
        <f t="shared" si="28"/>
        <v>GUARULHOS</v>
      </c>
      <c r="AK214" s="69" t="s">
        <v>4</v>
      </c>
    </row>
    <row r="215" spans="1:37" ht="30" customHeight="1" x14ac:dyDescent="0.2">
      <c r="A215" s="82" t="s">
        <v>101</v>
      </c>
      <c r="B215" s="82">
        <v>2615307938</v>
      </c>
      <c r="C215" s="82" t="s">
        <v>40</v>
      </c>
      <c r="D215" s="82" t="s">
        <v>25</v>
      </c>
      <c r="E215" s="82" t="s">
        <v>102</v>
      </c>
      <c r="F215" s="82" t="s">
        <v>842</v>
      </c>
      <c r="G215" s="82">
        <v>619</v>
      </c>
      <c r="H215" s="82" t="s">
        <v>110</v>
      </c>
      <c r="I215" s="82" t="s">
        <v>154</v>
      </c>
      <c r="J215" s="82" t="s">
        <v>40</v>
      </c>
      <c r="K215" s="82" t="s">
        <v>843</v>
      </c>
      <c r="L215" s="82" t="s">
        <v>833</v>
      </c>
      <c r="M215" s="82" t="s">
        <v>844</v>
      </c>
      <c r="N215" s="82" t="s">
        <v>107</v>
      </c>
      <c r="O215" s="36" t="s">
        <v>108</v>
      </c>
      <c r="P215" s="18"/>
      <c r="Q215" s="28" t="s">
        <v>108</v>
      </c>
      <c r="R215" s="18"/>
      <c r="S215" s="28" t="s">
        <v>108</v>
      </c>
      <c r="T215" s="18"/>
      <c r="U215" s="28" t="s">
        <v>108</v>
      </c>
      <c r="V215" s="18"/>
      <c r="W215" s="28" t="s">
        <v>108</v>
      </c>
      <c r="X215" s="18"/>
      <c r="Y215" s="28" t="s">
        <v>108</v>
      </c>
      <c r="Z215" s="18"/>
      <c r="AA215" s="28" t="s">
        <v>108</v>
      </c>
      <c r="AB215" s="18"/>
      <c r="AC215" s="28" t="s">
        <v>108</v>
      </c>
      <c r="AD215" s="18"/>
      <c r="AE215" s="28" t="s">
        <v>108</v>
      </c>
      <c r="AF215" s="47" t="str">
        <f t="shared" si="27"/>
        <v>C</v>
      </c>
      <c r="AG215" s="8" t="str">
        <f t="shared" si="29"/>
        <v>UTILIZOU O PDA CORRETAMENTE</v>
      </c>
      <c r="AH215" s="28"/>
      <c r="AI215" s="66" t="s">
        <v>1</v>
      </c>
      <c r="AJ215" s="22" t="str">
        <f t="shared" si="28"/>
        <v>GUARULHOS</v>
      </c>
      <c r="AK215" s="69" t="s">
        <v>4</v>
      </c>
    </row>
    <row r="216" spans="1:37" ht="30" customHeight="1" x14ac:dyDescent="0.2">
      <c r="A216" s="82" t="s">
        <v>101</v>
      </c>
      <c r="B216" s="82">
        <v>2615320068</v>
      </c>
      <c r="C216" s="82" t="s">
        <v>42</v>
      </c>
      <c r="D216" s="82" t="s">
        <v>25</v>
      </c>
      <c r="E216" s="82" t="s">
        <v>102</v>
      </c>
      <c r="F216" s="82" t="s">
        <v>835</v>
      </c>
      <c r="G216" s="82">
        <v>59</v>
      </c>
      <c r="H216" s="82" t="s">
        <v>115</v>
      </c>
      <c r="I216" s="82" t="s">
        <v>836</v>
      </c>
      <c r="J216" s="82" t="s">
        <v>42</v>
      </c>
      <c r="K216" s="82" t="s">
        <v>845</v>
      </c>
      <c r="L216" s="82" t="s">
        <v>833</v>
      </c>
      <c r="M216" s="82" t="s">
        <v>846</v>
      </c>
      <c r="N216" s="82" t="s">
        <v>274</v>
      </c>
      <c r="O216" s="36" t="s">
        <v>108</v>
      </c>
      <c r="P216" s="18"/>
      <c r="Q216" s="28" t="s">
        <v>108</v>
      </c>
      <c r="R216" s="18"/>
      <c r="S216" s="28" t="s">
        <v>108</v>
      </c>
      <c r="T216" s="18"/>
      <c r="U216" s="28" t="s">
        <v>108</v>
      </c>
      <c r="V216" s="18"/>
      <c r="W216" s="28" t="s">
        <v>108</v>
      </c>
      <c r="X216" s="18"/>
      <c r="Y216" s="28" t="s">
        <v>108</v>
      </c>
      <c r="Z216" s="18"/>
      <c r="AA216" s="28" t="s">
        <v>108</v>
      </c>
      <c r="AB216" s="18"/>
      <c r="AC216" s="28" t="s">
        <v>108</v>
      </c>
      <c r="AD216" s="18"/>
      <c r="AE216" s="28" t="s">
        <v>108</v>
      </c>
      <c r="AF216" s="47" t="str">
        <f t="shared" si="27"/>
        <v>C</v>
      </c>
      <c r="AG216" s="8" t="str">
        <f t="shared" si="29"/>
        <v>UTILIZOU O PDA CORRETAMENTE</v>
      </c>
      <c r="AH216" s="28"/>
      <c r="AI216" s="66" t="s">
        <v>1</v>
      </c>
      <c r="AJ216" s="22" t="str">
        <f t="shared" si="28"/>
        <v>GUARULHOS</v>
      </c>
      <c r="AK216" s="69" t="s">
        <v>4</v>
      </c>
    </row>
    <row r="217" spans="1:37" ht="30" customHeight="1" x14ac:dyDescent="0.2">
      <c r="A217" s="82" t="s">
        <v>101</v>
      </c>
      <c r="B217" s="82">
        <v>2615322511</v>
      </c>
      <c r="C217" s="82" t="s">
        <v>39</v>
      </c>
      <c r="D217" s="82" t="s">
        <v>25</v>
      </c>
      <c r="E217" s="82" t="s">
        <v>102</v>
      </c>
      <c r="F217" s="82" t="s">
        <v>847</v>
      </c>
      <c r="G217" s="82">
        <v>634</v>
      </c>
      <c r="H217" s="82" t="s">
        <v>848</v>
      </c>
      <c r="I217" s="82" t="s">
        <v>849</v>
      </c>
      <c r="J217" s="82" t="s">
        <v>39</v>
      </c>
      <c r="K217" s="82" t="s">
        <v>117</v>
      </c>
      <c r="L217" s="82" t="s">
        <v>833</v>
      </c>
      <c r="M217" s="82" t="s">
        <v>850</v>
      </c>
      <c r="N217" s="82" t="s">
        <v>113</v>
      </c>
      <c r="O217" s="36" t="s">
        <v>108</v>
      </c>
      <c r="P217" s="18"/>
      <c r="Q217" s="28" t="s">
        <v>14</v>
      </c>
      <c r="R217" s="18"/>
      <c r="S217" s="28" t="s">
        <v>14</v>
      </c>
      <c r="T217" s="18"/>
      <c r="U217" s="28" t="s">
        <v>14</v>
      </c>
      <c r="V217" s="18"/>
      <c r="W217" s="28" t="s">
        <v>14</v>
      </c>
      <c r="X217" s="18"/>
      <c r="Y217" s="28" t="s">
        <v>14</v>
      </c>
      <c r="Z217" s="18"/>
      <c r="AA217" s="28" t="s">
        <v>108</v>
      </c>
      <c r="AB217" s="18"/>
      <c r="AC217" s="28" t="s">
        <v>108</v>
      </c>
      <c r="AD217" s="18"/>
      <c r="AE217" s="28" t="s">
        <v>108</v>
      </c>
      <c r="AF217" s="47" t="str">
        <f t="shared" si="27"/>
        <v>C</v>
      </c>
      <c r="AG217" s="8" t="str">
        <f t="shared" si="29"/>
        <v>UTILIZOU O PDA CORRETAMENTE</v>
      </c>
      <c r="AH217" s="28" t="s">
        <v>108</v>
      </c>
      <c r="AI217" s="66" t="s">
        <v>1</v>
      </c>
      <c r="AJ217" s="22" t="str">
        <f t="shared" si="28"/>
        <v>GUARULHOS</v>
      </c>
      <c r="AK217" s="69" t="s">
        <v>4</v>
      </c>
    </row>
    <row r="218" spans="1:37" ht="30" customHeight="1" x14ac:dyDescent="0.2">
      <c r="A218" s="82" t="s">
        <v>101</v>
      </c>
      <c r="B218" s="82">
        <v>2690633637</v>
      </c>
      <c r="C218" s="82" t="s">
        <v>47</v>
      </c>
      <c r="D218" s="82" t="s">
        <v>29</v>
      </c>
      <c r="E218" s="82" t="s">
        <v>102</v>
      </c>
      <c r="F218" s="82" t="s">
        <v>854</v>
      </c>
      <c r="G218" s="82">
        <v>115</v>
      </c>
      <c r="H218" s="82" t="s">
        <v>855</v>
      </c>
      <c r="I218" s="82" t="s">
        <v>389</v>
      </c>
      <c r="J218" s="82" t="s">
        <v>170</v>
      </c>
      <c r="K218" s="82" t="s">
        <v>117</v>
      </c>
      <c r="L218" s="82" t="s">
        <v>833</v>
      </c>
      <c r="M218" s="82" t="s">
        <v>851</v>
      </c>
      <c r="N218" s="82" t="s">
        <v>180</v>
      </c>
      <c r="O218" s="36" t="s">
        <v>108</v>
      </c>
      <c r="P218" s="18"/>
      <c r="Q218" s="28" t="s">
        <v>108</v>
      </c>
      <c r="R218" s="18"/>
      <c r="S218" s="28" t="s">
        <v>108</v>
      </c>
      <c r="T218" s="18"/>
      <c r="U218" s="28" t="s">
        <v>108</v>
      </c>
      <c r="V218" s="18"/>
      <c r="W218" s="28" t="s">
        <v>108</v>
      </c>
      <c r="X218" s="18"/>
      <c r="Y218" s="28" t="s">
        <v>14</v>
      </c>
      <c r="Z218" s="18"/>
      <c r="AA218" s="28" t="s">
        <v>108</v>
      </c>
      <c r="AB218" s="18"/>
      <c r="AC218" s="28" t="s">
        <v>108</v>
      </c>
      <c r="AD218" s="18"/>
      <c r="AE218" s="28" t="s">
        <v>108</v>
      </c>
      <c r="AF218" s="47" t="str">
        <f t="shared" si="27"/>
        <v>C</v>
      </c>
      <c r="AG218" s="8" t="str">
        <f t="shared" si="29"/>
        <v>UTILIZOU O PDA CORRETAMENTE</v>
      </c>
      <c r="AH218" s="26" t="s">
        <v>108</v>
      </c>
      <c r="AI218" s="66" t="s">
        <v>1</v>
      </c>
      <c r="AJ218" s="22" t="str">
        <f t="shared" si="28"/>
        <v>GUARULHOS</v>
      </c>
      <c r="AK218" s="69" t="s">
        <v>4</v>
      </c>
    </row>
    <row r="219" spans="1:37" ht="30" customHeight="1" x14ac:dyDescent="0.2">
      <c r="A219" s="82" t="s">
        <v>101</v>
      </c>
      <c r="B219" s="82">
        <v>2615762823</v>
      </c>
      <c r="C219" s="82" t="s">
        <v>47</v>
      </c>
      <c r="D219" s="82" t="s">
        <v>29</v>
      </c>
      <c r="E219" s="82" t="s">
        <v>102</v>
      </c>
      <c r="F219" s="82" t="s">
        <v>856</v>
      </c>
      <c r="G219" s="82">
        <v>21</v>
      </c>
      <c r="H219" s="82"/>
      <c r="I219" s="82" t="s">
        <v>473</v>
      </c>
      <c r="J219" s="82" t="s">
        <v>159</v>
      </c>
      <c r="K219" s="82"/>
      <c r="L219" s="82" t="s">
        <v>833</v>
      </c>
      <c r="M219" s="82" t="s">
        <v>857</v>
      </c>
      <c r="N219" s="82" t="s">
        <v>180</v>
      </c>
      <c r="O219" s="36" t="s">
        <v>108</v>
      </c>
      <c r="P219" s="18"/>
      <c r="Q219" s="28" t="s">
        <v>108</v>
      </c>
      <c r="R219" s="18"/>
      <c r="S219" s="28" t="s">
        <v>108</v>
      </c>
      <c r="T219" s="18"/>
      <c r="U219" s="28" t="s">
        <v>108</v>
      </c>
      <c r="V219" s="18"/>
      <c r="W219" s="28" t="s">
        <v>108</v>
      </c>
      <c r="X219" s="18"/>
      <c r="Y219" s="28" t="s">
        <v>14</v>
      </c>
      <c r="Z219" s="18"/>
      <c r="AA219" s="28" t="s">
        <v>108</v>
      </c>
      <c r="AB219" s="18"/>
      <c r="AC219" s="28" t="s">
        <v>108</v>
      </c>
      <c r="AD219" s="18"/>
      <c r="AE219" s="28" t="s">
        <v>108</v>
      </c>
      <c r="AF219" s="47" t="str">
        <f t="shared" si="27"/>
        <v>C</v>
      </c>
      <c r="AG219" s="8" t="str">
        <f t="shared" si="29"/>
        <v>UTILIZOU O PDA CORRETAMENTE</v>
      </c>
      <c r="AH219" s="26" t="s">
        <v>108</v>
      </c>
      <c r="AI219" s="66" t="s">
        <v>1</v>
      </c>
      <c r="AJ219" s="22" t="str">
        <f t="shared" si="28"/>
        <v>GUARULHOS</v>
      </c>
      <c r="AK219" s="69" t="s">
        <v>4</v>
      </c>
    </row>
    <row r="220" spans="1:37" ht="30" customHeight="1" x14ac:dyDescent="0.2">
      <c r="A220" s="82" t="s">
        <v>101</v>
      </c>
      <c r="B220" s="82">
        <v>2615717596</v>
      </c>
      <c r="C220" s="82" t="s">
        <v>45</v>
      </c>
      <c r="D220" s="82" t="s">
        <v>27</v>
      </c>
      <c r="E220" s="82" t="s">
        <v>102</v>
      </c>
      <c r="F220" s="82" t="s">
        <v>858</v>
      </c>
      <c r="G220" s="82">
        <v>527</v>
      </c>
      <c r="H220" s="82" t="s">
        <v>117</v>
      </c>
      <c r="I220" s="82" t="s">
        <v>584</v>
      </c>
      <c r="J220" s="82" t="s">
        <v>150</v>
      </c>
      <c r="K220" s="82" t="s">
        <v>117</v>
      </c>
      <c r="L220" s="82" t="s">
        <v>833</v>
      </c>
      <c r="M220" s="82" t="s">
        <v>859</v>
      </c>
      <c r="N220" s="82" t="s">
        <v>163</v>
      </c>
      <c r="O220" s="35" t="s">
        <v>108</v>
      </c>
      <c r="P220" s="25"/>
      <c r="Q220" s="26" t="s">
        <v>108</v>
      </c>
      <c r="R220" s="25"/>
      <c r="S220" s="26" t="s">
        <v>108</v>
      </c>
      <c r="T220" s="25"/>
      <c r="U220" s="26" t="s">
        <v>108</v>
      </c>
      <c r="V220" s="25"/>
      <c r="W220" s="26" t="s">
        <v>108</v>
      </c>
      <c r="X220" s="25"/>
      <c r="Y220" s="26" t="s">
        <v>108</v>
      </c>
      <c r="Z220" s="25"/>
      <c r="AA220" s="26" t="s">
        <v>108</v>
      </c>
      <c r="AB220" s="25"/>
      <c r="AC220" s="26" t="s">
        <v>108</v>
      </c>
      <c r="AD220" s="10"/>
      <c r="AE220" s="26" t="s">
        <v>108</v>
      </c>
      <c r="AF220" s="47" t="str">
        <f t="shared" si="27"/>
        <v>C</v>
      </c>
      <c r="AG220" s="8" t="str">
        <f t="shared" si="29"/>
        <v>UTILIZOU O PDA CORRETAMENTE</v>
      </c>
      <c r="AH220" s="26" t="s">
        <v>108</v>
      </c>
      <c r="AI220" s="66" t="s">
        <v>1</v>
      </c>
      <c r="AJ220" s="22" t="str">
        <f t="shared" si="28"/>
        <v>GUARULHOS</v>
      </c>
      <c r="AK220" s="69" t="s">
        <v>4</v>
      </c>
    </row>
    <row r="221" spans="1:37" ht="30" customHeight="1" x14ac:dyDescent="0.2">
      <c r="A221" s="82" t="s">
        <v>101</v>
      </c>
      <c r="B221" s="82">
        <v>2615706603</v>
      </c>
      <c r="C221" s="82" t="s">
        <v>44</v>
      </c>
      <c r="D221" s="82" t="s">
        <v>29</v>
      </c>
      <c r="E221" s="82" t="s">
        <v>102</v>
      </c>
      <c r="F221" s="82" t="s">
        <v>861</v>
      </c>
      <c r="G221" s="82">
        <v>62</v>
      </c>
      <c r="H221" s="82"/>
      <c r="I221" s="82" t="s">
        <v>370</v>
      </c>
      <c r="J221" s="82" t="s">
        <v>194</v>
      </c>
      <c r="K221" s="82" t="s">
        <v>862</v>
      </c>
      <c r="L221" s="82" t="s">
        <v>833</v>
      </c>
      <c r="M221" s="82" t="s">
        <v>863</v>
      </c>
      <c r="N221" s="82" t="s">
        <v>151</v>
      </c>
      <c r="O221" s="35" t="s">
        <v>108</v>
      </c>
      <c r="P221" s="25"/>
      <c r="Q221" s="26" t="s">
        <v>108</v>
      </c>
      <c r="R221" s="25"/>
      <c r="S221" s="26" t="s">
        <v>108</v>
      </c>
      <c r="T221" s="25"/>
      <c r="U221" s="26" t="s">
        <v>108</v>
      </c>
      <c r="V221" s="25"/>
      <c r="W221" s="26" t="s">
        <v>108</v>
      </c>
      <c r="X221" s="25"/>
      <c r="Y221" s="26" t="s">
        <v>108</v>
      </c>
      <c r="Z221" s="25"/>
      <c r="AA221" s="26" t="s">
        <v>108</v>
      </c>
      <c r="AB221" s="25"/>
      <c r="AC221" s="26" t="s">
        <v>108</v>
      </c>
      <c r="AD221" s="10"/>
      <c r="AE221" s="26" t="s">
        <v>108</v>
      </c>
      <c r="AF221" s="47" t="str">
        <f t="shared" si="27"/>
        <v>C</v>
      </c>
      <c r="AG221" s="8" t="str">
        <f t="shared" si="29"/>
        <v>UTILIZOU O PDA CORRETAMENTE</v>
      </c>
      <c r="AH221" s="26" t="s">
        <v>108</v>
      </c>
      <c r="AI221" s="66" t="s">
        <v>1</v>
      </c>
      <c r="AJ221" s="22" t="str">
        <f t="shared" si="28"/>
        <v>GUARULHOS</v>
      </c>
      <c r="AK221" s="69" t="s">
        <v>4</v>
      </c>
    </row>
    <row r="222" spans="1:37" ht="30" customHeight="1" x14ac:dyDescent="0.2">
      <c r="A222" s="82" t="s">
        <v>101</v>
      </c>
      <c r="B222" s="82">
        <v>2615750685</v>
      </c>
      <c r="C222" s="82" t="s">
        <v>34</v>
      </c>
      <c r="D222" s="82" t="s">
        <v>28</v>
      </c>
      <c r="E222" s="82" t="s">
        <v>102</v>
      </c>
      <c r="F222" s="82" t="s">
        <v>864</v>
      </c>
      <c r="G222" s="82">
        <v>138</v>
      </c>
      <c r="H222" s="82" t="s">
        <v>865</v>
      </c>
      <c r="I222" s="82" t="s">
        <v>576</v>
      </c>
      <c r="J222" s="82" t="s">
        <v>368</v>
      </c>
      <c r="K222" s="82" t="s">
        <v>866</v>
      </c>
      <c r="L222" s="82" t="s">
        <v>833</v>
      </c>
      <c r="M222" s="82" t="s">
        <v>867</v>
      </c>
      <c r="N222" s="82" t="s">
        <v>205</v>
      </c>
      <c r="O222" s="36" t="s">
        <v>14</v>
      </c>
      <c r="P222" s="18"/>
      <c r="Q222" s="28" t="s">
        <v>14</v>
      </c>
      <c r="R222" s="18"/>
      <c r="S222" s="28" t="s">
        <v>14</v>
      </c>
      <c r="T222" s="18"/>
      <c r="U222" s="28" t="s">
        <v>14</v>
      </c>
      <c r="V222" s="18"/>
      <c r="W222" s="28" t="s">
        <v>14</v>
      </c>
      <c r="X222" s="18"/>
      <c r="Y222" s="28" t="s">
        <v>14</v>
      </c>
      <c r="Z222" s="18"/>
      <c r="AA222" s="28" t="s">
        <v>14</v>
      </c>
      <c r="AB222" s="18"/>
      <c r="AC222" s="28" t="s">
        <v>14</v>
      </c>
      <c r="AD222" s="18"/>
      <c r="AE222" s="28" t="s">
        <v>14</v>
      </c>
      <c r="AF222" s="47" t="str">
        <f t="shared" si="27"/>
        <v>NA</v>
      </c>
      <c r="AG222" s="8" t="s">
        <v>868</v>
      </c>
      <c r="AH222" s="28" t="s">
        <v>108</v>
      </c>
      <c r="AI222" s="66" t="s">
        <v>1</v>
      </c>
      <c r="AJ222" s="22" t="str">
        <f t="shared" si="28"/>
        <v>GUARULHOS</v>
      </c>
      <c r="AK222" s="69" t="s">
        <v>4</v>
      </c>
    </row>
    <row r="223" spans="1:37" ht="30" customHeight="1" x14ac:dyDescent="0.2">
      <c r="A223" s="82" t="s">
        <v>101</v>
      </c>
      <c r="B223" s="82">
        <v>2615871186</v>
      </c>
      <c r="C223" s="82" t="s">
        <v>49</v>
      </c>
      <c r="D223" s="82" t="s">
        <v>29</v>
      </c>
      <c r="E223" s="82" t="s">
        <v>102</v>
      </c>
      <c r="F223" s="82" t="s">
        <v>700</v>
      </c>
      <c r="G223" s="82">
        <v>186</v>
      </c>
      <c r="H223" s="82" t="s">
        <v>117</v>
      </c>
      <c r="I223" s="82" t="s">
        <v>702</v>
      </c>
      <c r="J223" s="82" t="s">
        <v>176</v>
      </c>
      <c r="K223" s="82" t="s">
        <v>869</v>
      </c>
      <c r="L223" s="82" t="s">
        <v>833</v>
      </c>
      <c r="M223" s="82" t="s">
        <v>870</v>
      </c>
      <c r="N223" s="82" t="s">
        <v>231</v>
      </c>
      <c r="O223" s="36" t="s">
        <v>108</v>
      </c>
      <c r="P223" s="18"/>
      <c r="Q223" s="28" t="s">
        <v>108</v>
      </c>
      <c r="R223" s="18"/>
      <c r="S223" s="28" t="s">
        <v>108</v>
      </c>
      <c r="T223" s="18"/>
      <c r="U223" s="28" t="s">
        <v>108</v>
      </c>
      <c r="V223" s="18"/>
      <c r="W223" s="28" t="s">
        <v>108</v>
      </c>
      <c r="X223" s="18"/>
      <c r="Y223" s="28" t="s">
        <v>14</v>
      </c>
      <c r="Z223" s="18"/>
      <c r="AA223" s="28" t="s">
        <v>108</v>
      </c>
      <c r="AB223" s="18"/>
      <c r="AC223" s="28" t="s">
        <v>108</v>
      </c>
      <c r="AD223" s="18"/>
      <c r="AE223" s="28" t="s">
        <v>108</v>
      </c>
      <c r="AF223" s="47" t="str">
        <f t="shared" si="27"/>
        <v>C</v>
      </c>
      <c r="AG223" s="8" t="str">
        <f t="shared" ref="AG223:AG253" si="30">IF(AND(AE223="C",AF223="C"),"UTILIZOU O PDA CORRETAMENTE",IF(AND(AE223="C",AF223="NC"),"UTILIZOU O PDA CORRETAMENTE. NÃO HÁ FOTOS DE TODAS AS ETAPAS",IF(AND(AE223="NC",AF223="NC"),"NÃO UTILIZOU O PDA",IF(AND(AE223="NA",AF223="NA"),"NÃO AVALIADO POR FALHA DE SINCRONISMO"))))</f>
        <v>UTILIZOU O PDA CORRETAMENTE</v>
      </c>
      <c r="AH223" s="26" t="s">
        <v>108</v>
      </c>
      <c r="AI223" s="66" t="s">
        <v>1</v>
      </c>
      <c r="AJ223" s="22" t="str">
        <f t="shared" si="28"/>
        <v>GUARULHOS</v>
      </c>
      <c r="AK223" s="69" t="s">
        <v>4</v>
      </c>
    </row>
    <row r="224" spans="1:37" ht="30" customHeight="1" x14ac:dyDescent="0.2">
      <c r="A224" s="82" t="s">
        <v>101</v>
      </c>
      <c r="B224" s="82">
        <v>2615594544</v>
      </c>
      <c r="C224" s="82" t="s">
        <v>44</v>
      </c>
      <c r="D224" s="82" t="s">
        <v>29</v>
      </c>
      <c r="E224" s="82" t="s">
        <v>102</v>
      </c>
      <c r="F224" s="82" t="s">
        <v>871</v>
      </c>
      <c r="G224" s="82">
        <v>52</v>
      </c>
      <c r="H224" s="82" t="s">
        <v>110</v>
      </c>
      <c r="I224" s="82" t="s">
        <v>220</v>
      </c>
      <c r="J224" s="82" t="s">
        <v>194</v>
      </c>
      <c r="K224" s="82"/>
      <c r="L224" s="82" t="s">
        <v>833</v>
      </c>
      <c r="M224" s="82" t="s">
        <v>872</v>
      </c>
      <c r="N224" s="82" t="s">
        <v>160</v>
      </c>
      <c r="O224" s="35" t="s">
        <v>108</v>
      </c>
      <c r="P224" s="25"/>
      <c r="Q224" s="26" t="s">
        <v>108</v>
      </c>
      <c r="R224" s="25"/>
      <c r="S224" s="26" t="s">
        <v>108</v>
      </c>
      <c r="T224" s="25"/>
      <c r="U224" s="26" t="s">
        <v>108</v>
      </c>
      <c r="V224" s="25"/>
      <c r="W224" s="26" t="s">
        <v>108</v>
      </c>
      <c r="X224" s="25"/>
      <c r="Y224" s="26" t="s">
        <v>108</v>
      </c>
      <c r="Z224" s="25"/>
      <c r="AA224" s="26" t="s">
        <v>108</v>
      </c>
      <c r="AB224" s="25"/>
      <c r="AC224" s="26" t="s">
        <v>108</v>
      </c>
      <c r="AD224" s="10"/>
      <c r="AE224" s="26" t="s">
        <v>108</v>
      </c>
      <c r="AF224" s="47" t="str">
        <f t="shared" si="27"/>
        <v>C</v>
      </c>
      <c r="AG224" s="8" t="str">
        <f t="shared" si="30"/>
        <v>UTILIZOU O PDA CORRETAMENTE</v>
      </c>
      <c r="AH224" s="26" t="s">
        <v>108</v>
      </c>
      <c r="AI224" s="66" t="s">
        <v>1</v>
      </c>
      <c r="AJ224" s="22" t="str">
        <f t="shared" si="28"/>
        <v>GUARULHOS</v>
      </c>
      <c r="AK224" s="69" t="s">
        <v>4</v>
      </c>
    </row>
    <row r="225" spans="1:37" ht="30" customHeight="1" x14ac:dyDescent="0.2">
      <c r="A225" s="82" t="s">
        <v>101</v>
      </c>
      <c r="B225" s="82">
        <v>2615880091</v>
      </c>
      <c r="C225" s="82" t="s">
        <v>47</v>
      </c>
      <c r="D225" s="82" t="s">
        <v>29</v>
      </c>
      <c r="E225" s="82" t="s">
        <v>102</v>
      </c>
      <c r="F225" s="82" t="s">
        <v>873</v>
      </c>
      <c r="G225" s="82">
        <v>50</v>
      </c>
      <c r="H225" s="82" t="s">
        <v>874</v>
      </c>
      <c r="I225" s="82" t="s">
        <v>875</v>
      </c>
      <c r="J225" s="82" t="s">
        <v>170</v>
      </c>
      <c r="K225" s="82" t="s">
        <v>117</v>
      </c>
      <c r="L225" s="82" t="s">
        <v>833</v>
      </c>
      <c r="M225" s="82" t="s">
        <v>876</v>
      </c>
      <c r="N225" s="82" t="s">
        <v>151</v>
      </c>
      <c r="O225" s="36" t="s">
        <v>108</v>
      </c>
      <c r="P225" s="18"/>
      <c r="Q225" s="28" t="s">
        <v>108</v>
      </c>
      <c r="R225" s="18"/>
      <c r="S225" s="28" t="s">
        <v>108</v>
      </c>
      <c r="T225" s="18"/>
      <c r="U225" s="28" t="s">
        <v>108</v>
      </c>
      <c r="V225" s="18"/>
      <c r="W225" s="28" t="s">
        <v>108</v>
      </c>
      <c r="X225" s="18"/>
      <c r="Y225" s="28" t="s">
        <v>14</v>
      </c>
      <c r="Z225" s="18"/>
      <c r="AA225" s="28" t="s">
        <v>108</v>
      </c>
      <c r="AB225" s="18"/>
      <c r="AC225" s="28" t="s">
        <v>108</v>
      </c>
      <c r="AD225" s="18"/>
      <c r="AE225" s="28" t="s">
        <v>108</v>
      </c>
      <c r="AF225" s="47" t="str">
        <f t="shared" si="27"/>
        <v>C</v>
      </c>
      <c r="AG225" s="8" t="str">
        <f t="shared" si="30"/>
        <v>UTILIZOU O PDA CORRETAMENTE</v>
      </c>
      <c r="AH225" s="26" t="s">
        <v>108</v>
      </c>
      <c r="AI225" s="66" t="s">
        <v>1</v>
      </c>
      <c r="AJ225" s="22" t="str">
        <f t="shared" si="28"/>
        <v>GUARULHOS</v>
      </c>
      <c r="AK225" s="69" t="s">
        <v>4</v>
      </c>
    </row>
    <row r="226" spans="1:37" ht="30" customHeight="1" x14ac:dyDescent="0.2">
      <c r="A226" s="82" t="s">
        <v>101</v>
      </c>
      <c r="B226" s="82">
        <v>2615745781</v>
      </c>
      <c r="C226" s="82" t="s">
        <v>44</v>
      </c>
      <c r="D226" s="82" t="s">
        <v>29</v>
      </c>
      <c r="E226" s="82" t="s">
        <v>102</v>
      </c>
      <c r="F226" s="82" t="s">
        <v>878</v>
      </c>
      <c r="G226" s="82">
        <v>111</v>
      </c>
      <c r="H226" s="82" t="s">
        <v>879</v>
      </c>
      <c r="I226" s="82" t="s">
        <v>177</v>
      </c>
      <c r="J226" s="82" t="s">
        <v>194</v>
      </c>
      <c r="K226" s="88" t="s">
        <v>880</v>
      </c>
      <c r="L226" s="82" t="s">
        <v>833</v>
      </c>
      <c r="M226" s="82" t="s">
        <v>881</v>
      </c>
      <c r="N226" s="82" t="s">
        <v>171</v>
      </c>
      <c r="O226" s="35" t="s">
        <v>108</v>
      </c>
      <c r="P226" s="25"/>
      <c r="Q226" s="26" t="s">
        <v>108</v>
      </c>
      <c r="R226" s="25"/>
      <c r="S226" s="26" t="s">
        <v>108</v>
      </c>
      <c r="T226" s="25"/>
      <c r="U226" s="26" t="s">
        <v>108</v>
      </c>
      <c r="V226" s="25"/>
      <c r="W226" s="26" t="s">
        <v>108</v>
      </c>
      <c r="X226" s="25"/>
      <c r="Y226" s="26" t="s">
        <v>108</v>
      </c>
      <c r="Z226" s="25"/>
      <c r="AA226" s="26" t="s">
        <v>108</v>
      </c>
      <c r="AB226" s="25"/>
      <c r="AC226" s="26" t="s">
        <v>108</v>
      </c>
      <c r="AD226" s="10"/>
      <c r="AE226" s="26" t="s">
        <v>108</v>
      </c>
      <c r="AF226" s="47" t="str">
        <f t="shared" si="27"/>
        <v>C</v>
      </c>
      <c r="AG226" s="8" t="str">
        <f t="shared" si="30"/>
        <v>UTILIZOU O PDA CORRETAMENTE</v>
      </c>
      <c r="AH226" s="26" t="s">
        <v>108</v>
      </c>
      <c r="AI226" s="66" t="s">
        <v>1</v>
      </c>
      <c r="AJ226" s="22" t="str">
        <f t="shared" si="28"/>
        <v>GUARULHOS</v>
      </c>
      <c r="AK226" s="69" t="s">
        <v>4</v>
      </c>
    </row>
    <row r="227" spans="1:37" ht="30" customHeight="1" x14ac:dyDescent="0.2">
      <c r="A227" s="82" t="s">
        <v>101</v>
      </c>
      <c r="B227" s="82">
        <v>2615524009</v>
      </c>
      <c r="C227" s="82" t="s">
        <v>41</v>
      </c>
      <c r="D227" s="82" t="s">
        <v>25</v>
      </c>
      <c r="E227" s="82" t="s">
        <v>102</v>
      </c>
      <c r="F227" s="82" t="s">
        <v>882</v>
      </c>
      <c r="G227" s="82">
        <v>196</v>
      </c>
      <c r="H227" s="82" t="s">
        <v>883</v>
      </c>
      <c r="I227" s="82" t="s">
        <v>884</v>
      </c>
      <c r="J227" s="82" t="s">
        <v>41</v>
      </c>
      <c r="K227" s="82" t="s">
        <v>885</v>
      </c>
      <c r="L227" s="82" t="s">
        <v>833</v>
      </c>
      <c r="M227" s="82" t="s">
        <v>886</v>
      </c>
      <c r="N227" s="82" t="s">
        <v>274</v>
      </c>
      <c r="O227" s="36" t="s">
        <v>108</v>
      </c>
      <c r="P227" s="18"/>
      <c r="Q227" s="28" t="s">
        <v>14</v>
      </c>
      <c r="R227" s="18"/>
      <c r="S227" s="28" t="s">
        <v>14</v>
      </c>
      <c r="T227" s="18"/>
      <c r="U227" s="28" t="s">
        <v>14</v>
      </c>
      <c r="V227" s="18"/>
      <c r="W227" s="28" t="s">
        <v>14</v>
      </c>
      <c r="X227" s="18"/>
      <c r="Y227" s="28" t="s">
        <v>14</v>
      </c>
      <c r="Z227" s="18"/>
      <c r="AA227" s="28" t="s">
        <v>108</v>
      </c>
      <c r="AB227" s="18"/>
      <c r="AC227" s="28" t="s">
        <v>108</v>
      </c>
      <c r="AD227" s="18"/>
      <c r="AE227" s="28" t="s">
        <v>108</v>
      </c>
      <c r="AF227" s="47" t="str">
        <f t="shared" si="27"/>
        <v>C</v>
      </c>
      <c r="AG227" s="8" t="str">
        <f t="shared" si="30"/>
        <v>UTILIZOU O PDA CORRETAMENTE</v>
      </c>
      <c r="AH227" s="28" t="s">
        <v>108</v>
      </c>
      <c r="AI227" s="66" t="s">
        <v>1</v>
      </c>
      <c r="AJ227" s="22" t="str">
        <f t="shared" si="28"/>
        <v>GUARULHOS</v>
      </c>
      <c r="AK227" s="69" t="s">
        <v>4</v>
      </c>
    </row>
    <row r="228" spans="1:37" ht="30" customHeight="1" x14ac:dyDescent="0.2">
      <c r="A228" s="82" t="s">
        <v>101</v>
      </c>
      <c r="B228" s="82">
        <v>2615524005</v>
      </c>
      <c r="C228" s="82" t="s">
        <v>39</v>
      </c>
      <c r="D228" s="82" t="s">
        <v>25</v>
      </c>
      <c r="E228" s="82" t="s">
        <v>102</v>
      </c>
      <c r="F228" s="82" t="s">
        <v>882</v>
      </c>
      <c r="G228" s="82">
        <v>196</v>
      </c>
      <c r="H228" s="82" t="s">
        <v>887</v>
      </c>
      <c r="I228" s="82" t="s">
        <v>884</v>
      </c>
      <c r="J228" s="82" t="s">
        <v>39</v>
      </c>
      <c r="K228" s="82" t="s">
        <v>888</v>
      </c>
      <c r="L228" s="82" t="s">
        <v>833</v>
      </c>
      <c r="M228" s="82" t="s">
        <v>889</v>
      </c>
      <c r="N228" s="82" t="s">
        <v>274</v>
      </c>
      <c r="O228" s="36" t="s">
        <v>108</v>
      </c>
      <c r="P228" s="18"/>
      <c r="Q228" s="28" t="s">
        <v>14</v>
      </c>
      <c r="R228" s="18"/>
      <c r="S228" s="28" t="s">
        <v>14</v>
      </c>
      <c r="T228" s="18"/>
      <c r="U228" s="28" t="s">
        <v>14</v>
      </c>
      <c r="V228" s="18"/>
      <c r="W228" s="28" t="s">
        <v>14</v>
      </c>
      <c r="X228" s="18"/>
      <c r="Y228" s="28" t="s">
        <v>14</v>
      </c>
      <c r="Z228" s="18"/>
      <c r="AA228" s="28" t="s">
        <v>108</v>
      </c>
      <c r="AB228" s="18"/>
      <c r="AC228" s="28" t="s">
        <v>108</v>
      </c>
      <c r="AD228" s="18"/>
      <c r="AE228" s="28" t="s">
        <v>108</v>
      </c>
      <c r="AF228" s="47" t="str">
        <f t="shared" si="27"/>
        <v>C</v>
      </c>
      <c r="AG228" s="8" t="str">
        <f t="shared" si="30"/>
        <v>UTILIZOU O PDA CORRETAMENTE</v>
      </c>
      <c r="AH228" s="28" t="s">
        <v>108</v>
      </c>
      <c r="AI228" s="66" t="s">
        <v>1</v>
      </c>
      <c r="AJ228" s="22" t="str">
        <f t="shared" si="28"/>
        <v>GUARULHOS</v>
      </c>
      <c r="AK228" s="69" t="s">
        <v>4</v>
      </c>
    </row>
    <row r="229" spans="1:37" ht="30" customHeight="1" x14ac:dyDescent="0.2">
      <c r="A229" s="82" t="s">
        <v>101</v>
      </c>
      <c r="B229" s="82">
        <v>2615521319</v>
      </c>
      <c r="C229" s="82" t="s">
        <v>39</v>
      </c>
      <c r="D229" s="82" t="s">
        <v>25</v>
      </c>
      <c r="E229" s="82" t="s">
        <v>102</v>
      </c>
      <c r="F229" s="82" t="s">
        <v>890</v>
      </c>
      <c r="G229" s="82">
        <v>123</v>
      </c>
      <c r="H229" s="82" t="s">
        <v>891</v>
      </c>
      <c r="I229" s="82" t="s">
        <v>892</v>
      </c>
      <c r="J229" s="82" t="s">
        <v>39</v>
      </c>
      <c r="K229" s="82" t="s">
        <v>117</v>
      </c>
      <c r="L229" s="82" t="s">
        <v>833</v>
      </c>
      <c r="M229" s="82" t="s">
        <v>893</v>
      </c>
      <c r="N229" s="82" t="s">
        <v>113</v>
      </c>
      <c r="O229" s="36" t="s">
        <v>108</v>
      </c>
      <c r="P229" s="18"/>
      <c r="Q229" s="28" t="s">
        <v>108</v>
      </c>
      <c r="R229" s="18"/>
      <c r="S229" s="28" t="s">
        <v>108</v>
      </c>
      <c r="T229" s="18"/>
      <c r="U229" s="28" t="s">
        <v>108</v>
      </c>
      <c r="V229" s="18"/>
      <c r="W229" s="28" t="s">
        <v>108</v>
      </c>
      <c r="X229" s="18"/>
      <c r="Y229" s="28" t="s">
        <v>14</v>
      </c>
      <c r="Z229" s="18"/>
      <c r="AA229" s="28" t="s">
        <v>108</v>
      </c>
      <c r="AB229" s="18"/>
      <c r="AC229" s="28" t="s">
        <v>108</v>
      </c>
      <c r="AD229" s="18"/>
      <c r="AE229" s="28" t="s">
        <v>108</v>
      </c>
      <c r="AF229" s="47" t="str">
        <f t="shared" si="27"/>
        <v>C</v>
      </c>
      <c r="AG229" s="8" t="str">
        <f t="shared" si="30"/>
        <v>UTILIZOU O PDA CORRETAMENTE</v>
      </c>
      <c r="AH229" s="28" t="s">
        <v>108</v>
      </c>
      <c r="AI229" s="66" t="s">
        <v>1</v>
      </c>
      <c r="AJ229" s="22" t="str">
        <f t="shared" si="28"/>
        <v>GUARULHOS</v>
      </c>
      <c r="AK229" s="69" t="s">
        <v>4</v>
      </c>
    </row>
    <row r="230" spans="1:37" ht="30" customHeight="1" x14ac:dyDescent="0.2">
      <c r="A230" s="82" t="s">
        <v>101</v>
      </c>
      <c r="B230" s="82">
        <v>2615521334</v>
      </c>
      <c r="C230" s="82" t="s">
        <v>41</v>
      </c>
      <c r="D230" s="82" t="s">
        <v>25</v>
      </c>
      <c r="E230" s="82" t="s">
        <v>102</v>
      </c>
      <c r="F230" s="82" t="s">
        <v>890</v>
      </c>
      <c r="G230" s="82">
        <v>123</v>
      </c>
      <c r="H230" s="82" t="s">
        <v>894</v>
      </c>
      <c r="I230" s="82" t="s">
        <v>892</v>
      </c>
      <c r="J230" s="82" t="s">
        <v>41</v>
      </c>
      <c r="K230" s="82" t="s">
        <v>895</v>
      </c>
      <c r="L230" s="82" t="s">
        <v>833</v>
      </c>
      <c r="M230" s="82" t="s">
        <v>896</v>
      </c>
      <c r="N230" s="82" t="s">
        <v>113</v>
      </c>
      <c r="O230" s="36" t="s">
        <v>108</v>
      </c>
      <c r="P230" s="18"/>
      <c r="Q230" s="28" t="s">
        <v>108</v>
      </c>
      <c r="R230" s="18"/>
      <c r="S230" s="28" t="s">
        <v>108</v>
      </c>
      <c r="T230" s="18"/>
      <c r="U230" s="28" t="s">
        <v>108</v>
      </c>
      <c r="V230" s="18"/>
      <c r="W230" s="28" t="s">
        <v>108</v>
      </c>
      <c r="X230" s="18"/>
      <c r="Y230" s="28" t="s">
        <v>14</v>
      </c>
      <c r="Z230" s="18"/>
      <c r="AA230" s="28" t="s">
        <v>108</v>
      </c>
      <c r="AB230" s="18"/>
      <c r="AC230" s="28" t="s">
        <v>108</v>
      </c>
      <c r="AD230" s="18"/>
      <c r="AE230" s="28" t="s">
        <v>108</v>
      </c>
      <c r="AF230" s="47" t="str">
        <f t="shared" si="27"/>
        <v>C</v>
      </c>
      <c r="AG230" s="8" t="str">
        <f t="shared" si="30"/>
        <v>UTILIZOU O PDA CORRETAMENTE</v>
      </c>
      <c r="AH230" s="28" t="s">
        <v>108</v>
      </c>
      <c r="AI230" s="66" t="s">
        <v>1</v>
      </c>
      <c r="AJ230" s="22" t="str">
        <f t="shared" si="28"/>
        <v>GUARULHOS</v>
      </c>
      <c r="AK230" s="69" t="s">
        <v>4</v>
      </c>
    </row>
    <row r="231" spans="1:37" ht="30" customHeight="1" x14ac:dyDescent="0.2">
      <c r="A231" s="82" t="s">
        <v>101</v>
      </c>
      <c r="B231" s="82">
        <v>2615521321</v>
      </c>
      <c r="C231" s="82" t="s">
        <v>41</v>
      </c>
      <c r="D231" s="82" t="s">
        <v>25</v>
      </c>
      <c r="E231" s="82" t="s">
        <v>102</v>
      </c>
      <c r="F231" s="82" t="s">
        <v>890</v>
      </c>
      <c r="G231" s="82">
        <v>123</v>
      </c>
      <c r="H231" s="82" t="s">
        <v>897</v>
      </c>
      <c r="I231" s="82" t="s">
        <v>892</v>
      </c>
      <c r="J231" s="82" t="s">
        <v>41</v>
      </c>
      <c r="K231" s="82" t="s">
        <v>895</v>
      </c>
      <c r="L231" s="82" t="s">
        <v>833</v>
      </c>
      <c r="M231" s="82" t="s">
        <v>898</v>
      </c>
      <c r="N231" s="82" t="s">
        <v>113</v>
      </c>
      <c r="O231" s="36" t="s">
        <v>108</v>
      </c>
      <c r="P231" s="18"/>
      <c r="Q231" s="28" t="s">
        <v>108</v>
      </c>
      <c r="R231" s="18"/>
      <c r="S231" s="28" t="s">
        <v>108</v>
      </c>
      <c r="T231" s="18"/>
      <c r="U231" s="28" t="s">
        <v>108</v>
      </c>
      <c r="V231" s="18"/>
      <c r="W231" s="28" t="s">
        <v>108</v>
      </c>
      <c r="X231" s="18"/>
      <c r="Y231" s="28" t="s">
        <v>14</v>
      </c>
      <c r="Z231" s="18"/>
      <c r="AA231" s="28" t="s">
        <v>108</v>
      </c>
      <c r="AB231" s="18"/>
      <c r="AC231" s="28" t="s">
        <v>108</v>
      </c>
      <c r="AD231" s="18"/>
      <c r="AE231" s="28" t="s">
        <v>108</v>
      </c>
      <c r="AF231" s="47" t="str">
        <f t="shared" si="27"/>
        <v>C</v>
      </c>
      <c r="AG231" s="8" t="str">
        <f t="shared" si="30"/>
        <v>UTILIZOU O PDA CORRETAMENTE</v>
      </c>
      <c r="AH231" s="28" t="s">
        <v>108</v>
      </c>
      <c r="AI231" s="66" t="s">
        <v>1</v>
      </c>
      <c r="AJ231" s="22" t="str">
        <f t="shared" si="28"/>
        <v>GUARULHOS</v>
      </c>
      <c r="AK231" s="69" t="s">
        <v>4</v>
      </c>
    </row>
    <row r="232" spans="1:37" ht="30" customHeight="1" x14ac:dyDescent="0.2">
      <c r="A232" s="82" t="s">
        <v>101</v>
      </c>
      <c r="B232" s="82">
        <v>2615521325</v>
      </c>
      <c r="C232" s="82" t="s">
        <v>41</v>
      </c>
      <c r="D232" s="82" t="s">
        <v>25</v>
      </c>
      <c r="E232" s="82" t="s">
        <v>102</v>
      </c>
      <c r="F232" s="82" t="s">
        <v>890</v>
      </c>
      <c r="G232" s="82">
        <v>123</v>
      </c>
      <c r="H232" s="82" t="s">
        <v>899</v>
      </c>
      <c r="I232" s="82" t="s">
        <v>892</v>
      </c>
      <c r="J232" s="82" t="s">
        <v>41</v>
      </c>
      <c r="K232" s="82" t="s">
        <v>895</v>
      </c>
      <c r="L232" s="82" t="s">
        <v>833</v>
      </c>
      <c r="M232" s="82" t="s">
        <v>900</v>
      </c>
      <c r="N232" s="82" t="s">
        <v>113</v>
      </c>
      <c r="O232" s="36" t="s">
        <v>108</v>
      </c>
      <c r="P232" s="18"/>
      <c r="Q232" s="28" t="s">
        <v>108</v>
      </c>
      <c r="R232" s="18"/>
      <c r="S232" s="28" t="s">
        <v>108</v>
      </c>
      <c r="T232" s="18"/>
      <c r="U232" s="28" t="s">
        <v>108</v>
      </c>
      <c r="V232" s="18"/>
      <c r="W232" s="28" t="s">
        <v>108</v>
      </c>
      <c r="X232" s="18"/>
      <c r="Y232" s="28" t="s">
        <v>14</v>
      </c>
      <c r="Z232" s="18"/>
      <c r="AA232" s="28" t="s">
        <v>108</v>
      </c>
      <c r="AB232" s="18"/>
      <c r="AC232" s="28" t="s">
        <v>108</v>
      </c>
      <c r="AD232" s="18"/>
      <c r="AE232" s="28" t="s">
        <v>108</v>
      </c>
      <c r="AF232" s="47" t="str">
        <f t="shared" si="27"/>
        <v>C</v>
      </c>
      <c r="AG232" s="8" t="str">
        <f t="shared" si="30"/>
        <v>UTILIZOU O PDA CORRETAMENTE</v>
      </c>
      <c r="AH232" s="28" t="s">
        <v>108</v>
      </c>
      <c r="AI232" s="66" t="s">
        <v>1</v>
      </c>
      <c r="AJ232" s="22" t="str">
        <f t="shared" si="28"/>
        <v>GUARULHOS</v>
      </c>
      <c r="AK232" s="69" t="s">
        <v>4</v>
      </c>
    </row>
    <row r="233" spans="1:37" ht="30" customHeight="1" x14ac:dyDescent="0.2">
      <c r="A233" s="83" t="s">
        <v>101</v>
      </c>
      <c r="B233" s="83">
        <v>2615919257</v>
      </c>
      <c r="C233" s="83" t="s">
        <v>45</v>
      </c>
      <c r="D233" s="83" t="s">
        <v>27</v>
      </c>
      <c r="E233" s="83" t="s">
        <v>102</v>
      </c>
      <c r="F233" s="83" t="s">
        <v>847</v>
      </c>
      <c r="G233" s="83">
        <v>634</v>
      </c>
      <c r="H233" s="83" t="s">
        <v>903</v>
      </c>
      <c r="I233" s="83" t="s">
        <v>849</v>
      </c>
      <c r="J233" s="83" t="s">
        <v>150</v>
      </c>
      <c r="K233" s="83"/>
      <c r="L233" s="83" t="s">
        <v>902</v>
      </c>
      <c r="M233" s="83" t="s">
        <v>904</v>
      </c>
      <c r="N233" s="83" t="s">
        <v>113</v>
      </c>
      <c r="O233" s="35" t="s">
        <v>108</v>
      </c>
      <c r="P233" s="25"/>
      <c r="Q233" s="26" t="s">
        <v>108</v>
      </c>
      <c r="R233" s="25"/>
      <c r="S233" s="26" t="s">
        <v>108</v>
      </c>
      <c r="T233" s="25"/>
      <c r="U233" s="26" t="s">
        <v>108</v>
      </c>
      <c r="V233" s="25"/>
      <c r="W233" s="26" t="s">
        <v>108</v>
      </c>
      <c r="X233" s="25"/>
      <c r="Y233" s="26" t="s">
        <v>108</v>
      </c>
      <c r="Z233" s="25"/>
      <c r="AA233" s="26" t="s">
        <v>108</v>
      </c>
      <c r="AB233" s="25"/>
      <c r="AC233" s="26" t="s">
        <v>108</v>
      </c>
      <c r="AD233" s="10"/>
      <c r="AE233" s="26" t="s">
        <v>108</v>
      </c>
      <c r="AF233" s="47" t="str">
        <f t="shared" ref="AF233:AF268" si="31">IF(AND(O233="",Q233="",S233="",U233="",W233="",Y233="",AA233="",AC233=""),"",IF(OR(AND(O233&lt;&gt;"NA",O233&lt;&gt;"C",O233&lt;&gt;"NC",O233&lt;&gt;"SF",O233&lt;&gt;""),AND(Q233&lt;&gt;"NA",Q233&lt;&gt;"C",Q233&lt;&gt;"NC",Q233&lt;&gt;"SF",Q233&lt;&gt;""),AND(S233&lt;&gt;"NA",S233&lt;&gt;"C",S233&lt;&gt;"NC",S233&lt;&gt;"SF",S233&lt;&gt;""),AND(U233&lt;&gt;"NA",U233&lt;&gt;"C",U233&lt;&gt;"NC",U233&lt;&gt;"SF",U233&lt;&gt;""),AND(W233&lt;&gt;"NA",W233&lt;&gt;"C",W233&lt;&gt;"NC",W233&lt;&gt;"SF",W233&lt;&gt;""),AND(Y233&lt;&gt;"NA",Y233&lt;&gt;"C",Y233&lt;&gt;"NC",Y233&lt;&gt;"SF",Y233&lt;&gt;""),AND(AA233&lt;&gt;"NA",AA233&lt;&gt;"C",AA233&lt;&gt;"NC",AA233&lt;&gt;"SF",AA233&lt;&gt;""),AND(AC233&lt;&gt;"NA",AC233&lt;&gt;"C",AC233&lt;&gt;"NC",AC233&lt;&gt;"SF",AC233&lt;&gt;"")),"FALSO",IF(AND(O233="NA",Q233="NA",S233="NA",U233="NA",W233="NA",Y233="NA",AA233="NA",AC233="NA"),"NA",IF(OR(O233="NC",Q233="NC",S233="NC",U233="NC",W233="NC",Y233="NC",AA233="NC",AC233="NC",O233="SF",Q233="SF",S233="SF",U233="SF",W233="SF",Y233="SF",AA233="SF",AC233="SF"),"NC",IF(OR(O233="C",Q233="C",S233="C",U233="C",W233="C",Y233="C",AA233="C",AC233="C"),"C","")))))</f>
        <v>C</v>
      </c>
      <c r="AG233" s="8" t="str">
        <f t="shared" si="30"/>
        <v>UTILIZOU O PDA CORRETAMENTE</v>
      </c>
      <c r="AH233" s="26" t="s">
        <v>108</v>
      </c>
      <c r="AI233" s="66" t="s">
        <v>1</v>
      </c>
      <c r="AJ233" s="22" t="str">
        <f t="shared" ref="AJ233:AJ268" si="32">E233</f>
        <v>GUARULHOS</v>
      </c>
      <c r="AK233" s="69" t="s">
        <v>4</v>
      </c>
    </row>
    <row r="234" spans="1:37" ht="30" customHeight="1" x14ac:dyDescent="0.2">
      <c r="A234" s="83" t="s">
        <v>101</v>
      </c>
      <c r="B234" s="83">
        <v>2615533667</v>
      </c>
      <c r="C234" s="83" t="s">
        <v>40</v>
      </c>
      <c r="D234" s="83" t="s">
        <v>25</v>
      </c>
      <c r="E234" s="83" t="s">
        <v>102</v>
      </c>
      <c r="F234" s="83" t="s">
        <v>244</v>
      </c>
      <c r="G234" s="83">
        <v>418</v>
      </c>
      <c r="H234" s="83" t="s">
        <v>284</v>
      </c>
      <c r="I234" s="83" t="s">
        <v>245</v>
      </c>
      <c r="J234" s="83" t="s">
        <v>40</v>
      </c>
      <c r="K234" s="83" t="s">
        <v>905</v>
      </c>
      <c r="L234" s="83" t="s">
        <v>902</v>
      </c>
      <c r="M234" s="83" t="s">
        <v>906</v>
      </c>
      <c r="N234" s="83" t="s">
        <v>113</v>
      </c>
      <c r="O234" s="36" t="s">
        <v>108</v>
      </c>
      <c r="P234" s="18"/>
      <c r="Q234" s="28" t="s">
        <v>108</v>
      </c>
      <c r="R234" s="18"/>
      <c r="S234" s="28" t="s">
        <v>108</v>
      </c>
      <c r="T234" s="18"/>
      <c r="U234" s="28" t="s">
        <v>108</v>
      </c>
      <c r="V234" s="18"/>
      <c r="W234" s="28" t="s">
        <v>108</v>
      </c>
      <c r="X234" s="18"/>
      <c r="Y234" s="28" t="s">
        <v>14</v>
      </c>
      <c r="Z234" s="18"/>
      <c r="AA234" s="28" t="s">
        <v>114</v>
      </c>
      <c r="AB234" s="18" t="s">
        <v>455</v>
      </c>
      <c r="AC234" s="28" t="s">
        <v>108</v>
      </c>
      <c r="AD234" s="18"/>
      <c r="AE234" s="28" t="s">
        <v>108</v>
      </c>
      <c r="AF234" s="47" t="str">
        <f t="shared" si="31"/>
        <v>NC</v>
      </c>
      <c r="AG234" s="8" t="str">
        <f t="shared" si="30"/>
        <v>UTILIZOU O PDA CORRETAMENTE. NÃO HÁ FOTOS DE TODAS AS ETAPAS</v>
      </c>
      <c r="AH234" s="28" t="s">
        <v>108</v>
      </c>
      <c r="AI234" s="66" t="s">
        <v>1</v>
      </c>
      <c r="AJ234" s="22" t="str">
        <f t="shared" si="32"/>
        <v>GUARULHOS</v>
      </c>
      <c r="AK234" s="69" t="s">
        <v>4</v>
      </c>
    </row>
    <row r="235" spans="1:37" ht="30" customHeight="1" x14ac:dyDescent="0.2">
      <c r="A235" s="83" t="s">
        <v>101</v>
      </c>
      <c r="B235" s="83">
        <v>2615533717</v>
      </c>
      <c r="C235" s="83" t="s">
        <v>42</v>
      </c>
      <c r="D235" s="83" t="s">
        <v>25</v>
      </c>
      <c r="E235" s="83" t="s">
        <v>102</v>
      </c>
      <c r="F235" s="83" t="s">
        <v>244</v>
      </c>
      <c r="G235" s="83">
        <v>418</v>
      </c>
      <c r="H235" s="83" t="s">
        <v>907</v>
      </c>
      <c r="I235" s="83" t="s">
        <v>245</v>
      </c>
      <c r="J235" s="83" t="s">
        <v>42</v>
      </c>
      <c r="K235" s="83">
        <v>2615533667</v>
      </c>
      <c r="L235" s="83" t="s">
        <v>902</v>
      </c>
      <c r="M235" s="83" t="s">
        <v>908</v>
      </c>
      <c r="N235" s="83" t="s">
        <v>113</v>
      </c>
      <c r="O235" s="36" t="s">
        <v>108</v>
      </c>
      <c r="P235" s="18"/>
      <c r="Q235" s="28" t="s">
        <v>108</v>
      </c>
      <c r="R235" s="18"/>
      <c r="S235" s="28" t="s">
        <v>108</v>
      </c>
      <c r="T235" s="18"/>
      <c r="U235" s="28" t="s">
        <v>108</v>
      </c>
      <c r="V235" s="18"/>
      <c r="W235" s="28" t="s">
        <v>108</v>
      </c>
      <c r="X235" s="18"/>
      <c r="Y235" s="28" t="s">
        <v>14</v>
      </c>
      <c r="Z235" s="18"/>
      <c r="AA235" s="28" t="s">
        <v>114</v>
      </c>
      <c r="AB235" s="18" t="s">
        <v>455</v>
      </c>
      <c r="AC235" s="28" t="s">
        <v>108</v>
      </c>
      <c r="AD235" s="18"/>
      <c r="AE235" s="28" t="s">
        <v>108</v>
      </c>
      <c r="AF235" s="47" t="str">
        <f t="shared" si="31"/>
        <v>NC</v>
      </c>
      <c r="AG235" s="8" t="str">
        <f t="shared" si="30"/>
        <v>UTILIZOU O PDA CORRETAMENTE. NÃO HÁ FOTOS DE TODAS AS ETAPAS</v>
      </c>
      <c r="AH235" s="28" t="s">
        <v>108</v>
      </c>
      <c r="AI235" s="66" t="s">
        <v>1</v>
      </c>
      <c r="AJ235" s="22" t="str">
        <f t="shared" si="32"/>
        <v>GUARULHOS</v>
      </c>
      <c r="AK235" s="69" t="s">
        <v>4</v>
      </c>
    </row>
    <row r="236" spans="1:37" ht="30" customHeight="1" x14ac:dyDescent="0.2">
      <c r="A236" s="83" t="s">
        <v>101</v>
      </c>
      <c r="B236" s="83">
        <v>2615533715</v>
      </c>
      <c r="C236" s="83" t="s">
        <v>42</v>
      </c>
      <c r="D236" s="83" t="s">
        <v>25</v>
      </c>
      <c r="E236" s="83" t="s">
        <v>102</v>
      </c>
      <c r="F236" s="83" t="s">
        <v>244</v>
      </c>
      <c r="G236" s="83">
        <v>418</v>
      </c>
      <c r="H236" s="83" t="s">
        <v>286</v>
      </c>
      <c r="I236" s="83" t="s">
        <v>245</v>
      </c>
      <c r="J236" s="83" t="s">
        <v>42</v>
      </c>
      <c r="K236" s="83">
        <v>2615533667</v>
      </c>
      <c r="L236" s="83" t="s">
        <v>902</v>
      </c>
      <c r="M236" s="83" t="s">
        <v>909</v>
      </c>
      <c r="N236" s="83" t="s">
        <v>113</v>
      </c>
      <c r="O236" s="36" t="s">
        <v>108</v>
      </c>
      <c r="P236" s="18"/>
      <c r="Q236" s="28" t="s">
        <v>108</v>
      </c>
      <c r="R236" s="18"/>
      <c r="S236" s="28" t="s">
        <v>108</v>
      </c>
      <c r="T236" s="18"/>
      <c r="U236" s="28" t="s">
        <v>108</v>
      </c>
      <c r="V236" s="18"/>
      <c r="W236" s="28" t="s">
        <v>108</v>
      </c>
      <c r="X236" s="18"/>
      <c r="Y236" s="28" t="s">
        <v>14</v>
      </c>
      <c r="Z236" s="18"/>
      <c r="AA236" s="28" t="s">
        <v>114</v>
      </c>
      <c r="AB236" s="18" t="s">
        <v>455</v>
      </c>
      <c r="AC236" s="28" t="s">
        <v>108</v>
      </c>
      <c r="AD236" s="18"/>
      <c r="AE236" s="28" t="s">
        <v>108</v>
      </c>
      <c r="AF236" s="47" t="str">
        <f t="shared" si="31"/>
        <v>NC</v>
      </c>
      <c r="AG236" s="8" t="str">
        <f t="shared" si="30"/>
        <v>UTILIZOU O PDA CORRETAMENTE. NÃO HÁ FOTOS DE TODAS AS ETAPAS</v>
      </c>
      <c r="AH236" s="28" t="s">
        <v>108</v>
      </c>
      <c r="AI236" s="66" t="s">
        <v>1</v>
      </c>
      <c r="AJ236" s="22" t="str">
        <f t="shared" si="32"/>
        <v>GUARULHOS</v>
      </c>
      <c r="AK236" s="69" t="s">
        <v>4</v>
      </c>
    </row>
    <row r="237" spans="1:37" ht="30" customHeight="1" x14ac:dyDescent="0.2">
      <c r="A237" s="83" t="s">
        <v>101</v>
      </c>
      <c r="B237" s="83">
        <v>2615533668</v>
      </c>
      <c r="C237" s="83" t="s">
        <v>42</v>
      </c>
      <c r="D237" s="83" t="s">
        <v>25</v>
      </c>
      <c r="E237" s="83" t="s">
        <v>102</v>
      </c>
      <c r="F237" s="83" t="s">
        <v>244</v>
      </c>
      <c r="G237" s="83">
        <v>418</v>
      </c>
      <c r="H237" s="83" t="s">
        <v>288</v>
      </c>
      <c r="I237" s="83" t="s">
        <v>245</v>
      </c>
      <c r="J237" s="83" t="s">
        <v>42</v>
      </c>
      <c r="K237" s="83">
        <v>2615533667</v>
      </c>
      <c r="L237" s="83" t="s">
        <v>902</v>
      </c>
      <c r="M237" s="83" t="s">
        <v>910</v>
      </c>
      <c r="N237" s="83" t="s">
        <v>113</v>
      </c>
      <c r="O237" s="36" t="s">
        <v>108</v>
      </c>
      <c r="P237" s="18"/>
      <c r="Q237" s="28" t="s">
        <v>108</v>
      </c>
      <c r="R237" s="18"/>
      <c r="S237" s="28" t="s">
        <v>108</v>
      </c>
      <c r="T237" s="18"/>
      <c r="U237" s="28" t="s">
        <v>108</v>
      </c>
      <c r="V237" s="18"/>
      <c r="W237" s="28" t="s">
        <v>108</v>
      </c>
      <c r="X237" s="18"/>
      <c r="Y237" s="28" t="s">
        <v>14</v>
      </c>
      <c r="Z237" s="18"/>
      <c r="AA237" s="28" t="s">
        <v>114</v>
      </c>
      <c r="AB237" s="18" t="s">
        <v>455</v>
      </c>
      <c r="AC237" s="28" t="s">
        <v>108</v>
      </c>
      <c r="AD237" s="18"/>
      <c r="AE237" s="28" t="s">
        <v>108</v>
      </c>
      <c r="AF237" s="47" t="str">
        <f t="shared" si="31"/>
        <v>NC</v>
      </c>
      <c r="AG237" s="8" t="str">
        <f t="shared" si="30"/>
        <v>UTILIZOU O PDA CORRETAMENTE. NÃO HÁ FOTOS DE TODAS AS ETAPAS</v>
      </c>
      <c r="AH237" s="28" t="s">
        <v>108</v>
      </c>
      <c r="AI237" s="66" t="s">
        <v>1</v>
      </c>
      <c r="AJ237" s="22" t="str">
        <f t="shared" si="32"/>
        <v>GUARULHOS</v>
      </c>
      <c r="AK237" s="69" t="s">
        <v>4</v>
      </c>
    </row>
    <row r="238" spans="1:37" ht="30" customHeight="1" x14ac:dyDescent="0.2">
      <c r="A238" s="83" t="s">
        <v>101</v>
      </c>
      <c r="B238" s="83">
        <v>2615537591</v>
      </c>
      <c r="C238" s="83" t="s">
        <v>39</v>
      </c>
      <c r="D238" s="83" t="s">
        <v>25</v>
      </c>
      <c r="E238" s="83" t="s">
        <v>102</v>
      </c>
      <c r="F238" s="83" t="s">
        <v>911</v>
      </c>
      <c r="G238" s="83">
        <v>87</v>
      </c>
      <c r="H238" s="83" t="s">
        <v>912</v>
      </c>
      <c r="I238" s="83" t="s">
        <v>104</v>
      </c>
      <c r="J238" s="83" t="s">
        <v>39</v>
      </c>
      <c r="K238" s="83" t="s">
        <v>913</v>
      </c>
      <c r="L238" s="83" t="s">
        <v>902</v>
      </c>
      <c r="M238" s="83" t="s">
        <v>914</v>
      </c>
      <c r="N238" s="83" t="s">
        <v>107</v>
      </c>
      <c r="O238" s="36" t="s">
        <v>108</v>
      </c>
      <c r="P238" s="18"/>
      <c r="Q238" s="28" t="s">
        <v>14</v>
      </c>
      <c r="R238" s="18"/>
      <c r="S238" s="28" t="s">
        <v>14</v>
      </c>
      <c r="T238" s="18"/>
      <c r="U238" s="28" t="s">
        <v>14</v>
      </c>
      <c r="V238" s="18"/>
      <c r="W238" s="28" t="s">
        <v>14</v>
      </c>
      <c r="X238" s="18"/>
      <c r="Y238" s="28" t="s">
        <v>14</v>
      </c>
      <c r="Z238" s="18"/>
      <c r="AA238" s="28" t="s">
        <v>108</v>
      </c>
      <c r="AB238" s="18"/>
      <c r="AC238" s="28" t="s">
        <v>108</v>
      </c>
      <c r="AD238" s="18"/>
      <c r="AE238" s="28" t="s">
        <v>108</v>
      </c>
      <c r="AF238" s="47" t="str">
        <f t="shared" si="31"/>
        <v>C</v>
      </c>
      <c r="AG238" s="8" t="str">
        <f t="shared" si="30"/>
        <v>UTILIZOU O PDA CORRETAMENTE</v>
      </c>
      <c r="AH238" s="28" t="s">
        <v>108</v>
      </c>
      <c r="AI238" s="66" t="s">
        <v>1</v>
      </c>
      <c r="AJ238" s="22" t="str">
        <f t="shared" si="32"/>
        <v>GUARULHOS</v>
      </c>
      <c r="AK238" s="69" t="s">
        <v>4</v>
      </c>
    </row>
    <row r="239" spans="1:37" ht="30" customHeight="1" x14ac:dyDescent="0.2">
      <c r="A239" s="83" t="s">
        <v>101</v>
      </c>
      <c r="B239" s="83">
        <v>2615535578</v>
      </c>
      <c r="C239" s="83" t="s">
        <v>42</v>
      </c>
      <c r="D239" s="83" t="s">
        <v>25</v>
      </c>
      <c r="E239" s="83" t="s">
        <v>102</v>
      </c>
      <c r="F239" s="83" t="s">
        <v>916</v>
      </c>
      <c r="G239" s="83">
        <v>1529</v>
      </c>
      <c r="H239" s="83" t="s">
        <v>115</v>
      </c>
      <c r="I239" s="83" t="s">
        <v>104</v>
      </c>
      <c r="J239" s="83" t="s">
        <v>42</v>
      </c>
      <c r="K239" s="83"/>
      <c r="L239" s="83" t="s">
        <v>902</v>
      </c>
      <c r="M239" s="83" t="s">
        <v>918</v>
      </c>
      <c r="N239" s="83" t="s">
        <v>107</v>
      </c>
      <c r="O239" s="36" t="s">
        <v>108</v>
      </c>
      <c r="P239" s="18"/>
      <c r="Q239" s="28" t="s">
        <v>108</v>
      </c>
      <c r="R239" s="18"/>
      <c r="S239" s="28" t="s">
        <v>108</v>
      </c>
      <c r="T239" s="18"/>
      <c r="U239" s="28" t="s">
        <v>108</v>
      </c>
      <c r="V239" s="18"/>
      <c r="W239" s="28" t="s">
        <v>108</v>
      </c>
      <c r="X239" s="18"/>
      <c r="Y239" s="28" t="s">
        <v>108</v>
      </c>
      <c r="Z239" s="18"/>
      <c r="AA239" s="28" t="s">
        <v>108</v>
      </c>
      <c r="AB239" s="18"/>
      <c r="AC239" s="28" t="s">
        <v>108</v>
      </c>
      <c r="AD239" s="18"/>
      <c r="AE239" s="28" t="s">
        <v>108</v>
      </c>
      <c r="AF239" s="47" t="str">
        <f t="shared" si="31"/>
        <v>C</v>
      </c>
      <c r="AG239" s="8" t="str">
        <f t="shared" si="30"/>
        <v>UTILIZOU O PDA CORRETAMENTE</v>
      </c>
      <c r="AH239" s="28"/>
      <c r="AI239" s="66" t="s">
        <v>1</v>
      </c>
      <c r="AJ239" s="22" t="str">
        <f t="shared" si="32"/>
        <v>GUARULHOS</v>
      </c>
      <c r="AK239" s="69" t="s">
        <v>4</v>
      </c>
    </row>
    <row r="240" spans="1:37" ht="30" customHeight="1" x14ac:dyDescent="0.2">
      <c r="A240" s="83" t="s">
        <v>101</v>
      </c>
      <c r="B240" s="83">
        <v>2615522079</v>
      </c>
      <c r="C240" s="83" t="s">
        <v>41</v>
      </c>
      <c r="D240" s="83" t="s">
        <v>25</v>
      </c>
      <c r="E240" s="83" t="s">
        <v>102</v>
      </c>
      <c r="F240" s="83" t="s">
        <v>915</v>
      </c>
      <c r="G240" s="83">
        <v>337</v>
      </c>
      <c r="H240" s="83" t="s">
        <v>919</v>
      </c>
      <c r="I240" s="83" t="s">
        <v>204</v>
      </c>
      <c r="J240" s="83" t="s">
        <v>41</v>
      </c>
      <c r="K240" s="83" t="s">
        <v>920</v>
      </c>
      <c r="L240" s="83" t="s">
        <v>902</v>
      </c>
      <c r="M240" s="83" t="s">
        <v>921</v>
      </c>
      <c r="N240" s="83" t="s">
        <v>107</v>
      </c>
      <c r="O240" s="36" t="s">
        <v>108</v>
      </c>
      <c r="P240" s="18"/>
      <c r="Q240" s="28" t="s">
        <v>14</v>
      </c>
      <c r="R240" s="18"/>
      <c r="S240" s="28" t="s">
        <v>14</v>
      </c>
      <c r="T240" s="18"/>
      <c r="U240" s="28" t="s">
        <v>14</v>
      </c>
      <c r="V240" s="18"/>
      <c r="W240" s="28" t="s">
        <v>14</v>
      </c>
      <c r="X240" s="18"/>
      <c r="Y240" s="28" t="s">
        <v>14</v>
      </c>
      <c r="Z240" s="18"/>
      <c r="AA240" s="28" t="s">
        <v>108</v>
      </c>
      <c r="AB240" s="18"/>
      <c r="AC240" s="28" t="s">
        <v>108</v>
      </c>
      <c r="AD240" s="18"/>
      <c r="AE240" s="28" t="s">
        <v>108</v>
      </c>
      <c r="AF240" s="47" t="str">
        <f t="shared" si="31"/>
        <v>C</v>
      </c>
      <c r="AG240" s="8" t="str">
        <f t="shared" si="30"/>
        <v>UTILIZOU O PDA CORRETAMENTE</v>
      </c>
      <c r="AH240" s="28" t="s">
        <v>108</v>
      </c>
      <c r="AI240" s="66" t="s">
        <v>1</v>
      </c>
      <c r="AJ240" s="22" t="str">
        <f t="shared" si="32"/>
        <v>GUARULHOS</v>
      </c>
      <c r="AK240" s="69" t="s">
        <v>4</v>
      </c>
    </row>
    <row r="241" spans="1:37" ht="30" customHeight="1" x14ac:dyDescent="0.2">
      <c r="A241" s="83" t="s">
        <v>101</v>
      </c>
      <c r="B241" s="83">
        <v>2615522077</v>
      </c>
      <c r="C241" s="83" t="s">
        <v>41</v>
      </c>
      <c r="D241" s="83" t="s">
        <v>25</v>
      </c>
      <c r="E241" s="83" t="s">
        <v>102</v>
      </c>
      <c r="F241" s="83" t="s">
        <v>915</v>
      </c>
      <c r="G241" s="83">
        <v>337</v>
      </c>
      <c r="H241" s="83" t="s">
        <v>922</v>
      </c>
      <c r="I241" s="83" t="s">
        <v>204</v>
      </c>
      <c r="J241" s="83" t="s">
        <v>41</v>
      </c>
      <c r="K241" s="89" t="s">
        <v>923</v>
      </c>
      <c r="L241" s="83" t="s">
        <v>902</v>
      </c>
      <c r="M241" s="83" t="s">
        <v>924</v>
      </c>
      <c r="N241" s="83" t="s">
        <v>107</v>
      </c>
      <c r="O241" s="36" t="s">
        <v>108</v>
      </c>
      <c r="P241" s="18"/>
      <c r="Q241" s="28" t="s">
        <v>14</v>
      </c>
      <c r="R241" s="18"/>
      <c r="S241" s="28" t="s">
        <v>14</v>
      </c>
      <c r="T241" s="18"/>
      <c r="U241" s="28" t="s">
        <v>14</v>
      </c>
      <c r="V241" s="18"/>
      <c r="W241" s="28" t="s">
        <v>14</v>
      </c>
      <c r="X241" s="18"/>
      <c r="Y241" s="28" t="s">
        <v>14</v>
      </c>
      <c r="Z241" s="18"/>
      <c r="AA241" s="28" t="s">
        <v>108</v>
      </c>
      <c r="AB241" s="18"/>
      <c r="AC241" s="28" t="s">
        <v>108</v>
      </c>
      <c r="AD241" s="18"/>
      <c r="AE241" s="28" t="s">
        <v>108</v>
      </c>
      <c r="AF241" s="47" t="str">
        <f t="shared" si="31"/>
        <v>C</v>
      </c>
      <c r="AG241" s="8" t="str">
        <f t="shared" si="30"/>
        <v>UTILIZOU O PDA CORRETAMENTE</v>
      </c>
      <c r="AH241" s="28" t="s">
        <v>108</v>
      </c>
      <c r="AI241" s="66" t="s">
        <v>1</v>
      </c>
      <c r="AJ241" s="22" t="str">
        <f t="shared" si="32"/>
        <v>GUARULHOS</v>
      </c>
      <c r="AK241" s="69" t="s">
        <v>4</v>
      </c>
    </row>
    <row r="242" spans="1:37" ht="30" customHeight="1" x14ac:dyDescent="0.2">
      <c r="A242" s="83" t="s">
        <v>101</v>
      </c>
      <c r="B242" s="83">
        <v>2615537608</v>
      </c>
      <c r="C242" s="83" t="s">
        <v>39</v>
      </c>
      <c r="D242" s="83" t="s">
        <v>25</v>
      </c>
      <c r="E242" s="83" t="s">
        <v>102</v>
      </c>
      <c r="F242" s="83" t="s">
        <v>525</v>
      </c>
      <c r="G242" s="83">
        <v>357</v>
      </c>
      <c r="H242" s="83" t="s">
        <v>925</v>
      </c>
      <c r="I242" s="83" t="s">
        <v>204</v>
      </c>
      <c r="J242" s="83" t="s">
        <v>39</v>
      </c>
      <c r="K242" s="83" t="s">
        <v>117</v>
      </c>
      <c r="L242" s="83" t="s">
        <v>902</v>
      </c>
      <c r="M242" s="83" t="s">
        <v>926</v>
      </c>
      <c r="N242" s="83" t="s">
        <v>107</v>
      </c>
      <c r="O242" s="36" t="s">
        <v>108</v>
      </c>
      <c r="P242" s="18"/>
      <c r="Q242" s="28" t="s">
        <v>14</v>
      </c>
      <c r="R242" s="18"/>
      <c r="S242" s="28" t="s">
        <v>14</v>
      </c>
      <c r="T242" s="18"/>
      <c r="U242" s="28" t="s">
        <v>14</v>
      </c>
      <c r="V242" s="18"/>
      <c r="W242" s="28" t="s">
        <v>14</v>
      </c>
      <c r="X242" s="18"/>
      <c r="Y242" s="28" t="s">
        <v>14</v>
      </c>
      <c r="Z242" s="18"/>
      <c r="AA242" s="28" t="s">
        <v>108</v>
      </c>
      <c r="AB242" s="18"/>
      <c r="AC242" s="28" t="s">
        <v>108</v>
      </c>
      <c r="AD242" s="18"/>
      <c r="AE242" s="28" t="s">
        <v>108</v>
      </c>
      <c r="AF242" s="47" t="str">
        <f t="shared" si="31"/>
        <v>C</v>
      </c>
      <c r="AG242" s="8" t="str">
        <f t="shared" si="30"/>
        <v>UTILIZOU O PDA CORRETAMENTE</v>
      </c>
      <c r="AH242" s="28" t="s">
        <v>108</v>
      </c>
      <c r="AI242" s="66" t="s">
        <v>1</v>
      </c>
      <c r="AJ242" s="22" t="str">
        <f t="shared" si="32"/>
        <v>GUARULHOS</v>
      </c>
      <c r="AK242" s="69" t="s">
        <v>4</v>
      </c>
    </row>
    <row r="243" spans="1:37" ht="30" customHeight="1" x14ac:dyDescent="0.2">
      <c r="A243" s="83" t="s">
        <v>101</v>
      </c>
      <c r="B243" s="83">
        <v>2615537613</v>
      </c>
      <c r="C243" s="83" t="s">
        <v>41</v>
      </c>
      <c r="D243" s="83" t="s">
        <v>25</v>
      </c>
      <c r="E243" s="83" t="s">
        <v>102</v>
      </c>
      <c r="F243" s="83" t="s">
        <v>525</v>
      </c>
      <c r="G243" s="83">
        <v>357</v>
      </c>
      <c r="H243" s="83" t="s">
        <v>927</v>
      </c>
      <c r="I243" s="83" t="s">
        <v>204</v>
      </c>
      <c r="J243" s="83" t="s">
        <v>41</v>
      </c>
      <c r="K243" s="83" t="s">
        <v>928</v>
      </c>
      <c r="L243" s="83" t="s">
        <v>902</v>
      </c>
      <c r="M243" s="83" t="s">
        <v>929</v>
      </c>
      <c r="N243" s="83" t="s">
        <v>107</v>
      </c>
      <c r="O243" s="36" t="s">
        <v>108</v>
      </c>
      <c r="P243" s="18"/>
      <c r="Q243" s="28" t="s">
        <v>14</v>
      </c>
      <c r="R243" s="18"/>
      <c r="S243" s="28" t="s">
        <v>14</v>
      </c>
      <c r="T243" s="18"/>
      <c r="U243" s="28" t="s">
        <v>14</v>
      </c>
      <c r="V243" s="18"/>
      <c r="W243" s="28" t="s">
        <v>14</v>
      </c>
      <c r="X243" s="18"/>
      <c r="Y243" s="28" t="s">
        <v>14</v>
      </c>
      <c r="Z243" s="18"/>
      <c r="AA243" s="28" t="s">
        <v>108</v>
      </c>
      <c r="AB243" s="18"/>
      <c r="AC243" s="28" t="s">
        <v>108</v>
      </c>
      <c r="AD243" s="18"/>
      <c r="AE243" s="28" t="s">
        <v>108</v>
      </c>
      <c r="AF243" s="47" t="str">
        <f t="shared" si="31"/>
        <v>C</v>
      </c>
      <c r="AG243" s="8" t="str">
        <f t="shared" si="30"/>
        <v>UTILIZOU O PDA CORRETAMENTE</v>
      </c>
      <c r="AH243" s="28" t="s">
        <v>108</v>
      </c>
      <c r="AI243" s="66" t="s">
        <v>1</v>
      </c>
      <c r="AJ243" s="22" t="str">
        <f t="shared" si="32"/>
        <v>GUARULHOS</v>
      </c>
      <c r="AK243" s="69" t="s">
        <v>4</v>
      </c>
    </row>
    <row r="244" spans="1:37" ht="30" customHeight="1" x14ac:dyDescent="0.2">
      <c r="A244" s="83" t="s">
        <v>101</v>
      </c>
      <c r="B244" s="83">
        <v>2690743094</v>
      </c>
      <c r="C244" s="83" t="s">
        <v>47</v>
      </c>
      <c r="D244" s="83" t="s">
        <v>29</v>
      </c>
      <c r="E244" s="83" t="s">
        <v>102</v>
      </c>
      <c r="F244" s="83" t="s">
        <v>744</v>
      </c>
      <c r="G244" s="83">
        <v>87</v>
      </c>
      <c r="H244" s="83" t="s">
        <v>745</v>
      </c>
      <c r="I244" s="83" t="s">
        <v>352</v>
      </c>
      <c r="J244" s="83" t="s">
        <v>170</v>
      </c>
      <c r="K244" s="83"/>
      <c r="L244" s="83" t="s">
        <v>902</v>
      </c>
      <c r="M244" s="83" t="s">
        <v>926</v>
      </c>
      <c r="N244" s="83" t="s">
        <v>140</v>
      </c>
      <c r="O244" s="36" t="s">
        <v>108</v>
      </c>
      <c r="P244" s="18"/>
      <c r="Q244" s="28" t="s">
        <v>108</v>
      </c>
      <c r="R244" s="18"/>
      <c r="S244" s="28" t="s">
        <v>108</v>
      </c>
      <c r="T244" s="18"/>
      <c r="U244" s="28" t="s">
        <v>108</v>
      </c>
      <c r="V244" s="18"/>
      <c r="W244" s="28" t="s">
        <v>108</v>
      </c>
      <c r="X244" s="18"/>
      <c r="Y244" s="28" t="s">
        <v>14</v>
      </c>
      <c r="Z244" s="18"/>
      <c r="AA244" s="28" t="s">
        <v>108</v>
      </c>
      <c r="AB244" s="18"/>
      <c r="AC244" s="28" t="s">
        <v>108</v>
      </c>
      <c r="AD244" s="18"/>
      <c r="AE244" s="28" t="s">
        <v>108</v>
      </c>
      <c r="AF244" s="47" t="str">
        <f t="shared" si="31"/>
        <v>C</v>
      </c>
      <c r="AG244" s="8" t="str">
        <f t="shared" si="30"/>
        <v>UTILIZOU O PDA CORRETAMENTE</v>
      </c>
      <c r="AH244" s="26" t="s">
        <v>108</v>
      </c>
      <c r="AI244" s="66" t="s">
        <v>1</v>
      </c>
      <c r="AJ244" s="22" t="str">
        <f t="shared" si="32"/>
        <v>GUARULHOS</v>
      </c>
      <c r="AK244" s="69" t="s">
        <v>4</v>
      </c>
    </row>
    <row r="245" spans="1:37" ht="30" customHeight="1" x14ac:dyDescent="0.2">
      <c r="A245" s="83" t="s">
        <v>101</v>
      </c>
      <c r="B245" s="83">
        <v>2615936731</v>
      </c>
      <c r="C245" s="83" t="s">
        <v>50</v>
      </c>
      <c r="D245" s="83" t="s">
        <v>29</v>
      </c>
      <c r="E245" s="83" t="s">
        <v>102</v>
      </c>
      <c r="F245" s="83" t="s">
        <v>932</v>
      </c>
      <c r="G245" s="83">
        <v>4447</v>
      </c>
      <c r="H245" s="83" t="s">
        <v>933</v>
      </c>
      <c r="I245" s="83" t="s">
        <v>264</v>
      </c>
      <c r="J245" s="83" t="s">
        <v>130</v>
      </c>
      <c r="K245" s="83"/>
      <c r="L245" s="83" t="s">
        <v>902</v>
      </c>
      <c r="M245" s="83" t="s">
        <v>934</v>
      </c>
      <c r="N245" s="83" t="s">
        <v>231</v>
      </c>
      <c r="O245" s="36" t="s">
        <v>108</v>
      </c>
      <c r="P245" s="18"/>
      <c r="Q245" s="28" t="s">
        <v>108</v>
      </c>
      <c r="R245" s="18"/>
      <c r="S245" s="28" t="s">
        <v>108</v>
      </c>
      <c r="T245" s="18"/>
      <c r="U245" s="28" t="s">
        <v>108</v>
      </c>
      <c r="V245" s="18"/>
      <c r="W245" s="28" t="s">
        <v>108</v>
      </c>
      <c r="X245" s="18"/>
      <c r="Y245" s="28" t="s">
        <v>14</v>
      </c>
      <c r="Z245" s="18"/>
      <c r="AA245" s="28" t="s">
        <v>108</v>
      </c>
      <c r="AB245" s="18"/>
      <c r="AC245" s="28" t="s">
        <v>108</v>
      </c>
      <c r="AD245" s="18"/>
      <c r="AE245" s="28" t="s">
        <v>108</v>
      </c>
      <c r="AF245" s="47" t="str">
        <f t="shared" si="31"/>
        <v>C</v>
      </c>
      <c r="AG245" s="8" t="str">
        <f t="shared" si="30"/>
        <v>UTILIZOU O PDA CORRETAMENTE</v>
      </c>
      <c r="AH245" s="26" t="s">
        <v>108</v>
      </c>
      <c r="AI245" s="66" t="s">
        <v>1</v>
      </c>
      <c r="AJ245" s="22" t="str">
        <f t="shared" si="32"/>
        <v>GUARULHOS</v>
      </c>
      <c r="AK245" s="69" t="s">
        <v>4</v>
      </c>
    </row>
    <row r="246" spans="1:37" ht="30" customHeight="1" x14ac:dyDescent="0.2">
      <c r="A246" s="83" t="s">
        <v>101</v>
      </c>
      <c r="B246" s="83">
        <v>2690714986</v>
      </c>
      <c r="C246" s="83" t="s">
        <v>47</v>
      </c>
      <c r="D246" s="83" t="s">
        <v>29</v>
      </c>
      <c r="E246" s="83" t="s">
        <v>102</v>
      </c>
      <c r="F246" s="83" t="s">
        <v>935</v>
      </c>
      <c r="G246" s="83">
        <v>853</v>
      </c>
      <c r="H246" s="83" t="s">
        <v>936</v>
      </c>
      <c r="I246" s="83" t="s">
        <v>459</v>
      </c>
      <c r="J246" s="83" t="s">
        <v>170</v>
      </c>
      <c r="K246" s="83"/>
      <c r="L246" s="83" t="s">
        <v>902</v>
      </c>
      <c r="M246" s="83" t="s">
        <v>937</v>
      </c>
      <c r="N246" s="83" t="s">
        <v>151</v>
      </c>
      <c r="O246" s="36" t="s">
        <v>108</v>
      </c>
      <c r="P246" s="18"/>
      <c r="Q246" s="28" t="s">
        <v>108</v>
      </c>
      <c r="R246" s="18"/>
      <c r="S246" s="28" t="s">
        <v>108</v>
      </c>
      <c r="T246" s="18"/>
      <c r="U246" s="28" t="s">
        <v>108</v>
      </c>
      <c r="V246" s="18"/>
      <c r="W246" s="28" t="s">
        <v>108</v>
      </c>
      <c r="X246" s="18"/>
      <c r="Y246" s="28" t="s">
        <v>14</v>
      </c>
      <c r="Z246" s="18"/>
      <c r="AA246" s="28" t="s">
        <v>108</v>
      </c>
      <c r="AB246" s="18"/>
      <c r="AC246" s="28" t="s">
        <v>108</v>
      </c>
      <c r="AD246" s="18"/>
      <c r="AE246" s="28" t="s">
        <v>108</v>
      </c>
      <c r="AF246" s="47" t="str">
        <f t="shared" si="31"/>
        <v>C</v>
      </c>
      <c r="AG246" s="8" t="str">
        <f t="shared" si="30"/>
        <v>UTILIZOU O PDA CORRETAMENTE</v>
      </c>
      <c r="AH246" s="26" t="s">
        <v>108</v>
      </c>
      <c r="AI246" s="66" t="s">
        <v>1</v>
      </c>
      <c r="AJ246" s="22" t="str">
        <f t="shared" si="32"/>
        <v>GUARULHOS</v>
      </c>
      <c r="AK246" s="69" t="s">
        <v>4</v>
      </c>
    </row>
    <row r="247" spans="1:37" ht="30" customHeight="1" x14ac:dyDescent="0.2">
      <c r="A247" s="83" t="s">
        <v>101</v>
      </c>
      <c r="B247" s="83">
        <v>2690702461</v>
      </c>
      <c r="C247" s="83" t="s">
        <v>47</v>
      </c>
      <c r="D247" s="83" t="s">
        <v>29</v>
      </c>
      <c r="E247" s="83" t="s">
        <v>102</v>
      </c>
      <c r="F247" s="83" t="s">
        <v>939</v>
      </c>
      <c r="G247" s="83">
        <v>146</v>
      </c>
      <c r="H247" s="83"/>
      <c r="I247" s="83" t="s">
        <v>940</v>
      </c>
      <c r="J247" s="83" t="s">
        <v>170</v>
      </c>
      <c r="K247" s="83"/>
      <c r="L247" s="83" t="s">
        <v>902</v>
      </c>
      <c r="M247" s="83" t="s">
        <v>941</v>
      </c>
      <c r="N247" s="83" t="s">
        <v>131</v>
      </c>
      <c r="O247" s="36" t="s">
        <v>108</v>
      </c>
      <c r="P247" s="18"/>
      <c r="Q247" s="28" t="s">
        <v>108</v>
      </c>
      <c r="R247" s="18"/>
      <c r="S247" s="28" t="s">
        <v>108</v>
      </c>
      <c r="T247" s="18"/>
      <c r="U247" s="28" t="s">
        <v>108</v>
      </c>
      <c r="V247" s="18"/>
      <c r="W247" s="28" t="s">
        <v>108</v>
      </c>
      <c r="X247" s="18"/>
      <c r="Y247" s="28" t="s">
        <v>14</v>
      </c>
      <c r="Z247" s="18"/>
      <c r="AA247" s="28" t="s">
        <v>108</v>
      </c>
      <c r="AB247" s="18"/>
      <c r="AC247" s="28" t="s">
        <v>108</v>
      </c>
      <c r="AD247" s="18"/>
      <c r="AE247" s="28" t="s">
        <v>108</v>
      </c>
      <c r="AF247" s="47" t="str">
        <f t="shared" si="31"/>
        <v>C</v>
      </c>
      <c r="AG247" s="8" t="str">
        <f t="shared" si="30"/>
        <v>UTILIZOU O PDA CORRETAMENTE</v>
      </c>
      <c r="AH247" s="26" t="s">
        <v>108</v>
      </c>
      <c r="AI247" s="66" t="s">
        <v>1</v>
      </c>
      <c r="AJ247" s="22" t="str">
        <f t="shared" si="32"/>
        <v>GUARULHOS</v>
      </c>
      <c r="AK247" s="69" t="s">
        <v>4</v>
      </c>
    </row>
    <row r="248" spans="1:37" ht="30" customHeight="1" x14ac:dyDescent="0.2">
      <c r="A248" s="83" t="s">
        <v>101</v>
      </c>
      <c r="B248" s="83">
        <v>2615935230</v>
      </c>
      <c r="C248" s="83" t="s">
        <v>49</v>
      </c>
      <c r="D248" s="83" t="s">
        <v>29</v>
      </c>
      <c r="E248" s="83" t="s">
        <v>102</v>
      </c>
      <c r="F248" s="83" t="s">
        <v>882</v>
      </c>
      <c r="G248" s="83">
        <v>74</v>
      </c>
      <c r="H248" s="83" t="s">
        <v>942</v>
      </c>
      <c r="I248" s="83" t="s">
        <v>884</v>
      </c>
      <c r="J248" s="83" t="s">
        <v>176</v>
      </c>
      <c r="K248" s="83" t="s">
        <v>117</v>
      </c>
      <c r="L248" s="83" t="s">
        <v>902</v>
      </c>
      <c r="M248" s="83" t="s">
        <v>943</v>
      </c>
      <c r="N248" s="83" t="s">
        <v>144</v>
      </c>
      <c r="O248" s="36" t="s">
        <v>108</v>
      </c>
      <c r="P248" s="18"/>
      <c r="Q248" s="28" t="s">
        <v>108</v>
      </c>
      <c r="R248" s="18"/>
      <c r="S248" s="28" t="s">
        <v>108</v>
      </c>
      <c r="T248" s="18"/>
      <c r="U248" s="28" t="s">
        <v>108</v>
      </c>
      <c r="V248" s="18"/>
      <c r="W248" s="28" t="s">
        <v>108</v>
      </c>
      <c r="X248" s="18"/>
      <c r="Y248" s="28" t="s">
        <v>14</v>
      </c>
      <c r="Z248" s="18"/>
      <c r="AA248" s="28" t="s">
        <v>108</v>
      </c>
      <c r="AB248" s="18"/>
      <c r="AC248" s="28" t="s">
        <v>108</v>
      </c>
      <c r="AD248" s="18"/>
      <c r="AE248" s="28" t="s">
        <v>108</v>
      </c>
      <c r="AF248" s="47" t="str">
        <f t="shared" si="31"/>
        <v>C</v>
      </c>
      <c r="AG248" s="8" t="str">
        <f t="shared" si="30"/>
        <v>UTILIZOU O PDA CORRETAMENTE</v>
      </c>
      <c r="AH248" s="26" t="s">
        <v>108</v>
      </c>
      <c r="AI248" s="66" t="s">
        <v>1</v>
      </c>
      <c r="AJ248" s="22" t="str">
        <f t="shared" si="32"/>
        <v>GUARULHOS</v>
      </c>
      <c r="AK248" s="69" t="s">
        <v>4</v>
      </c>
    </row>
    <row r="249" spans="1:37" ht="30" customHeight="1" x14ac:dyDescent="0.2">
      <c r="A249" s="83" t="s">
        <v>101</v>
      </c>
      <c r="B249" s="83">
        <v>2615897570</v>
      </c>
      <c r="C249" s="83" t="s">
        <v>45</v>
      </c>
      <c r="D249" s="83" t="s">
        <v>27</v>
      </c>
      <c r="E249" s="83" t="s">
        <v>102</v>
      </c>
      <c r="F249" s="83" t="s">
        <v>133</v>
      </c>
      <c r="G249" s="83">
        <v>131</v>
      </c>
      <c r="H249" s="83" t="s">
        <v>187</v>
      </c>
      <c r="I249" s="83" t="s">
        <v>134</v>
      </c>
      <c r="J249" s="83" t="s">
        <v>150</v>
      </c>
      <c r="K249" s="83" t="s">
        <v>117</v>
      </c>
      <c r="L249" s="83" t="s">
        <v>902</v>
      </c>
      <c r="M249" s="83" t="s">
        <v>945</v>
      </c>
      <c r="N249" s="83" t="s">
        <v>163</v>
      </c>
      <c r="O249" s="35" t="s">
        <v>108</v>
      </c>
      <c r="P249" s="25"/>
      <c r="Q249" s="26" t="s">
        <v>108</v>
      </c>
      <c r="R249" s="25"/>
      <c r="S249" s="26" t="s">
        <v>108</v>
      </c>
      <c r="T249" s="25"/>
      <c r="U249" s="26" t="s">
        <v>108</v>
      </c>
      <c r="V249" s="25"/>
      <c r="W249" s="26" t="s">
        <v>108</v>
      </c>
      <c r="X249" s="25"/>
      <c r="Y249" s="26" t="s">
        <v>108</v>
      </c>
      <c r="Z249" s="25"/>
      <c r="AA249" s="26" t="s">
        <v>108</v>
      </c>
      <c r="AB249" s="25"/>
      <c r="AC249" s="26" t="s">
        <v>108</v>
      </c>
      <c r="AD249" s="10"/>
      <c r="AE249" s="26" t="s">
        <v>108</v>
      </c>
      <c r="AF249" s="47" t="str">
        <f t="shared" si="31"/>
        <v>C</v>
      </c>
      <c r="AG249" s="8" t="str">
        <f t="shared" si="30"/>
        <v>UTILIZOU O PDA CORRETAMENTE</v>
      </c>
      <c r="AH249" s="26" t="s">
        <v>108</v>
      </c>
      <c r="AI249" s="66" t="s">
        <v>1</v>
      </c>
      <c r="AJ249" s="22" t="str">
        <f t="shared" si="32"/>
        <v>GUARULHOS</v>
      </c>
      <c r="AK249" s="69" t="s">
        <v>4</v>
      </c>
    </row>
    <row r="250" spans="1:37" ht="30" customHeight="1" x14ac:dyDescent="0.2">
      <c r="A250" s="83" t="s">
        <v>101</v>
      </c>
      <c r="B250" s="83">
        <v>2615899471</v>
      </c>
      <c r="C250" s="83" t="s">
        <v>32</v>
      </c>
      <c r="D250" s="83" t="s">
        <v>28</v>
      </c>
      <c r="E250" s="83" t="s">
        <v>102</v>
      </c>
      <c r="F250" s="83" t="s">
        <v>555</v>
      </c>
      <c r="G250" s="83">
        <v>1307</v>
      </c>
      <c r="H250" s="83"/>
      <c r="I250" s="83" t="s">
        <v>301</v>
      </c>
      <c r="J250" s="83" t="s">
        <v>262</v>
      </c>
      <c r="K250" s="83" t="s">
        <v>946</v>
      </c>
      <c r="L250" s="83" t="s">
        <v>902</v>
      </c>
      <c r="M250" s="83" t="s">
        <v>947</v>
      </c>
      <c r="N250" s="83" t="s">
        <v>180</v>
      </c>
      <c r="O250" s="36" t="s">
        <v>14</v>
      </c>
      <c r="P250" s="18"/>
      <c r="Q250" s="28" t="s">
        <v>14</v>
      </c>
      <c r="R250" s="18"/>
      <c r="S250" s="28" t="s">
        <v>14</v>
      </c>
      <c r="T250" s="18"/>
      <c r="U250" s="28" t="s">
        <v>14</v>
      </c>
      <c r="V250" s="18"/>
      <c r="W250" s="28" t="s">
        <v>14</v>
      </c>
      <c r="X250" s="18"/>
      <c r="Y250" s="28" t="s">
        <v>14</v>
      </c>
      <c r="Z250" s="18"/>
      <c r="AA250" s="28" t="s">
        <v>14</v>
      </c>
      <c r="AB250" s="18"/>
      <c r="AC250" s="28" t="s">
        <v>14</v>
      </c>
      <c r="AD250" s="18"/>
      <c r="AE250" s="28" t="s">
        <v>14</v>
      </c>
      <c r="AF250" s="47" t="str">
        <f t="shared" si="31"/>
        <v>NA</v>
      </c>
      <c r="AG250" s="8" t="str">
        <f t="shared" si="30"/>
        <v>NÃO AVALIADO POR FALHA DE SINCRONISMO</v>
      </c>
      <c r="AH250" s="28" t="s">
        <v>108</v>
      </c>
      <c r="AI250" s="66" t="s">
        <v>1</v>
      </c>
      <c r="AJ250" s="22" t="str">
        <f t="shared" si="32"/>
        <v>GUARULHOS</v>
      </c>
      <c r="AK250" s="69" t="s">
        <v>4</v>
      </c>
    </row>
    <row r="251" spans="1:37" ht="30" customHeight="1" x14ac:dyDescent="0.2">
      <c r="A251" s="83" t="s">
        <v>101</v>
      </c>
      <c r="B251" s="83">
        <v>2615899174</v>
      </c>
      <c r="C251" s="83" t="s">
        <v>32</v>
      </c>
      <c r="D251" s="83" t="s">
        <v>28</v>
      </c>
      <c r="E251" s="83" t="s">
        <v>102</v>
      </c>
      <c r="F251" s="83" t="s">
        <v>633</v>
      </c>
      <c r="G251" s="83">
        <v>20</v>
      </c>
      <c r="H251" s="83" t="s">
        <v>117</v>
      </c>
      <c r="I251" s="83" t="s">
        <v>301</v>
      </c>
      <c r="J251" s="83" t="s">
        <v>262</v>
      </c>
      <c r="K251" s="83" t="s">
        <v>946</v>
      </c>
      <c r="L251" s="83" t="s">
        <v>902</v>
      </c>
      <c r="M251" s="83" t="s">
        <v>948</v>
      </c>
      <c r="N251" s="83" t="s">
        <v>180</v>
      </c>
      <c r="O251" s="36" t="s">
        <v>14</v>
      </c>
      <c r="P251" s="18"/>
      <c r="Q251" s="28" t="s">
        <v>14</v>
      </c>
      <c r="R251" s="18"/>
      <c r="S251" s="28" t="s">
        <v>14</v>
      </c>
      <c r="T251" s="18"/>
      <c r="U251" s="28" t="s">
        <v>14</v>
      </c>
      <c r="V251" s="18"/>
      <c r="W251" s="28" t="s">
        <v>14</v>
      </c>
      <c r="X251" s="18"/>
      <c r="Y251" s="28" t="s">
        <v>14</v>
      </c>
      <c r="Z251" s="18"/>
      <c r="AA251" s="28" t="s">
        <v>14</v>
      </c>
      <c r="AB251" s="18"/>
      <c r="AC251" s="28" t="s">
        <v>14</v>
      </c>
      <c r="AD251" s="18"/>
      <c r="AE251" s="28" t="s">
        <v>14</v>
      </c>
      <c r="AF251" s="47" t="str">
        <f t="shared" si="31"/>
        <v>NA</v>
      </c>
      <c r="AG251" s="8" t="str">
        <f t="shared" si="30"/>
        <v>NÃO AVALIADO POR FALHA DE SINCRONISMO</v>
      </c>
      <c r="AH251" s="28" t="s">
        <v>108</v>
      </c>
      <c r="AI251" s="66" t="s">
        <v>1</v>
      </c>
      <c r="AJ251" s="22" t="str">
        <f t="shared" si="32"/>
        <v>GUARULHOS</v>
      </c>
      <c r="AK251" s="69" t="s">
        <v>4</v>
      </c>
    </row>
    <row r="252" spans="1:37" ht="30" customHeight="1" x14ac:dyDescent="0.2">
      <c r="A252" s="83" t="s">
        <v>101</v>
      </c>
      <c r="B252" s="83">
        <v>2615899818</v>
      </c>
      <c r="C252" s="83" t="s">
        <v>508</v>
      </c>
      <c r="D252" s="83" t="s">
        <v>28</v>
      </c>
      <c r="E252" s="83" t="s">
        <v>102</v>
      </c>
      <c r="F252" s="83" t="s">
        <v>633</v>
      </c>
      <c r="G252" s="83">
        <v>20</v>
      </c>
      <c r="H252" s="83"/>
      <c r="I252" s="83" t="s">
        <v>301</v>
      </c>
      <c r="J252" s="83" t="s">
        <v>510</v>
      </c>
      <c r="K252" s="83" t="s">
        <v>946</v>
      </c>
      <c r="L252" s="83" t="s">
        <v>902</v>
      </c>
      <c r="M252" s="83" t="s">
        <v>949</v>
      </c>
      <c r="N252" s="83" t="s">
        <v>180</v>
      </c>
      <c r="O252" s="36" t="s">
        <v>108</v>
      </c>
      <c r="P252" s="18"/>
      <c r="Q252" s="28" t="s">
        <v>108</v>
      </c>
      <c r="R252" s="18"/>
      <c r="S252" s="28" t="s">
        <v>108</v>
      </c>
      <c r="T252" s="18"/>
      <c r="U252" s="28" t="s">
        <v>108</v>
      </c>
      <c r="V252" s="18"/>
      <c r="W252" s="28" t="s">
        <v>108</v>
      </c>
      <c r="X252" s="18"/>
      <c r="Y252" s="28" t="s">
        <v>108</v>
      </c>
      <c r="Z252" s="18"/>
      <c r="AA252" s="28" t="s">
        <v>108</v>
      </c>
      <c r="AB252" s="18"/>
      <c r="AC252" s="28" t="s">
        <v>108</v>
      </c>
      <c r="AD252" s="18"/>
      <c r="AE252" s="28" t="s">
        <v>108</v>
      </c>
      <c r="AF252" s="47" t="str">
        <f t="shared" si="31"/>
        <v>C</v>
      </c>
      <c r="AG252" s="8" t="str">
        <f t="shared" si="30"/>
        <v>UTILIZOU O PDA CORRETAMENTE</v>
      </c>
      <c r="AH252" s="28" t="s">
        <v>108</v>
      </c>
      <c r="AI252" s="66" t="s">
        <v>1</v>
      </c>
      <c r="AJ252" s="22" t="str">
        <f t="shared" si="32"/>
        <v>GUARULHOS</v>
      </c>
      <c r="AK252" s="69" t="s">
        <v>4</v>
      </c>
    </row>
    <row r="253" spans="1:37" ht="30" customHeight="1" x14ac:dyDescent="0.2">
      <c r="A253" s="83" t="s">
        <v>101</v>
      </c>
      <c r="B253" s="83">
        <v>2615935393</v>
      </c>
      <c r="C253" s="83" t="s">
        <v>49</v>
      </c>
      <c r="D253" s="83" t="s">
        <v>29</v>
      </c>
      <c r="E253" s="83" t="s">
        <v>102</v>
      </c>
      <c r="F253" s="83" t="s">
        <v>950</v>
      </c>
      <c r="G253" s="83">
        <v>250</v>
      </c>
      <c r="H253" s="83" t="s">
        <v>951</v>
      </c>
      <c r="I253" s="83" t="s">
        <v>158</v>
      </c>
      <c r="J253" s="83" t="s">
        <v>130</v>
      </c>
      <c r="K253" s="83" t="s">
        <v>117</v>
      </c>
      <c r="L253" s="83" t="s">
        <v>902</v>
      </c>
      <c r="M253" s="83" t="s">
        <v>952</v>
      </c>
      <c r="N253" s="83" t="s">
        <v>192</v>
      </c>
      <c r="O253" s="36" t="s">
        <v>108</v>
      </c>
      <c r="P253" s="18"/>
      <c r="Q253" s="28" t="s">
        <v>108</v>
      </c>
      <c r="R253" s="18"/>
      <c r="S253" s="28" t="s">
        <v>108</v>
      </c>
      <c r="T253" s="18"/>
      <c r="U253" s="28" t="s">
        <v>108</v>
      </c>
      <c r="V253" s="18"/>
      <c r="W253" s="28" t="s">
        <v>108</v>
      </c>
      <c r="X253" s="18"/>
      <c r="Y253" s="28" t="s">
        <v>14</v>
      </c>
      <c r="Z253" s="18"/>
      <c r="AA253" s="28" t="s">
        <v>108</v>
      </c>
      <c r="AB253" s="18"/>
      <c r="AC253" s="28" t="s">
        <v>108</v>
      </c>
      <c r="AD253" s="18"/>
      <c r="AE253" s="28" t="s">
        <v>108</v>
      </c>
      <c r="AF253" s="47" t="str">
        <f t="shared" si="31"/>
        <v>C</v>
      </c>
      <c r="AG253" s="8" t="str">
        <f t="shared" si="30"/>
        <v>UTILIZOU O PDA CORRETAMENTE</v>
      </c>
      <c r="AH253" s="26" t="s">
        <v>108</v>
      </c>
      <c r="AI253" s="66" t="s">
        <v>1</v>
      </c>
      <c r="AJ253" s="22" t="str">
        <f t="shared" si="32"/>
        <v>GUARULHOS</v>
      </c>
      <c r="AK253" s="69" t="s">
        <v>4</v>
      </c>
    </row>
    <row r="254" spans="1:37" ht="30" customHeight="1" x14ac:dyDescent="0.2">
      <c r="A254" s="83" t="s">
        <v>101</v>
      </c>
      <c r="B254" s="83">
        <v>2615934498</v>
      </c>
      <c r="C254" s="83" t="s">
        <v>508</v>
      </c>
      <c r="D254" s="83" t="s">
        <v>28</v>
      </c>
      <c r="E254" s="83" t="s">
        <v>102</v>
      </c>
      <c r="F254" s="83" t="s">
        <v>687</v>
      </c>
      <c r="G254" s="83">
        <v>108</v>
      </c>
      <c r="H254" s="83"/>
      <c r="I254" s="83" t="s">
        <v>688</v>
      </c>
      <c r="J254" s="83" t="s">
        <v>510</v>
      </c>
      <c r="K254" s="89" t="s">
        <v>953</v>
      </c>
      <c r="L254" s="83" t="s">
        <v>902</v>
      </c>
      <c r="M254" s="83" t="s">
        <v>954</v>
      </c>
      <c r="N254" s="83" t="s">
        <v>205</v>
      </c>
      <c r="O254" s="36" t="s">
        <v>14</v>
      </c>
      <c r="P254" s="18"/>
      <c r="Q254" s="28" t="s">
        <v>14</v>
      </c>
      <c r="R254" s="18"/>
      <c r="S254" s="28" t="s">
        <v>14</v>
      </c>
      <c r="T254" s="18"/>
      <c r="U254" s="28" t="s">
        <v>14</v>
      </c>
      <c r="V254" s="18"/>
      <c r="W254" s="28" t="s">
        <v>14</v>
      </c>
      <c r="X254" s="18"/>
      <c r="Y254" s="28" t="s">
        <v>14</v>
      </c>
      <c r="Z254" s="18"/>
      <c r="AA254" s="28" t="s">
        <v>14</v>
      </c>
      <c r="AB254" s="18"/>
      <c r="AC254" s="28" t="s">
        <v>14</v>
      </c>
      <c r="AD254" s="18"/>
      <c r="AE254" s="28" t="s">
        <v>14</v>
      </c>
      <c r="AF254" s="47" t="str">
        <f t="shared" si="31"/>
        <v>NA</v>
      </c>
      <c r="AG254" s="8" t="s">
        <v>200</v>
      </c>
      <c r="AH254" s="28" t="s">
        <v>108</v>
      </c>
      <c r="AI254" s="66" t="s">
        <v>1</v>
      </c>
      <c r="AJ254" s="22" t="str">
        <f t="shared" si="32"/>
        <v>GUARULHOS</v>
      </c>
      <c r="AK254" s="69" t="s">
        <v>4</v>
      </c>
    </row>
    <row r="255" spans="1:37" ht="30" customHeight="1" x14ac:dyDescent="0.2">
      <c r="A255" s="83" t="s">
        <v>101</v>
      </c>
      <c r="B255" s="83">
        <v>2615934669</v>
      </c>
      <c r="C255" s="83" t="s">
        <v>32</v>
      </c>
      <c r="D255" s="83" t="s">
        <v>28</v>
      </c>
      <c r="E255" s="83" t="s">
        <v>102</v>
      </c>
      <c r="F255" s="83" t="s">
        <v>955</v>
      </c>
      <c r="G255" s="83">
        <v>164</v>
      </c>
      <c r="H255" s="83" t="s">
        <v>117</v>
      </c>
      <c r="I255" s="83" t="s">
        <v>688</v>
      </c>
      <c r="J255" s="83" t="s">
        <v>262</v>
      </c>
      <c r="K255" s="83" t="s">
        <v>956</v>
      </c>
      <c r="L255" s="83" t="s">
        <v>902</v>
      </c>
      <c r="M255" s="83" t="s">
        <v>957</v>
      </c>
      <c r="N255" s="83" t="s">
        <v>205</v>
      </c>
      <c r="O255" s="36" t="s">
        <v>14</v>
      </c>
      <c r="P255" s="18"/>
      <c r="Q255" s="28" t="s">
        <v>14</v>
      </c>
      <c r="R255" s="18"/>
      <c r="S255" s="28" t="s">
        <v>14</v>
      </c>
      <c r="T255" s="18"/>
      <c r="U255" s="28" t="s">
        <v>14</v>
      </c>
      <c r="V255" s="18"/>
      <c r="W255" s="28" t="s">
        <v>14</v>
      </c>
      <c r="X255" s="18"/>
      <c r="Y255" s="28" t="s">
        <v>14</v>
      </c>
      <c r="Z255" s="18"/>
      <c r="AA255" s="28" t="s">
        <v>14</v>
      </c>
      <c r="AB255" s="18"/>
      <c r="AC255" s="28" t="s">
        <v>14</v>
      </c>
      <c r="AD255" s="18"/>
      <c r="AE255" s="28" t="s">
        <v>14</v>
      </c>
      <c r="AF255" s="47" t="str">
        <f t="shared" si="31"/>
        <v>NA</v>
      </c>
      <c r="AG255" s="8" t="str">
        <f>IF(AND(AE255="C",AF255="C"),"UTILIZOU O PDA CORRETAMENTE",IF(AND(AE255="C",AF255="NC"),"UTILIZOU O PDA CORRETAMENTE. NÃO HÁ FOTOS DE TODAS AS ETAPAS",IF(AND(AE255="NC",AF255="NC"),"NÃO UTILIZOU O PDA",IF(AND(AE255="NA",AF255="NA"),"NÃO AVALIADO POR FALHA DE SINCRONISMO"))))</f>
        <v>NÃO AVALIADO POR FALHA DE SINCRONISMO</v>
      </c>
      <c r="AH255" s="28" t="s">
        <v>108</v>
      </c>
      <c r="AI255" s="66" t="s">
        <v>1</v>
      </c>
      <c r="AJ255" s="22" t="str">
        <f t="shared" si="32"/>
        <v>GUARULHOS</v>
      </c>
      <c r="AK255" s="69" t="s">
        <v>4</v>
      </c>
    </row>
    <row r="256" spans="1:37" ht="30" customHeight="1" x14ac:dyDescent="0.2">
      <c r="A256" s="83" t="s">
        <v>101</v>
      </c>
      <c r="B256" s="83">
        <v>2615880318</v>
      </c>
      <c r="C256" s="83" t="s">
        <v>508</v>
      </c>
      <c r="D256" s="83" t="s">
        <v>28</v>
      </c>
      <c r="E256" s="83" t="s">
        <v>102</v>
      </c>
      <c r="F256" s="83" t="s">
        <v>958</v>
      </c>
      <c r="G256" s="83">
        <v>15</v>
      </c>
      <c r="H256" s="83"/>
      <c r="I256" s="83" t="s">
        <v>104</v>
      </c>
      <c r="J256" s="83" t="s">
        <v>510</v>
      </c>
      <c r="K256" s="89" t="s">
        <v>959</v>
      </c>
      <c r="L256" s="83" t="s">
        <v>902</v>
      </c>
      <c r="M256" s="83" t="s">
        <v>960</v>
      </c>
      <c r="N256" s="83" t="s">
        <v>205</v>
      </c>
      <c r="O256" s="36" t="s">
        <v>14</v>
      </c>
      <c r="P256" s="18"/>
      <c r="Q256" s="28" t="s">
        <v>14</v>
      </c>
      <c r="R256" s="18"/>
      <c r="S256" s="28" t="s">
        <v>14</v>
      </c>
      <c r="T256" s="18"/>
      <c r="U256" s="28" t="s">
        <v>14</v>
      </c>
      <c r="V256" s="18"/>
      <c r="W256" s="28" t="s">
        <v>14</v>
      </c>
      <c r="X256" s="18"/>
      <c r="Y256" s="28" t="s">
        <v>14</v>
      </c>
      <c r="Z256" s="18"/>
      <c r="AA256" s="28" t="s">
        <v>14</v>
      </c>
      <c r="AB256" s="18"/>
      <c r="AC256" s="28" t="s">
        <v>14</v>
      </c>
      <c r="AD256" s="18"/>
      <c r="AE256" s="28" t="s">
        <v>14</v>
      </c>
      <c r="AF256" s="47" t="str">
        <f t="shared" si="31"/>
        <v>NA</v>
      </c>
      <c r="AG256" s="8" t="s">
        <v>200</v>
      </c>
      <c r="AH256" s="28" t="s">
        <v>108</v>
      </c>
      <c r="AI256" s="66" t="s">
        <v>1</v>
      </c>
      <c r="AJ256" s="22" t="str">
        <f t="shared" si="32"/>
        <v>GUARULHOS</v>
      </c>
      <c r="AK256" s="69" t="s">
        <v>4</v>
      </c>
    </row>
    <row r="257" spans="1:37" ht="30" customHeight="1" x14ac:dyDescent="0.2">
      <c r="A257" s="83" t="s">
        <v>101</v>
      </c>
      <c r="B257" s="83">
        <v>2615933714</v>
      </c>
      <c r="C257" s="83" t="s">
        <v>32</v>
      </c>
      <c r="D257" s="83" t="s">
        <v>28</v>
      </c>
      <c r="E257" s="83" t="s">
        <v>102</v>
      </c>
      <c r="F257" s="83" t="s">
        <v>687</v>
      </c>
      <c r="G257" s="83">
        <v>108</v>
      </c>
      <c r="H257" s="83" t="s">
        <v>117</v>
      </c>
      <c r="I257" s="83" t="s">
        <v>688</v>
      </c>
      <c r="J257" s="83" t="s">
        <v>262</v>
      </c>
      <c r="K257" s="83" t="s">
        <v>117</v>
      </c>
      <c r="L257" s="83" t="s">
        <v>902</v>
      </c>
      <c r="M257" s="83" t="s">
        <v>961</v>
      </c>
      <c r="N257" s="83" t="s">
        <v>205</v>
      </c>
      <c r="O257" s="36" t="s">
        <v>14</v>
      </c>
      <c r="P257" s="18"/>
      <c r="Q257" s="28" t="s">
        <v>14</v>
      </c>
      <c r="R257" s="18"/>
      <c r="S257" s="28" t="s">
        <v>14</v>
      </c>
      <c r="T257" s="18"/>
      <c r="U257" s="28" t="s">
        <v>14</v>
      </c>
      <c r="V257" s="18"/>
      <c r="W257" s="28" t="s">
        <v>14</v>
      </c>
      <c r="X257" s="18"/>
      <c r="Y257" s="28" t="s">
        <v>14</v>
      </c>
      <c r="Z257" s="18"/>
      <c r="AA257" s="28" t="s">
        <v>14</v>
      </c>
      <c r="AB257" s="18"/>
      <c r="AC257" s="28" t="s">
        <v>14</v>
      </c>
      <c r="AD257" s="18"/>
      <c r="AE257" s="28" t="s">
        <v>14</v>
      </c>
      <c r="AF257" s="47" t="str">
        <f t="shared" si="31"/>
        <v>NA</v>
      </c>
      <c r="AG257" s="8" t="str">
        <f>IF(AND(AE257="C",AF257="C"),"UTILIZOU O PDA CORRETAMENTE",IF(AND(AE257="C",AF257="NC"),"UTILIZOU O PDA CORRETAMENTE. NÃO HÁ FOTOS DE TODAS AS ETAPAS",IF(AND(AE257="NC",AF257="NC"),"NÃO UTILIZOU O PDA",IF(AND(AE257="NA",AF257="NA"),"NÃO AVALIADO POR FALHA DE SINCRONISMO"))))</f>
        <v>NÃO AVALIADO POR FALHA DE SINCRONISMO</v>
      </c>
      <c r="AH257" s="28" t="s">
        <v>108</v>
      </c>
      <c r="AI257" s="66" t="s">
        <v>1</v>
      </c>
      <c r="AJ257" s="22" t="str">
        <f t="shared" si="32"/>
        <v>GUARULHOS</v>
      </c>
      <c r="AK257" s="69" t="s">
        <v>4</v>
      </c>
    </row>
    <row r="258" spans="1:37" ht="30" customHeight="1" x14ac:dyDescent="0.2">
      <c r="A258" s="83" t="s">
        <v>101</v>
      </c>
      <c r="B258" s="83">
        <v>2615935879</v>
      </c>
      <c r="C258" s="83" t="s">
        <v>32</v>
      </c>
      <c r="D258" s="83" t="s">
        <v>28</v>
      </c>
      <c r="E258" s="83" t="s">
        <v>102</v>
      </c>
      <c r="F258" s="83" t="s">
        <v>958</v>
      </c>
      <c r="G258" s="83">
        <v>15</v>
      </c>
      <c r="H258" s="83"/>
      <c r="I258" s="83" t="s">
        <v>104</v>
      </c>
      <c r="J258" s="83" t="s">
        <v>262</v>
      </c>
      <c r="K258" s="89" t="s">
        <v>962</v>
      </c>
      <c r="L258" s="83" t="s">
        <v>902</v>
      </c>
      <c r="M258" s="83" t="s">
        <v>963</v>
      </c>
      <c r="N258" s="83" t="s">
        <v>205</v>
      </c>
      <c r="O258" s="36" t="s">
        <v>14</v>
      </c>
      <c r="P258" s="18"/>
      <c r="Q258" s="28" t="s">
        <v>14</v>
      </c>
      <c r="R258" s="18"/>
      <c r="S258" s="28" t="s">
        <v>14</v>
      </c>
      <c r="T258" s="18"/>
      <c r="U258" s="28" t="s">
        <v>14</v>
      </c>
      <c r="V258" s="18"/>
      <c r="W258" s="28" t="s">
        <v>14</v>
      </c>
      <c r="X258" s="18"/>
      <c r="Y258" s="28" t="s">
        <v>14</v>
      </c>
      <c r="Z258" s="18"/>
      <c r="AA258" s="28" t="s">
        <v>14</v>
      </c>
      <c r="AB258" s="18"/>
      <c r="AC258" s="28" t="s">
        <v>14</v>
      </c>
      <c r="AD258" s="18"/>
      <c r="AE258" s="28" t="s">
        <v>14</v>
      </c>
      <c r="AF258" s="47" t="str">
        <f t="shared" si="31"/>
        <v>NA</v>
      </c>
      <c r="AG258" s="8" t="str">
        <f>IF(AND(AE258="C",AF258="C"),"UTILIZOU O PDA CORRETAMENTE",IF(AND(AE258="C",AF258="NC"),"UTILIZOU O PDA CORRETAMENTE. NÃO HÁ FOTOS DE TODAS AS ETAPAS",IF(AND(AE258="NC",AF258="NC"),"NÃO UTILIZOU O PDA",IF(AND(AE258="NA",AF258="NA"),"NÃO AVALIADO POR FALHA DE SINCRONISMO"))))</f>
        <v>NÃO AVALIADO POR FALHA DE SINCRONISMO</v>
      </c>
      <c r="AH258" s="28" t="s">
        <v>108</v>
      </c>
      <c r="AI258" s="66" t="s">
        <v>1</v>
      </c>
      <c r="AJ258" s="22" t="str">
        <f t="shared" si="32"/>
        <v>GUARULHOS</v>
      </c>
      <c r="AK258" s="69" t="s">
        <v>4</v>
      </c>
    </row>
    <row r="259" spans="1:37" ht="30" customHeight="1" x14ac:dyDescent="0.2">
      <c r="A259" s="83" t="s">
        <v>101</v>
      </c>
      <c r="B259" s="83">
        <v>2615934567</v>
      </c>
      <c r="C259" s="83" t="s">
        <v>508</v>
      </c>
      <c r="D259" s="83" t="s">
        <v>28</v>
      </c>
      <c r="E259" s="83" t="s">
        <v>102</v>
      </c>
      <c r="F259" s="83" t="s">
        <v>964</v>
      </c>
      <c r="G259" s="83">
        <v>11</v>
      </c>
      <c r="H259" s="83" t="s">
        <v>121</v>
      </c>
      <c r="I259" s="83" t="s">
        <v>688</v>
      </c>
      <c r="J259" s="83" t="s">
        <v>510</v>
      </c>
      <c r="K259" s="89" t="s">
        <v>965</v>
      </c>
      <c r="L259" s="83" t="s">
        <v>902</v>
      </c>
      <c r="M259" s="83" t="s">
        <v>966</v>
      </c>
      <c r="N259" s="83" t="s">
        <v>205</v>
      </c>
      <c r="O259" s="36" t="s">
        <v>14</v>
      </c>
      <c r="P259" s="18"/>
      <c r="Q259" s="28" t="s">
        <v>14</v>
      </c>
      <c r="R259" s="18"/>
      <c r="S259" s="28" t="s">
        <v>14</v>
      </c>
      <c r="T259" s="18"/>
      <c r="U259" s="28" t="s">
        <v>14</v>
      </c>
      <c r="V259" s="18"/>
      <c r="W259" s="28" t="s">
        <v>14</v>
      </c>
      <c r="X259" s="18"/>
      <c r="Y259" s="28" t="s">
        <v>14</v>
      </c>
      <c r="Z259" s="18"/>
      <c r="AA259" s="28" t="s">
        <v>14</v>
      </c>
      <c r="AB259" s="18"/>
      <c r="AC259" s="28" t="s">
        <v>14</v>
      </c>
      <c r="AD259" s="18"/>
      <c r="AE259" s="28" t="s">
        <v>14</v>
      </c>
      <c r="AF259" s="47" t="str">
        <f t="shared" si="31"/>
        <v>NA</v>
      </c>
      <c r="AG259" s="8" t="s">
        <v>200</v>
      </c>
      <c r="AH259" s="28" t="s">
        <v>108</v>
      </c>
      <c r="AI259" s="66" t="s">
        <v>1</v>
      </c>
      <c r="AJ259" s="22" t="str">
        <f t="shared" si="32"/>
        <v>GUARULHOS</v>
      </c>
      <c r="AK259" s="69" t="s">
        <v>4</v>
      </c>
    </row>
    <row r="260" spans="1:37" ht="30" customHeight="1" x14ac:dyDescent="0.2">
      <c r="A260" s="83" t="s">
        <v>101</v>
      </c>
      <c r="B260" s="83">
        <v>2615934797</v>
      </c>
      <c r="C260" s="83" t="s">
        <v>508</v>
      </c>
      <c r="D260" s="83" t="s">
        <v>28</v>
      </c>
      <c r="E260" s="83" t="s">
        <v>102</v>
      </c>
      <c r="F260" s="83" t="s">
        <v>955</v>
      </c>
      <c r="G260" s="83">
        <v>164</v>
      </c>
      <c r="H260" s="83"/>
      <c r="I260" s="83" t="s">
        <v>688</v>
      </c>
      <c r="J260" s="83" t="s">
        <v>510</v>
      </c>
      <c r="K260" s="89" t="s">
        <v>967</v>
      </c>
      <c r="L260" s="83" t="s">
        <v>902</v>
      </c>
      <c r="M260" s="83" t="s">
        <v>968</v>
      </c>
      <c r="N260" s="83" t="s">
        <v>205</v>
      </c>
      <c r="O260" s="36" t="s">
        <v>14</v>
      </c>
      <c r="P260" s="18"/>
      <c r="Q260" s="28" t="s">
        <v>14</v>
      </c>
      <c r="R260" s="18"/>
      <c r="S260" s="28" t="s">
        <v>14</v>
      </c>
      <c r="T260" s="18"/>
      <c r="U260" s="28" t="s">
        <v>14</v>
      </c>
      <c r="V260" s="18"/>
      <c r="W260" s="28" t="s">
        <v>14</v>
      </c>
      <c r="X260" s="18"/>
      <c r="Y260" s="28" t="s">
        <v>14</v>
      </c>
      <c r="Z260" s="18"/>
      <c r="AA260" s="28" t="s">
        <v>14</v>
      </c>
      <c r="AB260" s="18"/>
      <c r="AC260" s="28" t="s">
        <v>14</v>
      </c>
      <c r="AD260" s="18"/>
      <c r="AE260" s="28" t="s">
        <v>14</v>
      </c>
      <c r="AF260" s="47" t="str">
        <f t="shared" si="31"/>
        <v>NA</v>
      </c>
      <c r="AG260" s="8" t="s">
        <v>200</v>
      </c>
      <c r="AH260" s="28" t="s">
        <v>108</v>
      </c>
      <c r="AI260" s="66" t="s">
        <v>1</v>
      </c>
      <c r="AJ260" s="22" t="str">
        <f t="shared" si="32"/>
        <v>GUARULHOS</v>
      </c>
      <c r="AK260" s="69" t="s">
        <v>4</v>
      </c>
    </row>
    <row r="261" spans="1:37" ht="30" customHeight="1" x14ac:dyDescent="0.2">
      <c r="A261" s="83" t="s">
        <v>101</v>
      </c>
      <c r="B261" s="83">
        <v>2616164736</v>
      </c>
      <c r="C261" s="83" t="s">
        <v>50</v>
      </c>
      <c r="D261" s="83" t="s">
        <v>29</v>
      </c>
      <c r="E261" s="83" t="s">
        <v>102</v>
      </c>
      <c r="F261" s="83" t="s">
        <v>970</v>
      </c>
      <c r="G261" s="83">
        <v>26</v>
      </c>
      <c r="H261" s="83" t="s">
        <v>971</v>
      </c>
      <c r="I261" s="83" t="s">
        <v>118</v>
      </c>
      <c r="J261" s="83" t="s">
        <v>130</v>
      </c>
      <c r="K261" s="83" t="s">
        <v>972</v>
      </c>
      <c r="L261" s="83" t="s">
        <v>902</v>
      </c>
      <c r="M261" s="83" t="s">
        <v>973</v>
      </c>
      <c r="N261" s="83" t="s">
        <v>146</v>
      </c>
      <c r="O261" s="36" t="s">
        <v>108</v>
      </c>
      <c r="P261" s="18"/>
      <c r="Q261" s="28" t="s">
        <v>108</v>
      </c>
      <c r="R261" s="18"/>
      <c r="S261" s="28" t="s">
        <v>108</v>
      </c>
      <c r="T261" s="18"/>
      <c r="U261" s="28" t="s">
        <v>108</v>
      </c>
      <c r="V261" s="18"/>
      <c r="W261" s="28" t="s">
        <v>108</v>
      </c>
      <c r="X261" s="18"/>
      <c r="Y261" s="28" t="s">
        <v>14</v>
      </c>
      <c r="Z261" s="18"/>
      <c r="AA261" s="28" t="s">
        <v>108</v>
      </c>
      <c r="AB261" s="18"/>
      <c r="AC261" s="28" t="s">
        <v>108</v>
      </c>
      <c r="AD261" s="18"/>
      <c r="AE261" s="28" t="s">
        <v>108</v>
      </c>
      <c r="AF261" s="47" t="str">
        <f t="shared" si="31"/>
        <v>C</v>
      </c>
      <c r="AG261" s="8" t="str">
        <f t="shared" ref="AG261:AG262" si="33">IF(AND(AE261="C",AF261="C"),"UTILIZOU O PDA CORRETAMENTE",IF(AND(AE261="C",AF261="NC"),"UTILIZOU O PDA CORRETAMENTE. NÃO HÁ FOTOS DE TODAS AS ETAPAS",IF(AND(AE261="NC",AF261="NC"),"NÃO UTILIZOU O PDA",IF(AND(AE261="NA",AF261="NA"),"NÃO AVALIADO POR FALHA DE SINCRONISMO"))))</f>
        <v>UTILIZOU O PDA CORRETAMENTE</v>
      </c>
      <c r="AH261" s="26" t="s">
        <v>108</v>
      </c>
      <c r="AI261" s="66" t="s">
        <v>1</v>
      </c>
      <c r="AJ261" s="22" t="str">
        <f t="shared" si="32"/>
        <v>GUARULHOS</v>
      </c>
      <c r="AK261" s="69" t="s">
        <v>4</v>
      </c>
    </row>
    <row r="262" spans="1:37" ht="30" customHeight="1" x14ac:dyDescent="0.2">
      <c r="A262" s="83" t="s">
        <v>101</v>
      </c>
      <c r="B262" s="83">
        <v>2616172379</v>
      </c>
      <c r="C262" s="83" t="s">
        <v>45</v>
      </c>
      <c r="D262" s="83" t="s">
        <v>27</v>
      </c>
      <c r="E262" s="83" t="s">
        <v>102</v>
      </c>
      <c r="F262" s="83" t="s">
        <v>974</v>
      </c>
      <c r="G262" s="83">
        <v>90</v>
      </c>
      <c r="H262" s="83" t="s">
        <v>117</v>
      </c>
      <c r="I262" s="83" t="s">
        <v>220</v>
      </c>
      <c r="J262" s="83" t="s">
        <v>150</v>
      </c>
      <c r="K262" s="83" t="s">
        <v>975</v>
      </c>
      <c r="L262" s="83" t="s">
        <v>902</v>
      </c>
      <c r="M262" s="83" t="s">
        <v>976</v>
      </c>
      <c r="N262" s="83" t="s">
        <v>144</v>
      </c>
      <c r="O262" s="35" t="s">
        <v>108</v>
      </c>
      <c r="P262" s="25"/>
      <c r="Q262" s="26" t="s">
        <v>108</v>
      </c>
      <c r="R262" s="25"/>
      <c r="S262" s="26" t="s">
        <v>108</v>
      </c>
      <c r="T262" s="25"/>
      <c r="U262" s="26" t="s">
        <v>108</v>
      </c>
      <c r="V262" s="25"/>
      <c r="W262" s="26" t="s">
        <v>108</v>
      </c>
      <c r="X262" s="25"/>
      <c r="Y262" s="26" t="s">
        <v>108</v>
      </c>
      <c r="Z262" s="25"/>
      <c r="AA262" s="26" t="s">
        <v>108</v>
      </c>
      <c r="AB262" s="25"/>
      <c r="AC262" s="26" t="s">
        <v>108</v>
      </c>
      <c r="AD262" s="10"/>
      <c r="AE262" s="26" t="s">
        <v>108</v>
      </c>
      <c r="AF262" s="47" t="str">
        <f t="shared" si="31"/>
        <v>C</v>
      </c>
      <c r="AG262" s="8" t="str">
        <f t="shared" si="33"/>
        <v>UTILIZOU O PDA CORRETAMENTE</v>
      </c>
      <c r="AH262" s="26" t="s">
        <v>108</v>
      </c>
      <c r="AI262" s="66" t="s">
        <v>1</v>
      </c>
      <c r="AJ262" s="22" t="str">
        <f t="shared" si="32"/>
        <v>GUARULHOS</v>
      </c>
      <c r="AK262" s="69" t="s">
        <v>4</v>
      </c>
    </row>
    <row r="263" spans="1:37" ht="30" customHeight="1" x14ac:dyDescent="0.2">
      <c r="A263" s="83" t="s">
        <v>101</v>
      </c>
      <c r="B263" s="83">
        <v>2615883592</v>
      </c>
      <c r="C263" s="83" t="s">
        <v>36</v>
      </c>
      <c r="D263" s="83" t="s">
        <v>26</v>
      </c>
      <c r="E263" s="83" t="s">
        <v>102</v>
      </c>
      <c r="F263" s="83" t="s">
        <v>978</v>
      </c>
      <c r="G263" s="83">
        <v>86</v>
      </c>
      <c r="H263" s="83" t="s">
        <v>979</v>
      </c>
      <c r="I263" s="83" t="s">
        <v>520</v>
      </c>
      <c r="J263" s="83" t="s">
        <v>269</v>
      </c>
      <c r="K263" s="83" t="s">
        <v>980</v>
      </c>
      <c r="L263" s="83" t="s">
        <v>902</v>
      </c>
      <c r="M263" s="83" t="s">
        <v>917</v>
      </c>
      <c r="N263" s="83" t="s">
        <v>151</v>
      </c>
      <c r="O263" s="36" t="s">
        <v>14</v>
      </c>
      <c r="P263" s="28"/>
      <c r="Q263" s="28" t="s">
        <v>14</v>
      </c>
      <c r="R263" s="65"/>
      <c r="S263" s="28" t="s">
        <v>14</v>
      </c>
      <c r="T263" s="28"/>
      <c r="U263" s="28" t="s">
        <v>14</v>
      </c>
      <c r="V263" s="28"/>
      <c r="W263" s="28" t="s">
        <v>14</v>
      </c>
      <c r="X263" s="28"/>
      <c r="Y263" s="28" t="s">
        <v>14</v>
      </c>
      <c r="Z263" s="28"/>
      <c r="AA263" s="28" t="s">
        <v>14</v>
      </c>
      <c r="AB263" s="28"/>
      <c r="AC263" s="28" t="s">
        <v>14</v>
      </c>
      <c r="AD263" s="28"/>
      <c r="AE263" s="28" t="s">
        <v>14</v>
      </c>
      <c r="AF263" s="47" t="str">
        <f t="shared" si="31"/>
        <v>NA</v>
      </c>
      <c r="AG263" s="8" t="s">
        <v>200</v>
      </c>
      <c r="AH263" s="28" t="s">
        <v>108</v>
      </c>
      <c r="AI263" s="66" t="s">
        <v>1</v>
      </c>
      <c r="AJ263" s="22" t="str">
        <f t="shared" si="32"/>
        <v>GUARULHOS</v>
      </c>
      <c r="AK263" s="69" t="s">
        <v>4</v>
      </c>
    </row>
    <row r="264" spans="1:37" ht="30" customHeight="1" x14ac:dyDescent="0.2">
      <c r="A264" s="83" t="s">
        <v>101</v>
      </c>
      <c r="B264" s="83">
        <v>2615935557</v>
      </c>
      <c r="C264" s="83" t="s">
        <v>44</v>
      </c>
      <c r="D264" s="83" t="s">
        <v>29</v>
      </c>
      <c r="E264" s="83" t="s">
        <v>102</v>
      </c>
      <c r="F264" s="83" t="s">
        <v>950</v>
      </c>
      <c r="G264" s="83">
        <v>256</v>
      </c>
      <c r="H264" s="83" t="s">
        <v>981</v>
      </c>
      <c r="I264" s="83" t="s">
        <v>158</v>
      </c>
      <c r="J264" s="83" t="s">
        <v>194</v>
      </c>
      <c r="K264" s="83"/>
      <c r="L264" s="83" t="s">
        <v>902</v>
      </c>
      <c r="M264" s="83" t="s">
        <v>982</v>
      </c>
      <c r="N264" s="83" t="s">
        <v>192</v>
      </c>
      <c r="O264" s="35" t="s">
        <v>108</v>
      </c>
      <c r="P264" s="25"/>
      <c r="Q264" s="26" t="s">
        <v>108</v>
      </c>
      <c r="R264" s="25"/>
      <c r="S264" s="26" t="s">
        <v>108</v>
      </c>
      <c r="T264" s="25"/>
      <c r="U264" s="26" t="s">
        <v>108</v>
      </c>
      <c r="V264" s="25"/>
      <c r="W264" s="26" t="s">
        <v>108</v>
      </c>
      <c r="X264" s="25"/>
      <c r="Y264" s="26" t="s">
        <v>108</v>
      </c>
      <c r="Z264" s="25"/>
      <c r="AA264" s="26" t="s">
        <v>108</v>
      </c>
      <c r="AB264" s="25"/>
      <c r="AC264" s="26" t="s">
        <v>108</v>
      </c>
      <c r="AD264" s="10"/>
      <c r="AE264" s="26" t="s">
        <v>108</v>
      </c>
      <c r="AF264" s="47" t="str">
        <f t="shared" si="31"/>
        <v>C</v>
      </c>
      <c r="AG264" s="8" t="str">
        <f t="shared" ref="AG264:AG277" si="34">IF(AND(AE264="C",AF264="C"),"UTILIZOU O PDA CORRETAMENTE",IF(AND(AE264="C",AF264="NC"),"UTILIZOU O PDA CORRETAMENTE. NÃO HÁ FOTOS DE TODAS AS ETAPAS",IF(AND(AE264="NC",AF264="NC"),"NÃO UTILIZOU O PDA",IF(AND(AE264="NA",AF264="NA"),"NÃO AVALIADO POR FALHA DE SINCRONISMO"))))</f>
        <v>UTILIZOU O PDA CORRETAMENTE</v>
      </c>
      <c r="AH264" s="26" t="s">
        <v>108</v>
      </c>
      <c r="AI264" s="66" t="s">
        <v>1</v>
      </c>
      <c r="AJ264" s="22" t="str">
        <f t="shared" si="32"/>
        <v>GUARULHOS</v>
      </c>
      <c r="AK264" s="69" t="s">
        <v>4</v>
      </c>
    </row>
    <row r="265" spans="1:37" ht="30" customHeight="1" x14ac:dyDescent="0.2">
      <c r="A265" s="83" t="s">
        <v>101</v>
      </c>
      <c r="B265" s="83">
        <v>2616194567</v>
      </c>
      <c r="C265" s="83" t="s">
        <v>48</v>
      </c>
      <c r="D265" s="83" t="s">
        <v>29</v>
      </c>
      <c r="E265" s="83" t="s">
        <v>102</v>
      </c>
      <c r="F265" s="83" t="s">
        <v>218</v>
      </c>
      <c r="G265" s="83">
        <v>100</v>
      </c>
      <c r="H265" s="83" t="s">
        <v>117</v>
      </c>
      <c r="I265" s="83" t="s">
        <v>220</v>
      </c>
      <c r="J265" s="83" t="s">
        <v>170</v>
      </c>
      <c r="K265" s="83" t="s">
        <v>117</v>
      </c>
      <c r="L265" s="83" t="s">
        <v>902</v>
      </c>
      <c r="M265" s="83" t="s">
        <v>983</v>
      </c>
      <c r="N265" s="83" t="s">
        <v>146</v>
      </c>
      <c r="O265" s="36" t="s">
        <v>108</v>
      </c>
      <c r="P265" s="18"/>
      <c r="Q265" s="28" t="s">
        <v>108</v>
      </c>
      <c r="R265" s="18"/>
      <c r="S265" s="28" t="s">
        <v>108</v>
      </c>
      <c r="T265" s="18"/>
      <c r="U265" s="28" t="s">
        <v>108</v>
      </c>
      <c r="V265" s="18"/>
      <c r="W265" s="28" t="s">
        <v>108</v>
      </c>
      <c r="X265" s="18"/>
      <c r="Y265" s="28" t="s">
        <v>14</v>
      </c>
      <c r="Z265" s="18"/>
      <c r="AA265" s="28" t="s">
        <v>108</v>
      </c>
      <c r="AB265" s="18"/>
      <c r="AC265" s="28" t="s">
        <v>108</v>
      </c>
      <c r="AD265" s="18"/>
      <c r="AE265" s="28" t="s">
        <v>108</v>
      </c>
      <c r="AF265" s="47" t="str">
        <f t="shared" si="31"/>
        <v>C</v>
      </c>
      <c r="AG265" s="8" t="str">
        <f t="shared" si="34"/>
        <v>UTILIZOU O PDA CORRETAMENTE</v>
      </c>
      <c r="AH265" s="26" t="s">
        <v>108</v>
      </c>
      <c r="AI265" s="66" t="s">
        <v>1</v>
      </c>
      <c r="AJ265" s="22" t="str">
        <f t="shared" si="32"/>
        <v>GUARULHOS</v>
      </c>
      <c r="AK265" s="69" t="s">
        <v>4</v>
      </c>
    </row>
    <row r="266" spans="1:37" ht="30" customHeight="1" x14ac:dyDescent="0.2">
      <c r="A266" s="83" t="s">
        <v>101</v>
      </c>
      <c r="B266" s="83">
        <v>2616229883</v>
      </c>
      <c r="C266" s="83" t="s">
        <v>41</v>
      </c>
      <c r="D266" s="83" t="s">
        <v>25</v>
      </c>
      <c r="E266" s="83" t="s">
        <v>102</v>
      </c>
      <c r="F266" s="83" t="s">
        <v>988</v>
      </c>
      <c r="G266" s="83">
        <v>330</v>
      </c>
      <c r="H266" s="83" t="s">
        <v>115</v>
      </c>
      <c r="I266" s="83" t="s">
        <v>989</v>
      </c>
      <c r="J266" s="83" t="s">
        <v>41</v>
      </c>
      <c r="K266" s="83" t="s">
        <v>990</v>
      </c>
      <c r="L266" s="83" t="s">
        <v>987</v>
      </c>
      <c r="M266" s="83" t="s">
        <v>991</v>
      </c>
      <c r="N266" s="83" t="s">
        <v>274</v>
      </c>
      <c r="O266" s="36" t="s">
        <v>108</v>
      </c>
      <c r="P266" s="18"/>
      <c r="Q266" s="28" t="s">
        <v>14</v>
      </c>
      <c r="R266" s="18"/>
      <c r="S266" s="28" t="s">
        <v>14</v>
      </c>
      <c r="T266" s="18"/>
      <c r="U266" s="28" t="s">
        <v>14</v>
      </c>
      <c r="V266" s="18"/>
      <c r="W266" s="28" t="s">
        <v>14</v>
      </c>
      <c r="X266" s="18"/>
      <c r="Y266" s="28" t="s">
        <v>14</v>
      </c>
      <c r="Z266" s="18"/>
      <c r="AA266" s="28" t="s">
        <v>108</v>
      </c>
      <c r="AB266" s="18"/>
      <c r="AC266" s="28" t="s">
        <v>108</v>
      </c>
      <c r="AD266" s="18"/>
      <c r="AE266" s="28" t="s">
        <v>108</v>
      </c>
      <c r="AF266" s="47" t="str">
        <f t="shared" si="31"/>
        <v>C</v>
      </c>
      <c r="AG266" s="8" t="str">
        <f t="shared" si="34"/>
        <v>UTILIZOU O PDA CORRETAMENTE</v>
      </c>
      <c r="AH266" s="28" t="s">
        <v>108</v>
      </c>
      <c r="AI266" s="66" t="s">
        <v>1</v>
      </c>
      <c r="AJ266" s="22" t="str">
        <f t="shared" si="32"/>
        <v>GUARULHOS</v>
      </c>
      <c r="AK266" s="69" t="s">
        <v>4</v>
      </c>
    </row>
    <row r="267" spans="1:37" ht="30" customHeight="1" x14ac:dyDescent="0.2">
      <c r="A267" s="83" t="s">
        <v>101</v>
      </c>
      <c r="B267" s="83">
        <v>2616229863</v>
      </c>
      <c r="C267" s="83" t="s">
        <v>39</v>
      </c>
      <c r="D267" s="83" t="s">
        <v>25</v>
      </c>
      <c r="E267" s="83" t="s">
        <v>102</v>
      </c>
      <c r="F267" s="83" t="s">
        <v>988</v>
      </c>
      <c r="G267" s="83">
        <v>330</v>
      </c>
      <c r="H267" s="83" t="s">
        <v>110</v>
      </c>
      <c r="I267" s="83" t="s">
        <v>989</v>
      </c>
      <c r="J267" s="83" t="s">
        <v>39</v>
      </c>
      <c r="K267" s="83" t="s">
        <v>992</v>
      </c>
      <c r="L267" s="83" t="s">
        <v>987</v>
      </c>
      <c r="M267" s="83" t="s">
        <v>993</v>
      </c>
      <c r="N267" s="83" t="s">
        <v>274</v>
      </c>
      <c r="O267" s="36" t="s">
        <v>108</v>
      </c>
      <c r="P267" s="18"/>
      <c r="Q267" s="28" t="s">
        <v>14</v>
      </c>
      <c r="R267" s="18"/>
      <c r="S267" s="28" t="s">
        <v>14</v>
      </c>
      <c r="T267" s="18"/>
      <c r="U267" s="28" t="s">
        <v>14</v>
      </c>
      <c r="V267" s="18"/>
      <c r="W267" s="28" t="s">
        <v>14</v>
      </c>
      <c r="X267" s="18"/>
      <c r="Y267" s="28" t="s">
        <v>14</v>
      </c>
      <c r="Z267" s="18"/>
      <c r="AA267" s="28" t="s">
        <v>108</v>
      </c>
      <c r="AB267" s="18"/>
      <c r="AC267" s="28" t="s">
        <v>108</v>
      </c>
      <c r="AD267" s="18"/>
      <c r="AE267" s="28" t="s">
        <v>108</v>
      </c>
      <c r="AF267" s="47" t="str">
        <f t="shared" si="31"/>
        <v>C</v>
      </c>
      <c r="AG267" s="8" t="str">
        <f t="shared" si="34"/>
        <v>UTILIZOU O PDA CORRETAMENTE</v>
      </c>
      <c r="AH267" s="28" t="s">
        <v>108</v>
      </c>
      <c r="AI267" s="66" t="s">
        <v>1</v>
      </c>
      <c r="AJ267" s="22" t="str">
        <f t="shared" si="32"/>
        <v>GUARULHOS</v>
      </c>
      <c r="AK267" s="69" t="s">
        <v>4</v>
      </c>
    </row>
    <row r="268" spans="1:37" ht="30" customHeight="1" x14ac:dyDescent="0.2">
      <c r="A268" s="83" t="s">
        <v>101</v>
      </c>
      <c r="B268" s="83">
        <v>2613180289</v>
      </c>
      <c r="C268" s="83" t="s">
        <v>38</v>
      </c>
      <c r="D268" s="83" t="s">
        <v>25</v>
      </c>
      <c r="E268" s="83" t="s">
        <v>102</v>
      </c>
      <c r="F268" s="83" t="s">
        <v>147</v>
      </c>
      <c r="G268" s="83">
        <v>256</v>
      </c>
      <c r="H268" s="83" t="s">
        <v>994</v>
      </c>
      <c r="I268" s="83" t="s">
        <v>149</v>
      </c>
      <c r="J268" s="83" t="s">
        <v>309</v>
      </c>
      <c r="K268" s="83"/>
      <c r="L268" s="83" t="s">
        <v>987</v>
      </c>
      <c r="M268" s="83" t="s">
        <v>995</v>
      </c>
      <c r="N268" s="83" t="s">
        <v>113</v>
      </c>
      <c r="O268" s="36" t="s">
        <v>108</v>
      </c>
      <c r="P268" s="18"/>
      <c r="Q268" s="28" t="s">
        <v>108</v>
      </c>
      <c r="R268" s="18"/>
      <c r="S268" s="28" t="s">
        <v>108</v>
      </c>
      <c r="T268" s="18"/>
      <c r="U268" s="28" t="s">
        <v>108</v>
      </c>
      <c r="V268" s="18"/>
      <c r="W268" s="28" t="s">
        <v>108</v>
      </c>
      <c r="X268" s="18"/>
      <c r="Y268" s="28" t="s">
        <v>542</v>
      </c>
      <c r="Z268" s="18"/>
      <c r="AA268" s="28" t="s">
        <v>108</v>
      </c>
      <c r="AB268" s="18"/>
      <c r="AC268" s="28" t="s">
        <v>108</v>
      </c>
      <c r="AD268" s="18"/>
      <c r="AE268" s="28" t="s">
        <v>108</v>
      </c>
      <c r="AF268" s="47" t="str">
        <f t="shared" si="31"/>
        <v>C</v>
      </c>
      <c r="AG268" s="8" t="str">
        <f t="shared" si="34"/>
        <v>UTILIZOU O PDA CORRETAMENTE</v>
      </c>
      <c r="AH268" s="28" t="s">
        <v>108</v>
      </c>
      <c r="AI268" s="66" t="s">
        <v>1</v>
      </c>
      <c r="AJ268" s="22" t="str">
        <f t="shared" si="32"/>
        <v>GUARULHOS</v>
      </c>
      <c r="AK268" s="69" t="s">
        <v>4</v>
      </c>
    </row>
    <row r="269" spans="1:37" ht="30" customHeight="1" x14ac:dyDescent="0.2">
      <c r="A269" s="83" t="s">
        <v>101</v>
      </c>
      <c r="B269" s="83">
        <v>2615551444</v>
      </c>
      <c r="C269" s="83" t="s">
        <v>31</v>
      </c>
      <c r="D269" s="83" t="s">
        <v>25</v>
      </c>
      <c r="E269" s="83" t="s">
        <v>102</v>
      </c>
      <c r="F269" s="83" t="s">
        <v>996</v>
      </c>
      <c r="G269" s="83">
        <v>415</v>
      </c>
      <c r="H269" s="83" t="s">
        <v>318</v>
      </c>
      <c r="I269" s="83" t="s">
        <v>282</v>
      </c>
      <c r="J269" s="83" t="s">
        <v>123</v>
      </c>
      <c r="K269" s="83" t="s">
        <v>997</v>
      </c>
      <c r="L269" s="83" t="s">
        <v>987</v>
      </c>
      <c r="M269" s="83" t="s">
        <v>998</v>
      </c>
      <c r="N269" s="83" t="s">
        <v>107</v>
      </c>
      <c r="O269" s="36" t="s">
        <v>108</v>
      </c>
      <c r="P269" s="18"/>
      <c r="Q269" s="28" t="s">
        <v>108</v>
      </c>
      <c r="R269" s="18"/>
      <c r="S269" s="28" t="s">
        <v>108</v>
      </c>
      <c r="T269" s="18"/>
      <c r="U269" s="28" t="s">
        <v>108</v>
      </c>
      <c r="V269" s="18"/>
      <c r="W269" s="28" t="s">
        <v>108</v>
      </c>
      <c r="X269" s="18"/>
      <c r="Y269" s="28" t="s">
        <v>108</v>
      </c>
      <c r="Z269" s="18"/>
      <c r="AA269" s="28" t="s">
        <v>108</v>
      </c>
      <c r="AB269" s="18"/>
      <c r="AC269" s="28" t="s">
        <v>108</v>
      </c>
      <c r="AD269" s="18"/>
      <c r="AE269" s="28" t="s">
        <v>108</v>
      </c>
      <c r="AF269" s="47" t="str">
        <f t="shared" ref="AF269:AF299" si="35">IF(AND(O269="",Q269="",S269="",U269="",W269="",Y269="",AA269="",AC269=""),"",IF(OR(AND(O269&lt;&gt;"NA",O269&lt;&gt;"C",O269&lt;&gt;"NC",O269&lt;&gt;"SF",O269&lt;&gt;""),AND(Q269&lt;&gt;"NA",Q269&lt;&gt;"C",Q269&lt;&gt;"NC",Q269&lt;&gt;"SF",Q269&lt;&gt;""),AND(S269&lt;&gt;"NA",S269&lt;&gt;"C",S269&lt;&gt;"NC",S269&lt;&gt;"SF",S269&lt;&gt;""),AND(U269&lt;&gt;"NA",U269&lt;&gt;"C",U269&lt;&gt;"NC",U269&lt;&gt;"SF",U269&lt;&gt;""),AND(W269&lt;&gt;"NA",W269&lt;&gt;"C",W269&lt;&gt;"NC",W269&lt;&gt;"SF",W269&lt;&gt;""),AND(Y269&lt;&gt;"NA",Y269&lt;&gt;"C",Y269&lt;&gt;"NC",Y269&lt;&gt;"SF",Y269&lt;&gt;""),AND(AA269&lt;&gt;"NA",AA269&lt;&gt;"C",AA269&lt;&gt;"NC",AA269&lt;&gt;"SF",AA269&lt;&gt;""),AND(AC269&lt;&gt;"NA",AC269&lt;&gt;"C",AC269&lt;&gt;"NC",AC269&lt;&gt;"SF",AC269&lt;&gt;"")),"FALSO",IF(AND(O269="NA",Q269="NA",S269="NA",U269="NA",W269="NA",Y269="NA",AA269="NA",AC269="NA"),"NA",IF(OR(O269="NC",Q269="NC",S269="NC",U269="NC",W269="NC",Y269="NC",AA269="NC",AC269="NC",O269="SF",Q269="SF",S269="SF",U269="SF",W269="SF",Y269="SF",AA269="SF",AC269="SF"),"NC",IF(OR(O269="C",Q269="C",S269="C",U269="C",W269="C",Y269="C",AA269="C",AC269="C"),"C","")))))</f>
        <v>C</v>
      </c>
      <c r="AG269" s="8" t="str">
        <f t="shared" si="34"/>
        <v>UTILIZOU O PDA CORRETAMENTE</v>
      </c>
      <c r="AH269" s="28" t="s">
        <v>108</v>
      </c>
      <c r="AI269" s="66" t="s">
        <v>1</v>
      </c>
      <c r="AJ269" s="22" t="str">
        <f t="shared" ref="AJ269:AJ299" si="36">E269</f>
        <v>GUARULHOS</v>
      </c>
      <c r="AK269" s="69" t="s">
        <v>4</v>
      </c>
    </row>
    <row r="270" spans="1:37" ht="30" customHeight="1" x14ac:dyDescent="0.2">
      <c r="A270" s="83" t="s">
        <v>101</v>
      </c>
      <c r="B270" s="83">
        <v>2615549102</v>
      </c>
      <c r="C270" s="83" t="s">
        <v>31</v>
      </c>
      <c r="D270" s="83" t="s">
        <v>25</v>
      </c>
      <c r="E270" s="83" t="s">
        <v>102</v>
      </c>
      <c r="F270" s="83" t="s">
        <v>996</v>
      </c>
      <c r="G270" s="83">
        <v>415</v>
      </c>
      <c r="H270" s="83" t="s">
        <v>321</v>
      </c>
      <c r="I270" s="83" t="s">
        <v>282</v>
      </c>
      <c r="J270" s="83" t="s">
        <v>123</v>
      </c>
      <c r="K270" s="89" t="s">
        <v>999</v>
      </c>
      <c r="L270" s="83" t="s">
        <v>987</v>
      </c>
      <c r="M270" s="83" t="s">
        <v>1000</v>
      </c>
      <c r="N270" s="83" t="s">
        <v>107</v>
      </c>
      <c r="O270" s="36" t="s">
        <v>108</v>
      </c>
      <c r="P270" s="18"/>
      <c r="Q270" s="28" t="s">
        <v>108</v>
      </c>
      <c r="R270" s="18"/>
      <c r="S270" s="28" t="s">
        <v>108</v>
      </c>
      <c r="T270" s="18"/>
      <c r="U270" s="28" t="s">
        <v>108</v>
      </c>
      <c r="V270" s="18"/>
      <c r="W270" s="28" t="s">
        <v>108</v>
      </c>
      <c r="X270" s="18"/>
      <c r="Y270" s="28" t="s">
        <v>108</v>
      </c>
      <c r="Z270" s="18"/>
      <c r="AA270" s="28" t="s">
        <v>108</v>
      </c>
      <c r="AB270" s="18"/>
      <c r="AC270" s="28" t="s">
        <v>108</v>
      </c>
      <c r="AD270" s="18"/>
      <c r="AE270" s="28" t="s">
        <v>108</v>
      </c>
      <c r="AF270" s="47" t="str">
        <f t="shared" si="35"/>
        <v>C</v>
      </c>
      <c r="AG270" s="8" t="str">
        <f t="shared" si="34"/>
        <v>UTILIZOU O PDA CORRETAMENTE</v>
      </c>
      <c r="AH270" s="28" t="s">
        <v>108</v>
      </c>
      <c r="AI270" s="66" t="s">
        <v>1</v>
      </c>
      <c r="AJ270" s="22" t="str">
        <f t="shared" si="36"/>
        <v>GUARULHOS</v>
      </c>
      <c r="AK270" s="69" t="s">
        <v>4</v>
      </c>
    </row>
    <row r="271" spans="1:37" ht="30" customHeight="1" x14ac:dyDescent="0.2">
      <c r="A271" s="83" t="s">
        <v>101</v>
      </c>
      <c r="B271" s="83">
        <v>2615550735</v>
      </c>
      <c r="C271" s="83" t="s">
        <v>31</v>
      </c>
      <c r="D271" s="83" t="s">
        <v>25</v>
      </c>
      <c r="E271" s="83" t="s">
        <v>102</v>
      </c>
      <c r="F271" s="83" t="s">
        <v>996</v>
      </c>
      <c r="G271" s="83">
        <v>415</v>
      </c>
      <c r="H271" s="83" t="s">
        <v>320</v>
      </c>
      <c r="I271" s="83" t="s">
        <v>282</v>
      </c>
      <c r="J271" s="83" t="s">
        <v>123</v>
      </c>
      <c r="K271" s="83" t="s">
        <v>997</v>
      </c>
      <c r="L271" s="83" t="s">
        <v>987</v>
      </c>
      <c r="M271" s="83" t="s">
        <v>1001</v>
      </c>
      <c r="N271" s="83" t="s">
        <v>107</v>
      </c>
      <c r="O271" s="36" t="s">
        <v>108</v>
      </c>
      <c r="P271" s="18"/>
      <c r="Q271" s="28" t="s">
        <v>108</v>
      </c>
      <c r="R271" s="18"/>
      <c r="S271" s="28" t="s">
        <v>108</v>
      </c>
      <c r="T271" s="18"/>
      <c r="U271" s="28" t="s">
        <v>108</v>
      </c>
      <c r="V271" s="18"/>
      <c r="W271" s="28" t="s">
        <v>108</v>
      </c>
      <c r="X271" s="18"/>
      <c r="Y271" s="28" t="s">
        <v>108</v>
      </c>
      <c r="Z271" s="18"/>
      <c r="AA271" s="28" t="s">
        <v>108</v>
      </c>
      <c r="AB271" s="18"/>
      <c r="AC271" s="28" t="s">
        <v>108</v>
      </c>
      <c r="AD271" s="18"/>
      <c r="AE271" s="28" t="s">
        <v>108</v>
      </c>
      <c r="AF271" s="47" t="str">
        <f t="shared" si="35"/>
        <v>C</v>
      </c>
      <c r="AG271" s="8" t="str">
        <f t="shared" si="34"/>
        <v>UTILIZOU O PDA CORRETAMENTE</v>
      </c>
      <c r="AH271" s="28" t="s">
        <v>108</v>
      </c>
      <c r="AI271" s="66" t="s">
        <v>1</v>
      </c>
      <c r="AJ271" s="22" t="str">
        <f t="shared" si="36"/>
        <v>GUARULHOS</v>
      </c>
      <c r="AK271" s="69" t="s">
        <v>4</v>
      </c>
    </row>
    <row r="272" spans="1:37" ht="30" customHeight="1" x14ac:dyDescent="0.2">
      <c r="A272" s="83" t="s">
        <v>101</v>
      </c>
      <c r="B272" s="83">
        <v>2615552786</v>
      </c>
      <c r="C272" s="83" t="s">
        <v>31</v>
      </c>
      <c r="D272" s="83" t="s">
        <v>25</v>
      </c>
      <c r="E272" s="83" t="s">
        <v>102</v>
      </c>
      <c r="F272" s="83" t="s">
        <v>996</v>
      </c>
      <c r="G272" s="83">
        <v>415</v>
      </c>
      <c r="H272" s="83" t="s">
        <v>1002</v>
      </c>
      <c r="I272" s="83" t="s">
        <v>282</v>
      </c>
      <c r="J272" s="83" t="s">
        <v>123</v>
      </c>
      <c r="K272" s="83" t="s">
        <v>997</v>
      </c>
      <c r="L272" s="83" t="s">
        <v>987</v>
      </c>
      <c r="M272" s="83" t="s">
        <v>1003</v>
      </c>
      <c r="N272" s="83" t="s">
        <v>107</v>
      </c>
      <c r="O272" s="36" t="s">
        <v>108</v>
      </c>
      <c r="P272" s="18"/>
      <c r="Q272" s="28" t="s">
        <v>108</v>
      </c>
      <c r="R272" s="18"/>
      <c r="S272" s="28" t="s">
        <v>108</v>
      </c>
      <c r="T272" s="18"/>
      <c r="U272" s="28" t="s">
        <v>108</v>
      </c>
      <c r="V272" s="18"/>
      <c r="W272" s="28" t="s">
        <v>108</v>
      </c>
      <c r="X272" s="18"/>
      <c r="Y272" s="28" t="s">
        <v>108</v>
      </c>
      <c r="Z272" s="18"/>
      <c r="AA272" s="28" t="s">
        <v>108</v>
      </c>
      <c r="AB272" s="18"/>
      <c r="AC272" s="28" t="s">
        <v>108</v>
      </c>
      <c r="AD272" s="18"/>
      <c r="AE272" s="28" t="s">
        <v>108</v>
      </c>
      <c r="AF272" s="47" t="str">
        <f t="shared" si="35"/>
        <v>C</v>
      </c>
      <c r="AG272" s="8" t="str">
        <f t="shared" si="34"/>
        <v>UTILIZOU O PDA CORRETAMENTE</v>
      </c>
      <c r="AH272" s="28" t="s">
        <v>108</v>
      </c>
      <c r="AI272" s="66" t="s">
        <v>1</v>
      </c>
      <c r="AJ272" s="22" t="str">
        <f t="shared" si="36"/>
        <v>GUARULHOS</v>
      </c>
      <c r="AK272" s="69" t="s">
        <v>4</v>
      </c>
    </row>
    <row r="273" spans="1:37" ht="30" customHeight="1" x14ac:dyDescent="0.2">
      <c r="A273" s="83" t="s">
        <v>101</v>
      </c>
      <c r="B273" s="83">
        <v>2690799987</v>
      </c>
      <c r="C273" s="83" t="s">
        <v>47</v>
      </c>
      <c r="D273" s="83" t="s">
        <v>29</v>
      </c>
      <c r="E273" s="83" t="s">
        <v>102</v>
      </c>
      <c r="F273" s="83" t="s">
        <v>448</v>
      </c>
      <c r="G273" s="83">
        <v>56</v>
      </c>
      <c r="H273" s="83" t="s">
        <v>117</v>
      </c>
      <c r="I273" s="83" t="s">
        <v>450</v>
      </c>
      <c r="J273" s="83" t="s">
        <v>170</v>
      </c>
      <c r="K273" s="83" t="s">
        <v>117</v>
      </c>
      <c r="L273" s="83" t="s">
        <v>987</v>
      </c>
      <c r="M273" s="83" t="s">
        <v>1004</v>
      </c>
      <c r="N273" s="83" t="s">
        <v>131</v>
      </c>
      <c r="O273" s="36" t="s">
        <v>108</v>
      </c>
      <c r="P273" s="18"/>
      <c r="Q273" s="28" t="s">
        <v>108</v>
      </c>
      <c r="R273" s="18"/>
      <c r="S273" s="28" t="s">
        <v>108</v>
      </c>
      <c r="T273" s="18"/>
      <c r="U273" s="28" t="s">
        <v>108</v>
      </c>
      <c r="V273" s="18"/>
      <c r="W273" s="28" t="s">
        <v>108</v>
      </c>
      <c r="X273" s="18"/>
      <c r="Y273" s="28" t="s">
        <v>14</v>
      </c>
      <c r="Z273" s="18"/>
      <c r="AA273" s="28" t="s">
        <v>108</v>
      </c>
      <c r="AB273" s="18"/>
      <c r="AC273" s="28" t="s">
        <v>108</v>
      </c>
      <c r="AD273" s="18"/>
      <c r="AE273" s="28" t="s">
        <v>108</v>
      </c>
      <c r="AF273" s="47" t="str">
        <f t="shared" si="35"/>
        <v>C</v>
      </c>
      <c r="AG273" s="8" t="str">
        <f t="shared" si="34"/>
        <v>UTILIZOU O PDA CORRETAMENTE</v>
      </c>
      <c r="AH273" s="26" t="s">
        <v>108</v>
      </c>
      <c r="AI273" s="66" t="s">
        <v>1</v>
      </c>
      <c r="AJ273" s="22" t="str">
        <f t="shared" si="36"/>
        <v>GUARULHOS</v>
      </c>
      <c r="AK273" s="69" t="s">
        <v>4</v>
      </c>
    </row>
    <row r="274" spans="1:37" ht="30" customHeight="1" x14ac:dyDescent="0.2">
      <c r="A274" s="83" t="s">
        <v>101</v>
      </c>
      <c r="B274" s="83">
        <v>2690799633</v>
      </c>
      <c r="C274" s="83" t="s">
        <v>46</v>
      </c>
      <c r="D274" s="83" t="s">
        <v>29</v>
      </c>
      <c r="E274" s="83" t="s">
        <v>102</v>
      </c>
      <c r="F274" s="83" t="s">
        <v>1006</v>
      </c>
      <c r="G274" s="83">
        <v>226</v>
      </c>
      <c r="H274" s="83" t="s">
        <v>117</v>
      </c>
      <c r="I274" s="83" t="s">
        <v>177</v>
      </c>
      <c r="J274" s="83" t="s">
        <v>159</v>
      </c>
      <c r="K274" s="83" t="s">
        <v>117</v>
      </c>
      <c r="L274" s="83" t="s">
        <v>987</v>
      </c>
      <c r="M274" s="83" t="s">
        <v>1007</v>
      </c>
      <c r="N274" s="83" t="s">
        <v>151</v>
      </c>
      <c r="O274" s="36" t="s">
        <v>108</v>
      </c>
      <c r="P274" s="18"/>
      <c r="Q274" s="28" t="s">
        <v>108</v>
      </c>
      <c r="R274" s="18"/>
      <c r="S274" s="28" t="s">
        <v>108</v>
      </c>
      <c r="T274" s="18"/>
      <c r="U274" s="28" t="s">
        <v>108</v>
      </c>
      <c r="V274" s="18"/>
      <c r="W274" s="28" t="s">
        <v>108</v>
      </c>
      <c r="X274" s="18"/>
      <c r="Y274" s="28" t="s">
        <v>14</v>
      </c>
      <c r="Z274" s="18"/>
      <c r="AA274" s="28" t="s">
        <v>108</v>
      </c>
      <c r="AB274" s="18"/>
      <c r="AC274" s="28" t="s">
        <v>108</v>
      </c>
      <c r="AD274" s="18"/>
      <c r="AE274" s="28" t="s">
        <v>108</v>
      </c>
      <c r="AF274" s="47" t="str">
        <f t="shared" si="35"/>
        <v>C</v>
      </c>
      <c r="AG274" s="8" t="str">
        <f t="shared" si="34"/>
        <v>UTILIZOU O PDA CORRETAMENTE</v>
      </c>
      <c r="AH274" s="26" t="s">
        <v>108</v>
      </c>
      <c r="AI274" s="66" t="s">
        <v>1</v>
      </c>
      <c r="AJ274" s="22" t="str">
        <f t="shared" si="36"/>
        <v>GUARULHOS</v>
      </c>
      <c r="AK274" s="69" t="s">
        <v>4</v>
      </c>
    </row>
    <row r="275" spans="1:37" ht="30" customHeight="1" x14ac:dyDescent="0.2">
      <c r="A275" s="83" t="s">
        <v>101</v>
      </c>
      <c r="B275" s="83">
        <v>2616226228</v>
      </c>
      <c r="C275" s="83" t="s">
        <v>50</v>
      </c>
      <c r="D275" s="83" t="s">
        <v>29</v>
      </c>
      <c r="E275" s="83" t="s">
        <v>102</v>
      </c>
      <c r="F275" s="83" t="s">
        <v>1008</v>
      </c>
      <c r="G275" s="83">
        <v>152</v>
      </c>
      <c r="H275" s="83" t="s">
        <v>1009</v>
      </c>
      <c r="I275" s="83" t="s">
        <v>191</v>
      </c>
      <c r="J275" s="83" t="s">
        <v>130</v>
      </c>
      <c r="K275" s="83"/>
      <c r="L275" s="83" t="s">
        <v>987</v>
      </c>
      <c r="M275" s="83" t="s">
        <v>1010</v>
      </c>
      <c r="N275" s="83" t="s">
        <v>192</v>
      </c>
      <c r="O275" s="36" t="s">
        <v>108</v>
      </c>
      <c r="P275" s="18"/>
      <c r="Q275" s="28" t="s">
        <v>108</v>
      </c>
      <c r="R275" s="18"/>
      <c r="S275" s="28" t="s">
        <v>108</v>
      </c>
      <c r="T275" s="18"/>
      <c r="U275" s="28" t="s">
        <v>108</v>
      </c>
      <c r="V275" s="18"/>
      <c r="W275" s="28" t="s">
        <v>108</v>
      </c>
      <c r="X275" s="18"/>
      <c r="Y275" s="28" t="s">
        <v>14</v>
      </c>
      <c r="Z275" s="18"/>
      <c r="AA275" s="28" t="s">
        <v>108</v>
      </c>
      <c r="AB275" s="18"/>
      <c r="AC275" s="28" t="s">
        <v>108</v>
      </c>
      <c r="AD275" s="18"/>
      <c r="AE275" s="28" t="s">
        <v>108</v>
      </c>
      <c r="AF275" s="47" t="str">
        <f t="shared" si="35"/>
        <v>C</v>
      </c>
      <c r="AG275" s="8" t="str">
        <f t="shared" si="34"/>
        <v>UTILIZOU O PDA CORRETAMENTE</v>
      </c>
      <c r="AH275" s="26" t="s">
        <v>108</v>
      </c>
      <c r="AI275" s="66" t="s">
        <v>1</v>
      </c>
      <c r="AJ275" s="22" t="str">
        <f t="shared" si="36"/>
        <v>GUARULHOS</v>
      </c>
      <c r="AK275" s="69" t="s">
        <v>4</v>
      </c>
    </row>
    <row r="276" spans="1:37" ht="30" customHeight="1" x14ac:dyDescent="0.2">
      <c r="A276" s="83" t="s">
        <v>101</v>
      </c>
      <c r="B276" s="83">
        <v>2616233970</v>
      </c>
      <c r="C276" s="83" t="s">
        <v>50</v>
      </c>
      <c r="D276" s="83" t="s">
        <v>29</v>
      </c>
      <c r="E276" s="83" t="s">
        <v>102</v>
      </c>
      <c r="F276" s="83" t="s">
        <v>1011</v>
      </c>
      <c r="G276" s="83">
        <v>60</v>
      </c>
      <c r="H276" s="83" t="s">
        <v>117</v>
      </c>
      <c r="I276" s="83" t="s">
        <v>191</v>
      </c>
      <c r="J276" s="83" t="s">
        <v>176</v>
      </c>
      <c r="K276" s="83" t="s">
        <v>117</v>
      </c>
      <c r="L276" s="83" t="s">
        <v>987</v>
      </c>
      <c r="M276" s="83" t="s">
        <v>1012</v>
      </c>
      <c r="N276" s="83" t="s">
        <v>192</v>
      </c>
      <c r="O276" s="36" t="s">
        <v>108</v>
      </c>
      <c r="P276" s="18"/>
      <c r="Q276" s="28" t="s">
        <v>108</v>
      </c>
      <c r="R276" s="18"/>
      <c r="S276" s="28" t="s">
        <v>108</v>
      </c>
      <c r="T276" s="18"/>
      <c r="U276" s="28" t="s">
        <v>108</v>
      </c>
      <c r="V276" s="18"/>
      <c r="W276" s="28" t="s">
        <v>108</v>
      </c>
      <c r="X276" s="18"/>
      <c r="Y276" s="28" t="s">
        <v>14</v>
      </c>
      <c r="Z276" s="18"/>
      <c r="AA276" s="28" t="s">
        <v>108</v>
      </c>
      <c r="AB276" s="18"/>
      <c r="AC276" s="28" t="s">
        <v>108</v>
      </c>
      <c r="AD276" s="18"/>
      <c r="AE276" s="28" t="s">
        <v>108</v>
      </c>
      <c r="AF276" s="47" t="str">
        <f t="shared" si="35"/>
        <v>C</v>
      </c>
      <c r="AG276" s="8" t="str">
        <f t="shared" si="34"/>
        <v>UTILIZOU O PDA CORRETAMENTE</v>
      </c>
      <c r="AH276" s="26" t="s">
        <v>108</v>
      </c>
      <c r="AI276" s="66" t="s">
        <v>1</v>
      </c>
      <c r="AJ276" s="22" t="str">
        <f t="shared" si="36"/>
        <v>GUARULHOS</v>
      </c>
      <c r="AK276" s="69" t="s">
        <v>4</v>
      </c>
    </row>
    <row r="277" spans="1:37" ht="30" customHeight="1" x14ac:dyDescent="0.2">
      <c r="A277" s="83" t="s">
        <v>101</v>
      </c>
      <c r="B277" s="83">
        <v>2616328247</v>
      </c>
      <c r="C277" s="83" t="s">
        <v>50</v>
      </c>
      <c r="D277" s="83" t="s">
        <v>29</v>
      </c>
      <c r="E277" s="83" t="s">
        <v>102</v>
      </c>
      <c r="F277" s="83" t="s">
        <v>244</v>
      </c>
      <c r="G277" s="83">
        <v>418</v>
      </c>
      <c r="H277" s="83" t="s">
        <v>284</v>
      </c>
      <c r="I277" s="83" t="s">
        <v>245</v>
      </c>
      <c r="J277" s="83" t="s">
        <v>130</v>
      </c>
      <c r="K277" s="83" t="s">
        <v>1014</v>
      </c>
      <c r="L277" s="83" t="s">
        <v>987</v>
      </c>
      <c r="M277" s="83" t="s">
        <v>1015</v>
      </c>
      <c r="N277" s="83" t="s">
        <v>113</v>
      </c>
      <c r="O277" s="36" t="s">
        <v>108</v>
      </c>
      <c r="P277" s="18"/>
      <c r="Q277" s="28" t="s">
        <v>108</v>
      </c>
      <c r="R277" s="18"/>
      <c r="S277" s="28" t="s">
        <v>108</v>
      </c>
      <c r="T277" s="18"/>
      <c r="U277" s="28" t="s">
        <v>108</v>
      </c>
      <c r="V277" s="18"/>
      <c r="W277" s="28" t="s">
        <v>108</v>
      </c>
      <c r="X277" s="18"/>
      <c r="Y277" s="28" t="s">
        <v>14</v>
      </c>
      <c r="Z277" s="18"/>
      <c r="AA277" s="28" t="s">
        <v>108</v>
      </c>
      <c r="AB277" s="18"/>
      <c r="AC277" s="28" t="s">
        <v>108</v>
      </c>
      <c r="AD277" s="18"/>
      <c r="AE277" s="28" t="s">
        <v>108</v>
      </c>
      <c r="AF277" s="47" t="str">
        <f t="shared" si="35"/>
        <v>C</v>
      </c>
      <c r="AG277" s="8" t="str">
        <f t="shared" si="34"/>
        <v>UTILIZOU O PDA CORRETAMENTE</v>
      </c>
      <c r="AH277" s="26" t="s">
        <v>108</v>
      </c>
      <c r="AI277" s="66" t="s">
        <v>1</v>
      </c>
      <c r="AJ277" s="22" t="str">
        <f t="shared" si="36"/>
        <v>GUARULHOS</v>
      </c>
      <c r="AK277" s="69" t="s">
        <v>4</v>
      </c>
    </row>
    <row r="278" spans="1:37" ht="30" customHeight="1" x14ac:dyDescent="0.2">
      <c r="A278" s="83" t="s">
        <v>101</v>
      </c>
      <c r="B278" s="83">
        <v>2616322788</v>
      </c>
      <c r="C278" s="83" t="s">
        <v>47</v>
      </c>
      <c r="D278" s="83" t="s">
        <v>29</v>
      </c>
      <c r="E278" s="83" t="s">
        <v>102</v>
      </c>
      <c r="F278" s="83" t="s">
        <v>1016</v>
      </c>
      <c r="G278" s="83">
        <v>31</v>
      </c>
      <c r="H278" s="83" t="s">
        <v>1017</v>
      </c>
      <c r="I278" s="83" t="s">
        <v>216</v>
      </c>
      <c r="J278" s="83" t="s">
        <v>170</v>
      </c>
      <c r="K278" s="83" t="s">
        <v>383</v>
      </c>
      <c r="L278" s="83" t="s">
        <v>987</v>
      </c>
      <c r="M278" s="83" t="s">
        <v>991</v>
      </c>
      <c r="N278" s="83" t="s">
        <v>297</v>
      </c>
      <c r="O278" s="36" t="s">
        <v>108</v>
      </c>
      <c r="P278" s="18"/>
      <c r="Q278" s="28" t="s">
        <v>108</v>
      </c>
      <c r="R278" s="18"/>
      <c r="S278" s="28" t="s">
        <v>108</v>
      </c>
      <c r="T278" s="18"/>
      <c r="U278" s="28" t="s">
        <v>108</v>
      </c>
      <c r="V278" s="18"/>
      <c r="W278" s="28" t="s">
        <v>108</v>
      </c>
      <c r="X278" s="18"/>
      <c r="Y278" s="28" t="s">
        <v>14</v>
      </c>
      <c r="Z278" s="18"/>
      <c r="AA278" s="28" t="s">
        <v>108</v>
      </c>
      <c r="AB278" s="18"/>
      <c r="AC278" s="28" t="s">
        <v>108</v>
      </c>
      <c r="AD278" s="18"/>
      <c r="AE278" s="28" t="s">
        <v>108</v>
      </c>
      <c r="AF278" s="47" t="str">
        <f t="shared" si="35"/>
        <v>C</v>
      </c>
      <c r="AG278" s="8" t="str">
        <f t="shared" ref="AG278:AG290" si="37">IF(AND(AE278="C",AF278="C"),"UTILIZOU O PDA CORRETAMENTE",IF(AND(AE278="C",AF278="NC"),"UTILIZOU O PDA CORRETAMENTE. NÃO HÁ FOTOS DE TODAS AS ETAPAS",IF(AND(AE278="NC",AF278="NC"),"NÃO UTILIZOU O PDA",IF(AND(AE278="NA",AF278="NA"),"NÃO AVALIADO POR FALHA DE SINCRONISMO"))))</f>
        <v>UTILIZOU O PDA CORRETAMENTE</v>
      </c>
      <c r="AH278" s="26" t="s">
        <v>108</v>
      </c>
      <c r="AI278" s="66" t="s">
        <v>1</v>
      </c>
      <c r="AJ278" s="22" t="str">
        <f t="shared" si="36"/>
        <v>GUARULHOS</v>
      </c>
      <c r="AK278" s="69" t="s">
        <v>4</v>
      </c>
    </row>
    <row r="279" spans="1:37" ht="30" customHeight="1" x14ac:dyDescent="0.2">
      <c r="A279" s="83" t="s">
        <v>101</v>
      </c>
      <c r="B279" s="83">
        <v>2616326554</v>
      </c>
      <c r="C279" s="83" t="s">
        <v>50</v>
      </c>
      <c r="D279" s="83" t="s">
        <v>29</v>
      </c>
      <c r="E279" s="83" t="s">
        <v>102</v>
      </c>
      <c r="F279" s="83" t="s">
        <v>1011</v>
      </c>
      <c r="G279" s="83">
        <v>24</v>
      </c>
      <c r="H279" s="83"/>
      <c r="I279" s="83" t="s">
        <v>191</v>
      </c>
      <c r="J279" s="83" t="s">
        <v>328</v>
      </c>
      <c r="K279" s="83" t="s">
        <v>1018</v>
      </c>
      <c r="L279" s="83" t="s">
        <v>987</v>
      </c>
      <c r="M279" s="83" t="s">
        <v>1019</v>
      </c>
      <c r="N279" s="83" t="s">
        <v>144</v>
      </c>
      <c r="O279" s="36" t="s">
        <v>108</v>
      </c>
      <c r="P279" s="18"/>
      <c r="Q279" s="28" t="s">
        <v>108</v>
      </c>
      <c r="R279" s="18"/>
      <c r="S279" s="28" t="s">
        <v>108</v>
      </c>
      <c r="T279" s="18"/>
      <c r="U279" s="28" t="s">
        <v>108</v>
      </c>
      <c r="V279" s="18"/>
      <c r="W279" s="28" t="s">
        <v>108</v>
      </c>
      <c r="X279" s="18"/>
      <c r="Y279" s="28" t="s">
        <v>14</v>
      </c>
      <c r="Z279" s="18"/>
      <c r="AA279" s="28" t="s">
        <v>108</v>
      </c>
      <c r="AB279" s="18"/>
      <c r="AC279" s="28" t="s">
        <v>108</v>
      </c>
      <c r="AD279" s="18"/>
      <c r="AE279" s="28" t="s">
        <v>108</v>
      </c>
      <c r="AF279" s="47" t="str">
        <f t="shared" si="35"/>
        <v>C</v>
      </c>
      <c r="AG279" s="8" t="str">
        <f t="shared" si="37"/>
        <v>UTILIZOU O PDA CORRETAMENTE</v>
      </c>
      <c r="AH279" s="26" t="s">
        <v>108</v>
      </c>
      <c r="AI279" s="66" t="s">
        <v>1</v>
      </c>
      <c r="AJ279" s="22" t="str">
        <f t="shared" si="36"/>
        <v>GUARULHOS</v>
      </c>
      <c r="AK279" s="69" t="s">
        <v>4</v>
      </c>
    </row>
    <row r="280" spans="1:37" ht="30" customHeight="1" x14ac:dyDescent="0.2">
      <c r="A280" s="83" t="s">
        <v>101</v>
      </c>
      <c r="B280" s="83">
        <v>2616347516</v>
      </c>
      <c r="C280" s="83" t="s">
        <v>50</v>
      </c>
      <c r="D280" s="83" t="s">
        <v>29</v>
      </c>
      <c r="E280" s="83" t="s">
        <v>102</v>
      </c>
      <c r="F280" s="83" t="s">
        <v>1021</v>
      </c>
      <c r="G280" s="83">
        <v>68</v>
      </c>
      <c r="H280" s="83" t="s">
        <v>1022</v>
      </c>
      <c r="I280" s="83" t="s">
        <v>483</v>
      </c>
      <c r="J280" s="83" t="s">
        <v>130</v>
      </c>
      <c r="K280" s="83" t="s">
        <v>208</v>
      </c>
      <c r="L280" s="83" t="s">
        <v>987</v>
      </c>
      <c r="M280" s="83" t="s">
        <v>1023</v>
      </c>
      <c r="N280" s="83" t="s">
        <v>209</v>
      </c>
      <c r="O280" s="36" t="s">
        <v>108</v>
      </c>
      <c r="P280" s="18"/>
      <c r="Q280" s="28" t="s">
        <v>108</v>
      </c>
      <c r="R280" s="18"/>
      <c r="S280" s="28" t="s">
        <v>108</v>
      </c>
      <c r="T280" s="18"/>
      <c r="U280" s="28" t="s">
        <v>108</v>
      </c>
      <c r="V280" s="18"/>
      <c r="W280" s="28" t="s">
        <v>108</v>
      </c>
      <c r="X280" s="18"/>
      <c r="Y280" s="28" t="s">
        <v>14</v>
      </c>
      <c r="Z280" s="18"/>
      <c r="AA280" s="28" t="s">
        <v>108</v>
      </c>
      <c r="AB280" s="18"/>
      <c r="AC280" s="28" t="s">
        <v>108</v>
      </c>
      <c r="AD280" s="18"/>
      <c r="AE280" s="28" t="s">
        <v>108</v>
      </c>
      <c r="AF280" s="47" t="str">
        <f t="shared" si="35"/>
        <v>C</v>
      </c>
      <c r="AG280" s="8" t="str">
        <f t="shared" si="37"/>
        <v>UTILIZOU O PDA CORRETAMENTE</v>
      </c>
      <c r="AH280" s="26" t="s">
        <v>108</v>
      </c>
      <c r="AI280" s="66" t="s">
        <v>1</v>
      </c>
      <c r="AJ280" s="22" t="str">
        <f t="shared" si="36"/>
        <v>GUARULHOS</v>
      </c>
      <c r="AK280" s="69" t="s">
        <v>4</v>
      </c>
    </row>
    <row r="281" spans="1:37" ht="30" customHeight="1" x14ac:dyDescent="0.2">
      <c r="A281" s="83" t="s">
        <v>101</v>
      </c>
      <c r="B281" s="83">
        <v>2690852206</v>
      </c>
      <c r="C281" s="83" t="s">
        <v>47</v>
      </c>
      <c r="D281" s="83" t="s">
        <v>29</v>
      </c>
      <c r="E281" s="83" t="s">
        <v>102</v>
      </c>
      <c r="F281" s="83" t="s">
        <v>1024</v>
      </c>
      <c r="G281" s="83">
        <v>674</v>
      </c>
      <c r="H281" s="83" t="s">
        <v>1025</v>
      </c>
      <c r="I281" s="83" t="s">
        <v>340</v>
      </c>
      <c r="J281" s="83" t="s">
        <v>188</v>
      </c>
      <c r="K281" s="83"/>
      <c r="L281" s="83" t="s">
        <v>987</v>
      </c>
      <c r="M281" s="83" t="s">
        <v>1026</v>
      </c>
      <c r="N281" s="83" t="s">
        <v>209</v>
      </c>
      <c r="O281" s="36" t="s">
        <v>108</v>
      </c>
      <c r="P281" s="18"/>
      <c r="Q281" s="28" t="s">
        <v>108</v>
      </c>
      <c r="R281" s="18"/>
      <c r="S281" s="28" t="s">
        <v>108</v>
      </c>
      <c r="T281" s="18"/>
      <c r="U281" s="28" t="s">
        <v>108</v>
      </c>
      <c r="V281" s="18"/>
      <c r="W281" s="28" t="s">
        <v>108</v>
      </c>
      <c r="X281" s="18"/>
      <c r="Y281" s="28" t="s">
        <v>14</v>
      </c>
      <c r="Z281" s="18"/>
      <c r="AA281" s="28" t="s">
        <v>108</v>
      </c>
      <c r="AB281" s="18"/>
      <c r="AC281" s="28" t="s">
        <v>108</v>
      </c>
      <c r="AD281" s="18"/>
      <c r="AE281" s="28" t="s">
        <v>108</v>
      </c>
      <c r="AF281" s="47" t="str">
        <f t="shared" si="35"/>
        <v>C</v>
      </c>
      <c r="AG281" s="8" t="str">
        <f t="shared" si="37"/>
        <v>UTILIZOU O PDA CORRETAMENTE</v>
      </c>
      <c r="AH281" s="26" t="s">
        <v>108</v>
      </c>
      <c r="AI281" s="66" t="s">
        <v>1</v>
      </c>
      <c r="AJ281" s="22" t="str">
        <f t="shared" si="36"/>
        <v>GUARULHOS</v>
      </c>
      <c r="AK281" s="69" t="s">
        <v>4</v>
      </c>
    </row>
    <row r="282" spans="1:37" ht="30" customHeight="1" x14ac:dyDescent="0.2">
      <c r="A282" s="83" t="s">
        <v>101</v>
      </c>
      <c r="B282" s="83">
        <v>2616359788</v>
      </c>
      <c r="C282" s="83" t="s">
        <v>45</v>
      </c>
      <c r="D282" s="83" t="s">
        <v>27</v>
      </c>
      <c r="E282" s="83" t="s">
        <v>102</v>
      </c>
      <c r="F282" s="83" t="s">
        <v>268</v>
      </c>
      <c r="G282" s="83">
        <v>360</v>
      </c>
      <c r="H282" s="83" t="s">
        <v>1028</v>
      </c>
      <c r="I282" s="83" t="s">
        <v>264</v>
      </c>
      <c r="J282" s="83" t="s">
        <v>150</v>
      </c>
      <c r="K282" s="83" t="s">
        <v>1029</v>
      </c>
      <c r="L282" s="83" t="s">
        <v>987</v>
      </c>
      <c r="M282" s="83" t="s">
        <v>1030</v>
      </c>
      <c r="N282" s="83" t="s">
        <v>274</v>
      </c>
      <c r="O282" s="35" t="s">
        <v>108</v>
      </c>
      <c r="P282" s="25"/>
      <c r="Q282" s="26" t="s">
        <v>108</v>
      </c>
      <c r="R282" s="25"/>
      <c r="S282" s="26" t="s">
        <v>108</v>
      </c>
      <c r="T282" s="25"/>
      <c r="U282" s="26" t="s">
        <v>108</v>
      </c>
      <c r="V282" s="25"/>
      <c r="W282" s="26" t="s">
        <v>108</v>
      </c>
      <c r="X282" s="25"/>
      <c r="Y282" s="26" t="s">
        <v>108</v>
      </c>
      <c r="Z282" s="25"/>
      <c r="AA282" s="26" t="s">
        <v>108</v>
      </c>
      <c r="AB282" s="25"/>
      <c r="AC282" s="26" t="s">
        <v>108</v>
      </c>
      <c r="AD282" s="10"/>
      <c r="AE282" s="26" t="s">
        <v>108</v>
      </c>
      <c r="AF282" s="47" t="str">
        <f t="shared" si="35"/>
        <v>C</v>
      </c>
      <c r="AG282" s="8" t="str">
        <f t="shared" si="37"/>
        <v>UTILIZOU O PDA CORRETAMENTE</v>
      </c>
      <c r="AH282" s="26" t="s">
        <v>108</v>
      </c>
      <c r="AI282" s="66" t="s">
        <v>1</v>
      </c>
      <c r="AJ282" s="22" t="str">
        <f t="shared" si="36"/>
        <v>GUARULHOS</v>
      </c>
      <c r="AK282" s="69" t="s">
        <v>4</v>
      </c>
    </row>
    <row r="283" spans="1:37" ht="30" customHeight="1" x14ac:dyDescent="0.2">
      <c r="A283" s="83" t="s">
        <v>101</v>
      </c>
      <c r="B283" s="83">
        <v>2690834372</v>
      </c>
      <c r="C283" s="83" t="s">
        <v>37</v>
      </c>
      <c r="D283" s="83" t="s">
        <v>26</v>
      </c>
      <c r="E283" s="83" t="s">
        <v>102</v>
      </c>
      <c r="F283" s="83" t="s">
        <v>1031</v>
      </c>
      <c r="G283" s="83">
        <v>274</v>
      </c>
      <c r="H283" s="83" t="s">
        <v>1032</v>
      </c>
      <c r="I283" s="83" t="s">
        <v>647</v>
      </c>
      <c r="J283" s="83" t="s">
        <v>230</v>
      </c>
      <c r="K283" s="83" t="s">
        <v>117</v>
      </c>
      <c r="L283" s="83" t="s">
        <v>987</v>
      </c>
      <c r="M283" s="83" t="s">
        <v>1033</v>
      </c>
      <c r="N283" s="83" t="s">
        <v>131</v>
      </c>
      <c r="O283" s="36" t="s">
        <v>108</v>
      </c>
      <c r="P283" s="28"/>
      <c r="Q283" s="28" t="s">
        <v>108</v>
      </c>
      <c r="R283" s="65"/>
      <c r="S283" s="28" t="s">
        <v>108</v>
      </c>
      <c r="T283" s="28"/>
      <c r="U283" s="28" t="s">
        <v>108</v>
      </c>
      <c r="V283" s="28"/>
      <c r="W283" s="28" t="s">
        <v>108</v>
      </c>
      <c r="X283" s="28"/>
      <c r="Y283" s="28" t="s">
        <v>14</v>
      </c>
      <c r="Z283" s="28"/>
      <c r="AA283" s="28" t="s">
        <v>108</v>
      </c>
      <c r="AB283" s="28"/>
      <c r="AC283" s="28" t="s">
        <v>108</v>
      </c>
      <c r="AD283" s="28"/>
      <c r="AE283" s="28" t="s">
        <v>108</v>
      </c>
      <c r="AF283" s="47" t="str">
        <f t="shared" si="35"/>
        <v>C</v>
      </c>
      <c r="AG283" s="8" t="str">
        <f t="shared" si="37"/>
        <v>UTILIZOU O PDA CORRETAMENTE</v>
      </c>
      <c r="AH283" s="28" t="s">
        <v>108</v>
      </c>
      <c r="AI283" s="66" t="s">
        <v>1</v>
      </c>
      <c r="AJ283" s="22" t="str">
        <f t="shared" si="36"/>
        <v>GUARULHOS</v>
      </c>
      <c r="AK283" s="69" t="s">
        <v>4</v>
      </c>
    </row>
    <row r="284" spans="1:37" ht="30" customHeight="1" x14ac:dyDescent="0.2">
      <c r="A284" s="83" t="s">
        <v>101</v>
      </c>
      <c r="B284" s="83">
        <v>2690884590</v>
      </c>
      <c r="C284" s="83" t="s">
        <v>47</v>
      </c>
      <c r="D284" s="83" t="s">
        <v>29</v>
      </c>
      <c r="E284" s="83" t="s">
        <v>102</v>
      </c>
      <c r="F284" s="83" t="s">
        <v>1036</v>
      </c>
      <c r="G284" s="83">
        <v>41</v>
      </c>
      <c r="H284" s="83" t="s">
        <v>117</v>
      </c>
      <c r="I284" s="83" t="s">
        <v>247</v>
      </c>
      <c r="J284" s="83" t="s">
        <v>170</v>
      </c>
      <c r="K284" s="83" t="s">
        <v>1037</v>
      </c>
      <c r="L284" s="83" t="s">
        <v>1038</v>
      </c>
      <c r="M284" s="83" t="s">
        <v>1039</v>
      </c>
      <c r="N284" s="83" t="s">
        <v>253</v>
      </c>
      <c r="O284" s="36" t="s">
        <v>108</v>
      </c>
      <c r="P284" s="18"/>
      <c r="Q284" s="28" t="s">
        <v>108</v>
      </c>
      <c r="R284" s="18"/>
      <c r="S284" s="28" t="s">
        <v>108</v>
      </c>
      <c r="T284" s="18"/>
      <c r="U284" s="28" t="s">
        <v>108</v>
      </c>
      <c r="V284" s="18"/>
      <c r="W284" s="28" t="s">
        <v>108</v>
      </c>
      <c r="X284" s="18"/>
      <c r="Y284" s="28" t="s">
        <v>14</v>
      </c>
      <c r="Z284" s="18"/>
      <c r="AA284" s="28" t="s">
        <v>108</v>
      </c>
      <c r="AB284" s="18"/>
      <c r="AC284" s="28" t="s">
        <v>108</v>
      </c>
      <c r="AD284" s="18"/>
      <c r="AE284" s="28" t="s">
        <v>108</v>
      </c>
      <c r="AF284" s="47" t="str">
        <f t="shared" si="35"/>
        <v>C</v>
      </c>
      <c r="AG284" s="8" t="str">
        <f t="shared" si="37"/>
        <v>UTILIZOU O PDA CORRETAMENTE</v>
      </c>
      <c r="AH284" s="26" t="s">
        <v>108</v>
      </c>
      <c r="AI284" s="66" t="s">
        <v>1</v>
      </c>
      <c r="AJ284" s="22" t="str">
        <f t="shared" si="36"/>
        <v>GUARULHOS</v>
      </c>
      <c r="AK284" s="69" t="s">
        <v>4</v>
      </c>
    </row>
    <row r="285" spans="1:37" ht="30" customHeight="1" x14ac:dyDescent="0.2">
      <c r="A285" s="83" t="s">
        <v>101</v>
      </c>
      <c r="B285" s="83">
        <v>2616412974</v>
      </c>
      <c r="C285" s="83" t="s">
        <v>43</v>
      </c>
      <c r="D285" s="83" t="s">
        <v>29</v>
      </c>
      <c r="E285" s="83" t="s">
        <v>102</v>
      </c>
      <c r="F285" s="83" t="s">
        <v>503</v>
      </c>
      <c r="G285" s="83">
        <v>310</v>
      </c>
      <c r="H285" s="83" t="s">
        <v>1041</v>
      </c>
      <c r="I285" s="83" t="s">
        <v>237</v>
      </c>
      <c r="J285" s="83" t="s">
        <v>188</v>
      </c>
      <c r="K285" s="83" t="s">
        <v>1042</v>
      </c>
      <c r="L285" s="83" t="s">
        <v>1038</v>
      </c>
      <c r="M285" s="83" t="s">
        <v>1043</v>
      </c>
      <c r="N285" s="83" t="s">
        <v>163</v>
      </c>
      <c r="O285" s="35" t="s">
        <v>108</v>
      </c>
      <c r="P285" s="25"/>
      <c r="Q285" s="26" t="s">
        <v>108</v>
      </c>
      <c r="R285" s="25"/>
      <c r="S285" s="26" t="s">
        <v>108</v>
      </c>
      <c r="T285" s="25"/>
      <c r="U285" s="26" t="s">
        <v>108</v>
      </c>
      <c r="V285" s="25"/>
      <c r="W285" s="26" t="s">
        <v>108</v>
      </c>
      <c r="X285" s="25"/>
      <c r="Y285" s="26" t="s">
        <v>108</v>
      </c>
      <c r="Z285" s="25"/>
      <c r="AA285" s="26" t="s">
        <v>108</v>
      </c>
      <c r="AB285" s="25"/>
      <c r="AC285" s="26" t="s">
        <v>108</v>
      </c>
      <c r="AD285" s="10"/>
      <c r="AE285" s="26" t="s">
        <v>108</v>
      </c>
      <c r="AF285" s="47" t="str">
        <f t="shared" si="35"/>
        <v>C</v>
      </c>
      <c r="AG285" s="8" t="str">
        <f t="shared" si="37"/>
        <v>UTILIZOU O PDA CORRETAMENTE</v>
      </c>
      <c r="AH285" s="26" t="s">
        <v>108</v>
      </c>
      <c r="AI285" s="66" t="s">
        <v>1</v>
      </c>
      <c r="AJ285" s="22" t="str">
        <f t="shared" si="36"/>
        <v>GUARULHOS</v>
      </c>
      <c r="AK285" s="69" t="s">
        <v>4</v>
      </c>
    </row>
    <row r="286" spans="1:37" ht="30" customHeight="1" x14ac:dyDescent="0.2">
      <c r="A286" s="83" t="s">
        <v>101</v>
      </c>
      <c r="B286" s="83">
        <v>2616389060</v>
      </c>
      <c r="C286" s="83" t="s">
        <v>50</v>
      </c>
      <c r="D286" s="83" t="s">
        <v>29</v>
      </c>
      <c r="E286" s="83" t="s">
        <v>102</v>
      </c>
      <c r="F286" s="83" t="s">
        <v>1044</v>
      </c>
      <c r="G286" s="83">
        <v>181</v>
      </c>
      <c r="H286" s="83" t="s">
        <v>1045</v>
      </c>
      <c r="I286" s="83" t="s">
        <v>576</v>
      </c>
      <c r="J286" s="83" t="s">
        <v>130</v>
      </c>
      <c r="K286" s="83"/>
      <c r="L286" s="83" t="s">
        <v>1038</v>
      </c>
      <c r="M286" s="83" t="s">
        <v>1046</v>
      </c>
      <c r="N286" s="83" t="s">
        <v>171</v>
      </c>
      <c r="O286" s="36" t="s">
        <v>108</v>
      </c>
      <c r="P286" s="18"/>
      <c r="Q286" s="28" t="s">
        <v>108</v>
      </c>
      <c r="R286" s="18"/>
      <c r="S286" s="28" t="s">
        <v>108</v>
      </c>
      <c r="T286" s="18"/>
      <c r="U286" s="28" t="s">
        <v>108</v>
      </c>
      <c r="V286" s="18"/>
      <c r="W286" s="28" t="s">
        <v>108</v>
      </c>
      <c r="X286" s="18"/>
      <c r="Y286" s="28" t="s">
        <v>14</v>
      </c>
      <c r="Z286" s="18"/>
      <c r="AA286" s="28" t="s">
        <v>108</v>
      </c>
      <c r="AB286" s="18"/>
      <c r="AC286" s="28" t="s">
        <v>108</v>
      </c>
      <c r="AD286" s="18"/>
      <c r="AE286" s="28" t="s">
        <v>108</v>
      </c>
      <c r="AF286" s="47" t="str">
        <f t="shared" si="35"/>
        <v>C</v>
      </c>
      <c r="AG286" s="8" t="str">
        <f t="shared" si="37"/>
        <v>UTILIZOU O PDA CORRETAMENTE</v>
      </c>
      <c r="AH286" s="26" t="s">
        <v>108</v>
      </c>
      <c r="AI286" s="66" t="s">
        <v>1</v>
      </c>
      <c r="AJ286" s="22" t="str">
        <f t="shared" si="36"/>
        <v>GUARULHOS</v>
      </c>
      <c r="AK286" s="69" t="s">
        <v>4</v>
      </c>
    </row>
    <row r="287" spans="1:37" ht="30" customHeight="1" x14ac:dyDescent="0.2">
      <c r="A287" s="83" t="s">
        <v>101</v>
      </c>
      <c r="B287" s="83">
        <v>2616228251</v>
      </c>
      <c r="C287" s="83" t="s">
        <v>39</v>
      </c>
      <c r="D287" s="83" t="s">
        <v>25</v>
      </c>
      <c r="E287" s="83" t="s">
        <v>102</v>
      </c>
      <c r="F287" s="83" t="s">
        <v>1047</v>
      </c>
      <c r="G287" s="83">
        <v>142</v>
      </c>
      <c r="H287" s="83" t="s">
        <v>1048</v>
      </c>
      <c r="I287" s="83" t="s">
        <v>1049</v>
      </c>
      <c r="J287" s="83" t="s">
        <v>39</v>
      </c>
      <c r="K287" s="83" t="s">
        <v>1050</v>
      </c>
      <c r="L287" s="83" t="s">
        <v>1038</v>
      </c>
      <c r="M287" s="83" t="s">
        <v>1051</v>
      </c>
      <c r="N287" s="83" t="s">
        <v>113</v>
      </c>
      <c r="O287" s="36" t="s">
        <v>108</v>
      </c>
      <c r="P287" s="18"/>
      <c r="Q287" s="28" t="s">
        <v>14</v>
      </c>
      <c r="R287" s="18"/>
      <c r="S287" s="28" t="s">
        <v>14</v>
      </c>
      <c r="T287" s="18"/>
      <c r="U287" s="28" t="s">
        <v>14</v>
      </c>
      <c r="V287" s="18"/>
      <c r="W287" s="28" t="s">
        <v>14</v>
      </c>
      <c r="X287" s="18"/>
      <c r="Y287" s="28" t="s">
        <v>14</v>
      </c>
      <c r="Z287" s="18"/>
      <c r="AA287" s="28" t="s">
        <v>108</v>
      </c>
      <c r="AB287" s="18"/>
      <c r="AC287" s="28" t="s">
        <v>108</v>
      </c>
      <c r="AD287" s="18"/>
      <c r="AE287" s="28" t="s">
        <v>108</v>
      </c>
      <c r="AF287" s="47" t="str">
        <f t="shared" si="35"/>
        <v>C</v>
      </c>
      <c r="AG287" s="8" t="str">
        <f t="shared" si="37"/>
        <v>UTILIZOU O PDA CORRETAMENTE</v>
      </c>
      <c r="AH287" s="28" t="s">
        <v>108</v>
      </c>
      <c r="AI287" s="66" t="s">
        <v>1</v>
      </c>
      <c r="AJ287" s="22" t="str">
        <f t="shared" si="36"/>
        <v>GUARULHOS</v>
      </c>
      <c r="AK287" s="69" t="s">
        <v>4</v>
      </c>
    </row>
    <row r="288" spans="1:37" ht="30" customHeight="1" x14ac:dyDescent="0.2">
      <c r="A288" s="83" t="s">
        <v>101</v>
      </c>
      <c r="B288" s="83">
        <v>2690884101</v>
      </c>
      <c r="C288" s="83" t="s">
        <v>51</v>
      </c>
      <c r="D288" s="83" t="s">
        <v>29</v>
      </c>
      <c r="E288" s="83" t="s">
        <v>102</v>
      </c>
      <c r="F288" s="83" t="s">
        <v>682</v>
      </c>
      <c r="G288" s="83">
        <v>66</v>
      </c>
      <c r="H288" s="83" t="s">
        <v>1053</v>
      </c>
      <c r="I288" s="83" t="s">
        <v>647</v>
      </c>
      <c r="J288" s="83" t="s">
        <v>170</v>
      </c>
      <c r="K288" s="83"/>
      <c r="L288" s="83" t="s">
        <v>1038</v>
      </c>
      <c r="M288" s="83" t="s">
        <v>1054</v>
      </c>
      <c r="N288" s="83" t="s">
        <v>192</v>
      </c>
      <c r="O288" s="36" t="s">
        <v>108</v>
      </c>
      <c r="P288" s="18"/>
      <c r="Q288" s="28" t="s">
        <v>108</v>
      </c>
      <c r="R288" s="18"/>
      <c r="S288" s="28" t="s">
        <v>108</v>
      </c>
      <c r="T288" s="18"/>
      <c r="U288" s="28" t="s">
        <v>108</v>
      </c>
      <c r="V288" s="18"/>
      <c r="W288" s="28" t="s">
        <v>108</v>
      </c>
      <c r="X288" s="18"/>
      <c r="Y288" s="28" t="s">
        <v>14</v>
      </c>
      <c r="Z288" s="18"/>
      <c r="AA288" s="28" t="s">
        <v>108</v>
      </c>
      <c r="AB288" s="18"/>
      <c r="AC288" s="28" t="s">
        <v>108</v>
      </c>
      <c r="AD288" s="18"/>
      <c r="AE288" s="28" t="s">
        <v>108</v>
      </c>
      <c r="AF288" s="47" t="str">
        <f t="shared" si="35"/>
        <v>C</v>
      </c>
      <c r="AG288" s="8" t="str">
        <f t="shared" si="37"/>
        <v>UTILIZOU O PDA CORRETAMENTE</v>
      </c>
      <c r="AH288" s="26" t="s">
        <v>108</v>
      </c>
      <c r="AI288" s="66" t="s">
        <v>1</v>
      </c>
      <c r="AJ288" s="22" t="str">
        <f t="shared" si="36"/>
        <v>GUARULHOS</v>
      </c>
      <c r="AK288" s="69" t="s">
        <v>4</v>
      </c>
    </row>
    <row r="289" spans="1:37" ht="30" customHeight="1" x14ac:dyDescent="0.2">
      <c r="A289" s="83" t="s">
        <v>101</v>
      </c>
      <c r="B289" s="83">
        <v>2690888394</v>
      </c>
      <c r="C289" s="83" t="s">
        <v>518</v>
      </c>
      <c r="D289" s="83" t="s">
        <v>29</v>
      </c>
      <c r="E289" s="83" t="s">
        <v>102</v>
      </c>
      <c r="F289" s="83" t="s">
        <v>1055</v>
      </c>
      <c r="G289" s="83">
        <v>192</v>
      </c>
      <c r="H289" s="83" t="s">
        <v>117</v>
      </c>
      <c r="I289" s="83" t="s">
        <v>308</v>
      </c>
      <c r="J289" s="83" t="s">
        <v>159</v>
      </c>
      <c r="K289" s="83" t="s">
        <v>275</v>
      </c>
      <c r="L289" s="83" t="s">
        <v>1038</v>
      </c>
      <c r="M289" s="83" t="s">
        <v>1056</v>
      </c>
      <c r="N289" s="83" t="s">
        <v>192</v>
      </c>
      <c r="O289" s="36" t="s">
        <v>108</v>
      </c>
      <c r="P289" s="18"/>
      <c r="Q289" s="28" t="s">
        <v>108</v>
      </c>
      <c r="R289" s="18"/>
      <c r="S289" s="28" t="s">
        <v>108</v>
      </c>
      <c r="T289" s="18"/>
      <c r="U289" s="28" t="s">
        <v>108</v>
      </c>
      <c r="V289" s="18"/>
      <c r="W289" s="28" t="s">
        <v>108</v>
      </c>
      <c r="X289" s="18"/>
      <c r="Y289" s="28" t="s">
        <v>14</v>
      </c>
      <c r="Z289" s="18"/>
      <c r="AA289" s="28" t="s">
        <v>108</v>
      </c>
      <c r="AB289" s="18"/>
      <c r="AC289" s="28" t="s">
        <v>108</v>
      </c>
      <c r="AD289" s="18"/>
      <c r="AE289" s="28" t="s">
        <v>108</v>
      </c>
      <c r="AF289" s="47" t="str">
        <f t="shared" si="35"/>
        <v>C</v>
      </c>
      <c r="AG289" s="8" t="str">
        <f t="shared" si="37"/>
        <v>UTILIZOU O PDA CORRETAMENTE</v>
      </c>
      <c r="AH289" s="26" t="s">
        <v>108</v>
      </c>
      <c r="AI289" s="66" t="s">
        <v>1</v>
      </c>
      <c r="AJ289" s="22" t="str">
        <f t="shared" si="36"/>
        <v>GUARULHOS</v>
      </c>
      <c r="AK289" s="69" t="s">
        <v>4</v>
      </c>
    </row>
    <row r="290" spans="1:37" ht="30" customHeight="1" x14ac:dyDescent="0.2">
      <c r="A290" s="83" t="s">
        <v>101</v>
      </c>
      <c r="B290" s="83">
        <v>2616188342</v>
      </c>
      <c r="C290" s="83" t="s">
        <v>33</v>
      </c>
      <c r="D290" s="83" t="s">
        <v>25</v>
      </c>
      <c r="E290" s="83" t="s">
        <v>102</v>
      </c>
      <c r="F290" s="83" t="s">
        <v>1058</v>
      </c>
      <c r="G290" s="83">
        <v>801</v>
      </c>
      <c r="H290" s="83" t="s">
        <v>117</v>
      </c>
      <c r="I290" s="83" t="s">
        <v>237</v>
      </c>
      <c r="J290" s="83" t="s">
        <v>33</v>
      </c>
      <c r="K290" s="83" t="s">
        <v>117</v>
      </c>
      <c r="L290" s="83" t="s">
        <v>1059</v>
      </c>
      <c r="M290" s="83" t="s">
        <v>1060</v>
      </c>
      <c r="N290" s="83" t="s">
        <v>113</v>
      </c>
      <c r="O290" s="36" t="s">
        <v>108</v>
      </c>
      <c r="P290" s="18"/>
      <c r="Q290" s="28" t="s">
        <v>108</v>
      </c>
      <c r="R290" s="18"/>
      <c r="S290" s="28" t="s">
        <v>108</v>
      </c>
      <c r="T290" s="18"/>
      <c r="U290" s="28" t="s">
        <v>108</v>
      </c>
      <c r="V290" s="18"/>
      <c r="W290" s="28" t="s">
        <v>108</v>
      </c>
      <c r="X290" s="18"/>
      <c r="Y290" s="28" t="s">
        <v>108</v>
      </c>
      <c r="Z290" s="18"/>
      <c r="AA290" s="28" t="s">
        <v>108</v>
      </c>
      <c r="AB290" s="18"/>
      <c r="AC290" s="28" t="s">
        <v>108</v>
      </c>
      <c r="AD290" s="18"/>
      <c r="AE290" s="28" t="s">
        <v>108</v>
      </c>
      <c r="AF290" s="47" t="str">
        <f t="shared" si="35"/>
        <v>C</v>
      </c>
      <c r="AG290" s="8" t="str">
        <f t="shared" si="37"/>
        <v>UTILIZOU O PDA CORRETAMENTE</v>
      </c>
      <c r="AH290" s="28" t="s">
        <v>108</v>
      </c>
      <c r="AI290" s="66" t="s">
        <v>1</v>
      </c>
      <c r="AJ290" s="22" t="str">
        <f t="shared" si="36"/>
        <v>GUARULHOS</v>
      </c>
      <c r="AK290" s="69" t="s">
        <v>4</v>
      </c>
    </row>
    <row r="291" spans="1:37" ht="30" customHeight="1" x14ac:dyDescent="0.2">
      <c r="A291" s="83" t="s">
        <v>101</v>
      </c>
      <c r="B291" s="83">
        <v>2690989959</v>
      </c>
      <c r="C291" s="83" t="s">
        <v>46</v>
      </c>
      <c r="D291" s="83" t="s">
        <v>29</v>
      </c>
      <c r="E291" s="83" t="s">
        <v>102</v>
      </c>
      <c r="F291" s="83" t="s">
        <v>822</v>
      </c>
      <c r="G291" s="83">
        <v>65</v>
      </c>
      <c r="H291" s="83" t="s">
        <v>1064</v>
      </c>
      <c r="I291" s="83" t="s">
        <v>282</v>
      </c>
      <c r="J291" s="83" t="s">
        <v>170</v>
      </c>
      <c r="K291" s="83" t="s">
        <v>1065</v>
      </c>
      <c r="L291" s="83" t="s">
        <v>1059</v>
      </c>
      <c r="M291" s="83" t="s">
        <v>1066</v>
      </c>
      <c r="N291" s="83" t="s">
        <v>160</v>
      </c>
      <c r="O291" s="36" t="s">
        <v>108</v>
      </c>
      <c r="P291" s="18"/>
      <c r="Q291" s="28" t="s">
        <v>108</v>
      </c>
      <c r="R291" s="18"/>
      <c r="S291" s="28" t="s">
        <v>108</v>
      </c>
      <c r="T291" s="18"/>
      <c r="U291" s="28" t="s">
        <v>108</v>
      </c>
      <c r="V291" s="18"/>
      <c r="W291" s="28" t="s">
        <v>108</v>
      </c>
      <c r="X291" s="18"/>
      <c r="Y291" s="28" t="s">
        <v>14</v>
      </c>
      <c r="Z291" s="18"/>
      <c r="AA291" s="28" t="s">
        <v>108</v>
      </c>
      <c r="AB291" s="18"/>
      <c r="AC291" s="28" t="s">
        <v>108</v>
      </c>
      <c r="AD291" s="18"/>
      <c r="AE291" s="28" t="s">
        <v>108</v>
      </c>
      <c r="AF291" s="47" t="str">
        <f t="shared" si="35"/>
        <v>C</v>
      </c>
      <c r="AG291" s="8" t="str">
        <f t="shared" ref="AG291:AG304" si="38">IF(AND(AE291="C",AF291="C"),"UTILIZOU O PDA CORRETAMENTE",IF(AND(AE291="C",AF291="NC"),"UTILIZOU O PDA CORRETAMENTE. NÃO HÁ FOTOS DE TODAS AS ETAPAS",IF(AND(AE291="NC",AF291="NC"),"NÃO UTILIZOU O PDA",IF(AND(AE291="NA",AF291="NA"),"NÃO AVALIADO POR FALHA DE SINCRONISMO"))))</f>
        <v>UTILIZOU O PDA CORRETAMENTE</v>
      </c>
      <c r="AH291" s="26" t="s">
        <v>108</v>
      </c>
      <c r="AI291" s="66" t="s">
        <v>1</v>
      </c>
      <c r="AJ291" s="22" t="str">
        <f t="shared" si="36"/>
        <v>GUARULHOS</v>
      </c>
      <c r="AK291" s="69" t="s">
        <v>4</v>
      </c>
    </row>
    <row r="292" spans="1:37" ht="30" customHeight="1" x14ac:dyDescent="0.2">
      <c r="A292" s="83" t="s">
        <v>101</v>
      </c>
      <c r="B292" s="83">
        <v>2690971043</v>
      </c>
      <c r="C292" s="83" t="s">
        <v>51</v>
      </c>
      <c r="D292" s="83" t="s">
        <v>29</v>
      </c>
      <c r="E292" s="83" t="s">
        <v>102</v>
      </c>
      <c r="F292" s="83" t="s">
        <v>1067</v>
      </c>
      <c r="G292" s="83">
        <v>23</v>
      </c>
      <c r="H292" s="83" t="s">
        <v>1068</v>
      </c>
      <c r="I292" s="83" t="s">
        <v>179</v>
      </c>
      <c r="J292" s="83" t="s">
        <v>188</v>
      </c>
      <c r="K292" s="83" t="s">
        <v>1069</v>
      </c>
      <c r="L292" s="83" t="s">
        <v>1059</v>
      </c>
      <c r="M292" s="83" t="s">
        <v>1070</v>
      </c>
      <c r="N292" s="83" t="s">
        <v>192</v>
      </c>
      <c r="O292" s="36" t="s">
        <v>108</v>
      </c>
      <c r="P292" s="18"/>
      <c r="Q292" s="28" t="s">
        <v>108</v>
      </c>
      <c r="R292" s="18"/>
      <c r="S292" s="28" t="s">
        <v>108</v>
      </c>
      <c r="T292" s="18"/>
      <c r="U292" s="28" t="s">
        <v>108</v>
      </c>
      <c r="V292" s="18"/>
      <c r="W292" s="28" t="s">
        <v>108</v>
      </c>
      <c r="X292" s="18"/>
      <c r="Y292" s="28" t="s">
        <v>14</v>
      </c>
      <c r="Z292" s="18"/>
      <c r="AA292" s="28" t="s">
        <v>108</v>
      </c>
      <c r="AB292" s="18"/>
      <c r="AC292" s="28" t="s">
        <v>108</v>
      </c>
      <c r="AD292" s="18"/>
      <c r="AE292" s="28" t="s">
        <v>108</v>
      </c>
      <c r="AF292" s="47" t="str">
        <f t="shared" si="35"/>
        <v>C</v>
      </c>
      <c r="AG292" s="8" t="str">
        <f t="shared" si="38"/>
        <v>UTILIZOU O PDA CORRETAMENTE</v>
      </c>
      <c r="AH292" s="26" t="s">
        <v>108</v>
      </c>
      <c r="AI292" s="66" t="s">
        <v>1</v>
      </c>
      <c r="AJ292" s="22" t="str">
        <f t="shared" si="36"/>
        <v>GUARULHOS</v>
      </c>
      <c r="AK292" s="69" t="s">
        <v>4</v>
      </c>
    </row>
    <row r="293" spans="1:37" ht="30" customHeight="1" x14ac:dyDescent="0.2">
      <c r="A293" s="83" t="s">
        <v>101</v>
      </c>
      <c r="B293" s="83">
        <v>2690964063</v>
      </c>
      <c r="C293" s="83" t="s">
        <v>47</v>
      </c>
      <c r="D293" s="83" t="s">
        <v>29</v>
      </c>
      <c r="E293" s="83" t="s">
        <v>102</v>
      </c>
      <c r="F293" s="83" t="s">
        <v>369</v>
      </c>
      <c r="G293" s="83">
        <v>158</v>
      </c>
      <c r="H293" s="83"/>
      <c r="I293" s="83" t="s">
        <v>1071</v>
      </c>
      <c r="J293" s="83" t="s">
        <v>170</v>
      </c>
      <c r="K293" s="83"/>
      <c r="L293" s="83" t="s">
        <v>1059</v>
      </c>
      <c r="M293" s="83" t="s">
        <v>1072</v>
      </c>
      <c r="N293" s="83" t="s">
        <v>205</v>
      </c>
      <c r="O293" s="36" t="s">
        <v>108</v>
      </c>
      <c r="P293" s="18"/>
      <c r="Q293" s="28" t="s">
        <v>108</v>
      </c>
      <c r="R293" s="18"/>
      <c r="S293" s="28" t="s">
        <v>108</v>
      </c>
      <c r="T293" s="18"/>
      <c r="U293" s="28" t="s">
        <v>108</v>
      </c>
      <c r="V293" s="18"/>
      <c r="W293" s="28" t="s">
        <v>108</v>
      </c>
      <c r="X293" s="18"/>
      <c r="Y293" s="28" t="s">
        <v>14</v>
      </c>
      <c r="Z293" s="18"/>
      <c r="AA293" s="28" t="s">
        <v>108</v>
      </c>
      <c r="AB293" s="18"/>
      <c r="AC293" s="28" t="s">
        <v>108</v>
      </c>
      <c r="AD293" s="18"/>
      <c r="AE293" s="28" t="s">
        <v>108</v>
      </c>
      <c r="AF293" s="47" t="str">
        <f t="shared" si="35"/>
        <v>C</v>
      </c>
      <c r="AG293" s="8" t="str">
        <f t="shared" si="38"/>
        <v>UTILIZOU O PDA CORRETAMENTE</v>
      </c>
      <c r="AH293" s="26" t="s">
        <v>108</v>
      </c>
      <c r="AI293" s="66" t="s">
        <v>1</v>
      </c>
      <c r="AJ293" s="22" t="str">
        <f t="shared" si="36"/>
        <v>GUARULHOS</v>
      </c>
      <c r="AK293" s="69" t="s">
        <v>4</v>
      </c>
    </row>
    <row r="294" spans="1:37" ht="30" customHeight="1" x14ac:dyDescent="0.2">
      <c r="A294" s="83" t="s">
        <v>101</v>
      </c>
      <c r="B294" s="83">
        <v>2691001507</v>
      </c>
      <c r="C294" s="83" t="s">
        <v>48</v>
      </c>
      <c r="D294" s="83" t="s">
        <v>29</v>
      </c>
      <c r="E294" s="83" t="s">
        <v>102</v>
      </c>
      <c r="F294" s="83" t="s">
        <v>958</v>
      </c>
      <c r="G294" s="83">
        <v>119</v>
      </c>
      <c r="H294" s="83" t="s">
        <v>117</v>
      </c>
      <c r="I294" s="83" t="s">
        <v>104</v>
      </c>
      <c r="J294" s="83" t="s">
        <v>188</v>
      </c>
      <c r="K294" s="83" t="s">
        <v>1074</v>
      </c>
      <c r="L294" s="83" t="s">
        <v>1059</v>
      </c>
      <c r="M294" s="83" t="s">
        <v>1075</v>
      </c>
      <c r="N294" s="83" t="s">
        <v>160</v>
      </c>
      <c r="O294" s="36" t="s">
        <v>108</v>
      </c>
      <c r="P294" s="18"/>
      <c r="Q294" s="28" t="s">
        <v>108</v>
      </c>
      <c r="R294" s="18"/>
      <c r="S294" s="28" t="s">
        <v>108</v>
      </c>
      <c r="T294" s="18"/>
      <c r="U294" s="28" t="s">
        <v>108</v>
      </c>
      <c r="V294" s="18"/>
      <c r="W294" s="28" t="s">
        <v>108</v>
      </c>
      <c r="X294" s="18"/>
      <c r="Y294" s="28" t="s">
        <v>14</v>
      </c>
      <c r="Z294" s="18"/>
      <c r="AA294" s="28" t="s">
        <v>108</v>
      </c>
      <c r="AB294" s="18"/>
      <c r="AC294" s="28" t="s">
        <v>108</v>
      </c>
      <c r="AD294" s="18"/>
      <c r="AE294" s="28" t="s">
        <v>108</v>
      </c>
      <c r="AF294" s="47" t="str">
        <f t="shared" si="35"/>
        <v>C</v>
      </c>
      <c r="AG294" s="8" t="str">
        <f t="shared" si="38"/>
        <v>UTILIZOU O PDA CORRETAMENTE</v>
      </c>
      <c r="AH294" s="26" t="s">
        <v>108</v>
      </c>
      <c r="AI294" s="66" t="s">
        <v>1</v>
      </c>
      <c r="AJ294" s="22" t="str">
        <f t="shared" si="36"/>
        <v>GUARULHOS</v>
      </c>
      <c r="AK294" s="69" t="s">
        <v>4</v>
      </c>
    </row>
    <row r="295" spans="1:37" ht="30" customHeight="1" x14ac:dyDescent="0.2">
      <c r="A295" s="83" t="s">
        <v>101</v>
      </c>
      <c r="B295" s="83">
        <v>2690971467</v>
      </c>
      <c r="C295" s="83" t="s">
        <v>43</v>
      </c>
      <c r="D295" s="83" t="s">
        <v>29</v>
      </c>
      <c r="E295" s="83" t="s">
        <v>102</v>
      </c>
      <c r="F295" s="83" t="s">
        <v>499</v>
      </c>
      <c r="G295" s="83">
        <v>19</v>
      </c>
      <c r="H295" s="83" t="s">
        <v>1028</v>
      </c>
      <c r="I295" s="83" t="s">
        <v>500</v>
      </c>
      <c r="J295" s="83" t="s">
        <v>188</v>
      </c>
      <c r="K295" s="83" t="s">
        <v>1076</v>
      </c>
      <c r="L295" s="83" t="s">
        <v>1059</v>
      </c>
      <c r="M295" s="83" t="s">
        <v>1077</v>
      </c>
      <c r="N295" s="83" t="s">
        <v>163</v>
      </c>
      <c r="O295" s="35" t="s">
        <v>108</v>
      </c>
      <c r="P295" s="25"/>
      <c r="Q295" s="26" t="s">
        <v>108</v>
      </c>
      <c r="R295" s="25"/>
      <c r="S295" s="26" t="s">
        <v>108</v>
      </c>
      <c r="T295" s="25"/>
      <c r="U295" s="26" t="s">
        <v>108</v>
      </c>
      <c r="V295" s="25"/>
      <c r="W295" s="26" t="s">
        <v>108</v>
      </c>
      <c r="X295" s="25"/>
      <c r="Y295" s="26" t="s">
        <v>108</v>
      </c>
      <c r="Z295" s="25"/>
      <c r="AA295" s="26" t="s">
        <v>108</v>
      </c>
      <c r="AB295" s="25"/>
      <c r="AC295" s="26" t="s">
        <v>108</v>
      </c>
      <c r="AD295" s="10"/>
      <c r="AE295" s="26" t="s">
        <v>108</v>
      </c>
      <c r="AF295" s="47" t="str">
        <f t="shared" si="35"/>
        <v>C</v>
      </c>
      <c r="AG295" s="8" t="str">
        <f t="shared" si="38"/>
        <v>UTILIZOU O PDA CORRETAMENTE</v>
      </c>
      <c r="AH295" s="26" t="s">
        <v>108</v>
      </c>
      <c r="AI295" s="66" t="s">
        <v>1</v>
      </c>
      <c r="AJ295" s="22" t="str">
        <f t="shared" si="36"/>
        <v>GUARULHOS</v>
      </c>
      <c r="AK295" s="69" t="s">
        <v>4</v>
      </c>
    </row>
    <row r="296" spans="1:37" ht="30" customHeight="1" x14ac:dyDescent="0.2">
      <c r="A296" s="83" t="s">
        <v>101</v>
      </c>
      <c r="B296" s="83">
        <v>2616543038</v>
      </c>
      <c r="C296" s="83" t="s">
        <v>43</v>
      </c>
      <c r="D296" s="83" t="s">
        <v>29</v>
      </c>
      <c r="E296" s="83" t="s">
        <v>102</v>
      </c>
      <c r="F296" s="83" t="s">
        <v>1078</v>
      </c>
      <c r="G296" s="83">
        <v>419</v>
      </c>
      <c r="H296" s="83" t="s">
        <v>1079</v>
      </c>
      <c r="I296" s="83" t="s">
        <v>884</v>
      </c>
      <c r="J296" s="83" t="s">
        <v>188</v>
      </c>
      <c r="K296" s="83" t="s">
        <v>1080</v>
      </c>
      <c r="L296" s="83" t="s">
        <v>1059</v>
      </c>
      <c r="M296" s="83" t="s">
        <v>1081</v>
      </c>
      <c r="N296" s="83" t="s">
        <v>171</v>
      </c>
      <c r="O296" s="35" t="s">
        <v>108</v>
      </c>
      <c r="P296" s="25"/>
      <c r="Q296" s="26" t="s">
        <v>108</v>
      </c>
      <c r="R296" s="25"/>
      <c r="S296" s="26" t="s">
        <v>108</v>
      </c>
      <c r="T296" s="25"/>
      <c r="U296" s="26" t="s">
        <v>108</v>
      </c>
      <c r="V296" s="25"/>
      <c r="W296" s="26" t="s">
        <v>108</v>
      </c>
      <c r="X296" s="25"/>
      <c r="Y296" s="26" t="s">
        <v>108</v>
      </c>
      <c r="Z296" s="25"/>
      <c r="AA296" s="26" t="s">
        <v>108</v>
      </c>
      <c r="AB296" s="25"/>
      <c r="AC296" s="26" t="s">
        <v>108</v>
      </c>
      <c r="AD296" s="10"/>
      <c r="AE296" s="26" t="s">
        <v>108</v>
      </c>
      <c r="AF296" s="47" t="str">
        <f t="shared" si="35"/>
        <v>C</v>
      </c>
      <c r="AG296" s="8" t="str">
        <f t="shared" si="38"/>
        <v>UTILIZOU O PDA CORRETAMENTE</v>
      </c>
      <c r="AH296" s="26" t="s">
        <v>108</v>
      </c>
      <c r="AI296" s="66" t="s">
        <v>1</v>
      </c>
      <c r="AJ296" s="22" t="str">
        <f t="shared" si="36"/>
        <v>GUARULHOS</v>
      </c>
      <c r="AK296" s="69" t="s">
        <v>4</v>
      </c>
    </row>
    <row r="297" spans="1:37" ht="30" customHeight="1" x14ac:dyDescent="0.2">
      <c r="A297" s="83" t="s">
        <v>101</v>
      </c>
      <c r="B297" s="83">
        <v>2616543038</v>
      </c>
      <c r="C297" s="83" t="s">
        <v>37</v>
      </c>
      <c r="D297" s="83" t="s">
        <v>26</v>
      </c>
      <c r="E297" s="83" t="s">
        <v>102</v>
      </c>
      <c r="F297" s="83" t="s">
        <v>1078</v>
      </c>
      <c r="G297" s="83">
        <v>419</v>
      </c>
      <c r="H297" s="83" t="s">
        <v>1079</v>
      </c>
      <c r="I297" s="83" t="s">
        <v>884</v>
      </c>
      <c r="J297" s="83" t="s">
        <v>230</v>
      </c>
      <c r="K297" s="83" t="s">
        <v>1080</v>
      </c>
      <c r="L297" s="83" t="s">
        <v>1059</v>
      </c>
      <c r="M297" s="83" t="s">
        <v>1082</v>
      </c>
      <c r="N297" s="83" t="s">
        <v>171</v>
      </c>
      <c r="O297" s="36" t="s">
        <v>108</v>
      </c>
      <c r="P297" s="28"/>
      <c r="Q297" s="28" t="s">
        <v>108</v>
      </c>
      <c r="R297" s="65"/>
      <c r="S297" s="28" t="s">
        <v>108</v>
      </c>
      <c r="T297" s="28"/>
      <c r="U297" s="28" t="s">
        <v>108</v>
      </c>
      <c r="V297" s="28"/>
      <c r="W297" s="28" t="s">
        <v>108</v>
      </c>
      <c r="X297" s="28"/>
      <c r="Y297" s="28" t="s">
        <v>14</v>
      </c>
      <c r="Z297" s="28"/>
      <c r="AA297" s="28" t="s">
        <v>108</v>
      </c>
      <c r="AB297" s="28"/>
      <c r="AC297" s="28" t="s">
        <v>108</v>
      </c>
      <c r="AD297" s="28"/>
      <c r="AE297" s="28" t="s">
        <v>108</v>
      </c>
      <c r="AF297" s="47" t="str">
        <f t="shared" si="35"/>
        <v>C</v>
      </c>
      <c r="AG297" s="8" t="str">
        <f t="shared" si="38"/>
        <v>UTILIZOU O PDA CORRETAMENTE</v>
      </c>
      <c r="AH297" s="28" t="s">
        <v>108</v>
      </c>
      <c r="AI297" s="66" t="s">
        <v>1</v>
      </c>
      <c r="AJ297" s="22" t="str">
        <f t="shared" si="36"/>
        <v>GUARULHOS</v>
      </c>
      <c r="AK297" s="69" t="s">
        <v>4</v>
      </c>
    </row>
    <row r="298" spans="1:37" ht="30" customHeight="1" x14ac:dyDescent="0.2">
      <c r="A298" s="83" t="s">
        <v>101</v>
      </c>
      <c r="B298" s="83">
        <v>2616545277</v>
      </c>
      <c r="C298" s="83" t="s">
        <v>37</v>
      </c>
      <c r="D298" s="83" t="s">
        <v>26</v>
      </c>
      <c r="E298" s="83" t="s">
        <v>102</v>
      </c>
      <c r="F298" s="83" t="s">
        <v>632</v>
      </c>
      <c r="G298" s="83">
        <v>669</v>
      </c>
      <c r="H298" s="83" t="s">
        <v>1083</v>
      </c>
      <c r="I298" s="83" t="s">
        <v>1084</v>
      </c>
      <c r="J298" s="83" t="s">
        <v>230</v>
      </c>
      <c r="K298" s="83" t="s">
        <v>1085</v>
      </c>
      <c r="L298" s="83" t="s">
        <v>1059</v>
      </c>
      <c r="M298" s="83" t="s">
        <v>1086</v>
      </c>
      <c r="N298" s="83" t="s">
        <v>171</v>
      </c>
      <c r="O298" s="36" t="s">
        <v>108</v>
      </c>
      <c r="P298" s="28"/>
      <c r="Q298" s="28" t="s">
        <v>108</v>
      </c>
      <c r="R298" s="65"/>
      <c r="S298" s="28" t="s">
        <v>108</v>
      </c>
      <c r="T298" s="28"/>
      <c r="U298" s="28" t="s">
        <v>108</v>
      </c>
      <c r="V298" s="28"/>
      <c r="W298" s="28" t="s">
        <v>108</v>
      </c>
      <c r="X298" s="28"/>
      <c r="Y298" s="28" t="s">
        <v>14</v>
      </c>
      <c r="Z298" s="28"/>
      <c r="AA298" s="28" t="s">
        <v>108</v>
      </c>
      <c r="AB298" s="28"/>
      <c r="AC298" s="28" t="s">
        <v>108</v>
      </c>
      <c r="AD298" s="28"/>
      <c r="AE298" s="28" t="s">
        <v>108</v>
      </c>
      <c r="AF298" s="47" t="str">
        <f t="shared" si="35"/>
        <v>C</v>
      </c>
      <c r="AG298" s="8" t="str">
        <f t="shared" si="38"/>
        <v>UTILIZOU O PDA CORRETAMENTE</v>
      </c>
      <c r="AH298" s="28"/>
      <c r="AI298" s="66" t="s">
        <v>1</v>
      </c>
      <c r="AJ298" s="22" t="str">
        <f t="shared" si="36"/>
        <v>GUARULHOS</v>
      </c>
      <c r="AK298" s="69" t="s">
        <v>4</v>
      </c>
    </row>
    <row r="299" spans="1:37" ht="30" customHeight="1" x14ac:dyDescent="0.2">
      <c r="A299" s="83" t="s">
        <v>101</v>
      </c>
      <c r="B299" s="83">
        <v>2616347767</v>
      </c>
      <c r="C299" s="83" t="s">
        <v>49</v>
      </c>
      <c r="D299" s="83" t="s">
        <v>29</v>
      </c>
      <c r="E299" s="83" t="s">
        <v>102</v>
      </c>
      <c r="F299" s="83" t="s">
        <v>1087</v>
      </c>
      <c r="G299" s="83">
        <v>217</v>
      </c>
      <c r="H299" s="83" t="s">
        <v>1088</v>
      </c>
      <c r="I299" s="83" t="s">
        <v>713</v>
      </c>
      <c r="J299" s="83" t="s">
        <v>176</v>
      </c>
      <c r="K299" s="83"/>
      <c r="L299" s="83" t="s">
        <v>1089</v>
      </c>
      <c r="M299" s="83" t="s">
        <v>1090</v>
      </c>
      <c r="N299" s="83" t="s">
        <v>140</v>
      </c>
      <c r="O299" s="36" t="s">
        <v>108</v>
      </c>
      <c r="P299" s="18"/>
      <c r="Q299" s="28" t="s">
        <v>108</v>
      </c>
      <c r="R299" s="18"/>
      <c r="S299" s="28" t="s">
        <v>108</v>
      </c>
      <c r="T299" s="18"/>
      <c r="U299" s="28" t="s">
        <v>108</v>
      </c>
      <c r="V299" s="18"/>
      <c r="W299" s="28" t="s">
        <v>108</v>
      </c>
      <c r="X299" s="18"/>
      <c r="Y299" s="28" t="s">
        <v>14</v>
      </c>
      <c r="Z299" s="18"/>
      <c r="AA299" s="28" t="s">
        <v>108</v>
      </c>
      <c r="AB299" s="18"/>
      <c r="AC299" s="28" t="s">
        <v>108</v>
      </c>
      <c r="AD299" s="18"/>
      <c r="AE299" s="28" t="s">
        <v>108</v>
      </c>
      <c r="AF299" s="47" t="str">
        <f t="shared" si="35"/>
        <v>C</v>
      </c>
      <c r="AG299" s="8" t="str">
        <f t="shared" si="38"/>
        <v>UTILIZOU O PDA CORRETAMENTE</v>
      </c>
      <c r="AH299" s="26" t="s">
        <v>108</v>
      </c>
      <c r="AI299" s="66" t="s">
        <v>1</v>
      </c>
      <c r="AJ299" s="22" t="str">
        <f t="shared" si="36"/>
        <v>GUARULHOS</v>
      </c>
      <c r="AK299" s="69" t="s">
        <v>4</v>
      </c>
    </row>
    <row r="300" spans="1:37" ht="30" customHeight="1" x14ac:dyDescent="0.2">
      <c r="A300" s="83" t="s">
        <v>101</v>
      </c>
      <c r="B300" s="83">
        <v>2616232214</v>
      </c>
      <c r="C300" s="83" t="s">
        <v>49</v>
      </c>
      <c r="D300" s="83" t="s">
        <v>29</v>
      </c>
      <c r="E300" s="83" t="s">
        <v>102</v>
      </c>
      <c r="F300" s="83" t="s">
        <v>1091</v>
      </c>
      <c r="G300" s="83">
        <v>88</v>
      </c>
      <c r="H300" s="83" t="s">
        <v>117</v>
      </c>
      <c r="I300" s="83" t="s">
        <v>1092</v>
      </c>
      <c r="J300" s="83" t="s">
        <v>176</v>
      </c>
      <c r="K300" s="83" t="s">
        <v>117</v>
      </c>
      <c r="L300" s="83" t="s">
        <v>1089</v>
      </c>
      <c r="M300" s="83" t="s">
        <v>1093</v>
      </c>
      <c r="N300" s="83" t="s">
        <v>140</v>
      </c>
      <c r="O300" s="36" t="s">
        <v>108</v>
      </c>
      <c r="P300" s="18"/>
      <c r="Q300" s="28" t="s">
        <v>108</v>
      </c>
      <c r="R300" s="18"/>
      <c r="S300" s="28" t="s">
        <v>108</v>
      </c>
      <c r="T300" s="18"/>
      <c r="U300" s="28" t="s">
        <v>108</v>
      </c>
      <c r="V300" s="18"/>
      <c r="W300" s="28" t="s">
        <v>108</v>
      </c>
      <c r="X300" s="18"/>
      <c r="Y300" s="28" t="s">
        <v>14</v>
      </c>
      <c r="Z300" s="18"/>
      <c r="AA300" s="28" t="s">
        <v>108</v>
      </c>
      <c r="AB300" s="18"/>
      <c r="AC300" s="28" t="s">
        <v>108</v>
      </c>
      <c r="AD300" s="18"/>
      <c r="AE300" s="28" t="s">
        <v>108</v>
      </c>
      <c r="AF300" s="47" t="str">
        <f t="shared" ref="AF300:AF331" si="39">IF(AND(O300="",Q300="",S300="",U300="",W300="",Y300="",AA300="",AC300=""),"",IF(OR(AND(O300&lt;&gt;"NA",O300&lt;&gt;"C",O300&lt;&gt;"NC",O300&lt;&gt;"SF",O300&lt;&gt;""),AND(Q300&lt;&gt;"NA",Q300&lt;&gt;"C",Q300&lt;&gt;"NC",Q300&lt;&gt;"SF",Q300&lt;&gt;""),AND(S300&lt;&gt;"NA",S300&lt;&gt;"C",S300&lt;&gt;"NC",S300&lt;&gt;"SF",S300&lt;&gt;""),AND(U300&lt;&gt;"NA",U300&lt;&gt;"C",U300&lt;&gt;"NC",U300&lt;&gt;"SF",U300&lt;&gt;""),AND(W300&lt;&gt;"NA",W300&lt;&gt;"C",W300&lt;&gt;"NC",W300&lt;&gt;"SF",W300&lt;&gt;""),AND(Y300&lt;&gt;"NA",Y300&lt;&gt;"C",Y300&lt;&gt;"NC",Y300&lt;&gt;"SF",Y300&lt;&gt;""),AND(AA300&lt;&gt;"NA",AA300&lt;&gt;"C",AA300&lt;&gt;"NC",AA300&lt;&gt;"SF",AA300&lt;&gt;""),AND(AC300&lt;&gt;"NA",AC300&lt;&gt;"C",AC300&lt;&gt;"NC",AC300&lt;&gt;"SF",AC300&lt;&gt;"")),"FALSO",IF(AND(O300="NA",Q300="NA",S300="NA",U300="NA",W300="NA",Y300="NA",AA300="NA",AC300="NA"),"NA",IF(OR(O300="NC",Q300="NC",S300="NC",U300="NC",W300="NC",Y300="NC",AA300="NC",AC300="NC",O300="SF",Q300="SF",S300="SF",U300="SF",W300="SF",Y300="SF",AA300="SF",AC300="SF"),"NC",IF(OR(O300="C",Q300="C",S300="C",U300="C",W300="C",Y300="C",AA300="C",AC300="C"),"C","")))))</f>
        <v>C</v>
      </c>
      <c r="AG300" s="8" t="str">
        <f t="shared" si="38"/>
        <v>UTILIZOU O PDA CORRETAMENTE</v>
      </c>
      <c r="AH300" s="26" t="s">
        <v>108</v>
      </c>
      <c r="AI300" s="66" t="s">
        <v>1</v>
      </c>
      <c r="AJ300" s="22" t="str">
        <f t="shared" ref="AJ300:AJ331" si="40">E300</f>
        <v>GUARULHOS</v>
      </c>
      <c r="AK300" s="69" t="s">
        <v>4</v>
      </c>
    </row>
    <row r="301" spans="1:37" ht="30" customHeight="1" x14ac:dyDescent="0.2">
      <c r="A301" s="83" t="s">
        <v>101</v>
      </c>
      <c r="B301" s="83">
        <v>2616538653</v>
      </c>
      <c r="C301" s="83" t="s">
        <v>50</v>
      </c>
      <c r="D301" s="83" t="s">
        <v>29</v>
      </c>
      <c r="E301" s="83" t="s">
        <v>102</v>
      </c>
      <c r="F301" s="83" t="s">
        <v>1034</v>
      </c>
      <c r="G301" s="83">
        <v>288</v>
      </c>
      <c r="H301" s="83" t="s">
        <v>110</v>
      </c>
      <c r="I301" s="83" t="s">
        <v>576</v>
      </c>
      <c r="J301" s="83" t="s">
        <v>155</v>
      </c>
      <c r="K301" s="83" t="s">
        <v>1094</v>
      </c>
      <c r="L301" s="83" t="s">
        <v>1089</v>
      </c>
      <c r="M301" s="83" t="s">
        <v>1095</v>
      </c>
      <c r="N301" s="83" t="s">
        <v>171</v>
      </c>
      <c r="O301" s="36" t="s">
        <v>108</v>
      </c>
      <c r="P301" s="18"/>
      <c r="Q301" s="28" t="s">
        <v>108</v>
      </c>
      <c r="R301" s="18"/>
      <c r="S301" s="28" t="s">
        <v>108</v>
      </c>
      <c r="T301" s="18"/>
      <c r="U301" s="28" t="s">
        <v>108</v>
      </c>
      <c r="V301" s="18"/>
      <c r="W301" s="28" t="s">
        <v>108</v>
      </c>
      <c r="X301" s="18"/>
      <c r="Y301" s="28" t="s">
        <v>14</v>
      </c>
      <c r="Z301" s="18"/>
      <c r="AA301" s="28" t="s">
        <v>108</v>
      </c>
      <c r="AB301" s="18"/>
      <c r="AC301" s="28" t="s">
        <v>108</v>
      </c>
      <c r="AD301" s="18"/>
      <c r="AE301" s="28" t="s">
        <v>108</v>
      </c>
      <c r="AF301" s="47" t="str">
        <f t="shared" si="39"/>
        <v>C</v>
      </c>
      <c r="AG301" s="8" t="str">
        <f t="shared" si="38"/>
        <v>UTILIZOU O PDA CORRETAMENTE</v>
      </c>
      <c r="AH301" s="26" t="s">
        <v>108</v>
      </c>
      <c r="AI301" s="66" t="s">
        <v>1</v>
      </c>
      <c r="AJ301" s="22" t="str">
        <f t="shared" si="40"/>
        <v>GUARULHOS</v>
      </c>
      <c r="AK301" s="69" t="s">
        <v>4</v>
      </c>
    </row>
    <row r="302" spans="1:37" ht="30" customHeight="1" x14ac:dyDescent="0.2">
      <c r="A302" s="83" t="s">
        <v>101</v>
      </c>
      <c r="B302" s="83">
        <v>2616390566</v>
      </c>
      <c r="C302" s="83" t="s">
        <v>50</v>
      </c>
      <c r="D302" s="83" t="s">
        <v>29</v>
      </c>
      <c r="E302" s="83" t="s">
        <v>102</v>
      </c>
      <c r="F302" s="83" t="s">
        <v>1034</v>
      </c>
      <c r="G302" s="83">
        <v>288</v>
      </c>
      <c r="H302" s="83" t="s">
        <v>115</v>
      </c>
      <c r="I302" s="83" t="s">
        <v>576</v>
      </c>
      <c r="J302" s="83" t="s">
        <v>130</v>
      </c>
      <c r="K302" s="83" t="s">
        <v>117</v>
      </c>
      <c r="L302" s="83" t="s">
        <v>1089</v>
      </c>
      <c r="M302" s="83" t="s">
        <v>1096</v>
      </c>
      <c r="N302" s="83" t="s">
        <v>171</v>
      </c>
      <c r="O302" s="36" t="s">
        <v>108</v>
      </c>
      <c r="P302" s="18"/>
      <c r="Q302" s="28" t="s">
        <v>108</v>
      </c>
      <c r="R302" s="18"/>
      <c r="S302" s="28" t="s">
        <v>108</v>
      </c>
      <c r="T302" s="18"/>
      <c r="U302" s="28" t="s">
        <v>108</v>
      </c>
      <c r="V302" s="18"/>
      <c r="W302" s="28" t="s">
        <v>108</v>
      </c>
      <c r="X302" s="18"/>
      <c r="Y302" s="28" t="s">
        <v>14</v>
      </c>
      <c r="Z302" s="18"/>
      <c r="AA302" s="28" t="s">
        <v>108</v>
      </c>
      <c r="AB302" s="18"/>
      <c r="AC302" s="28" t="s">
        <v>108</v>
      </c>
      <c r="AD302" s="18"/>
      <c r="AE302" s="28" t="s">
        <v>108</v>
      </c>
      <c r="AF302" s="47" t="str">
        <f t="shared" si="39"/>
        <v>C</v>
      </c>
      <c r="AG302" s="8" t="str">
        <f t="shared" si="38"/>
        <v>UTILIZOU O PDA CORRETAMENTE</v>
      </c>
      <c r="AH302" s="26" t="s">
        <v>108</v>
      </c>
      <c r="AI302" s="66" t="s">
        <v>1</v>
      </c>
      <c r="AJ302" s="22" t="str">
        <f t="shared" si="40"/>
        <v>GUARULHOS</v>
      </c>
      <c r="AK302" s="69" t="s">
        <v>4</v>
      </c>
    </row>
    <row r="303" spans="1:37" ht="30" customHeight="1" x14ac:dyDescent="0.2">
      <c r="A303" s="83" t="s">
        <v>101</v>
      </c>
      <c r="B303" s="83">
        <v>2616231509</v>
      </c>
      <c r="C303" s="83" t="s">
        <v>40</v>
      </c>
      <c r="D303" s="83" t="s">
        <v>25</v>
      </c>
      <c r="E303" s="83" t="s">
        <v>102</v>
      </c>
      <c r="F303" s="83" t="s">
        <v>1100</v>
      </c>
      <c r="G303" s="83">
        <v>16</v>
      </c>
      <c r="H303" s="83" t="s">
        <v>110</v>
      </c>
      <c r="I303" s="83" t="s">
        <v>1101</v>
      </c>
      <c r="J303" s="83" t="s">
        <v>40</v>
      </c>
      <c r="K303" s="89" t="s">
        <v>1102</v>
      </c>
      <c r="L303" s="83" t="s">
        <v>1089</v>
      </c>
      <c r="M303" s="83" t="s">
        <v>1103</v>
      </c>
      <c r="N303" s="83" t="s">
        <v>113</v>
      </c>
      <c r="O303" s="36" t="s">
        <v>108</v>
      </c>
      <c r="P303" s="18"/>
      <c r="Q303" s="28" t="s">
        <v>108</v>
      </c>
      <c r="R303" s="18"/>
      <c r="S303" s="28" t="s">
        <v>108</v>
      </c>
      <c r="T303" s="18"/>
      <c r="U303" s="28" t="s">
        <v>108</v>
      </c>
      <c r="V303" s="18"/>
      <c r="W303" s="28" t="s">
        <v>108</v>
      </c>
      <c r="X303" s="18"/>
      <c r="Y303" s="28" t="s">
        <v>108</v>
      </c>
      <c r="Z303" s="18"/>
      <c r="AA303" s="28" t="s">
        <v>108</v>
      </c>
      <c r="AB303" s="18"/>
      <c r="AC303" s="28" t="s">
        <v>108</v>
      </c>
      <c r="AD303" s="18"/>
      <c r="AE303" s="28" t="s">
        <v>108</v>
      </c>
      <c r="AF303" s="47" t="str">
        <f t="shared" si="39"/>
        <v>C</v>
      </c>
      <c r="AG303" s="8" t="str">
        <f t="shared" si="38"/>
        <v>UTILIZOU O PDA CORRETAMENTE</v>
      </c>
      <c r="AH303" s="28"/>
      <c r="AI303" s="66" t="s">
        <v>1</v>
      </c>
      <c r="AJ303" s="22" t="str">
        <f t="shared" si="40"/>
        <v>GUARULHOS</v>
      </c>
      <c r="AK303" s="69" t="s">
        <v>4</v>
      </c>
    </row>
    <row r="304" spans="1:37" ht="30" customHeight="1" x14ac:dyDescent="0.2">
      <c r="A304" s="83" t="s">
        <v>101</v>
      </c>
      <c r="B304" s="83">
        <v>2615565603</v>
      </c>
      <c r="C304" s="83" t="s">
        <v>40</v>
      </c>
      <c r="D304" s="83" t="s">
        <v>25</v>
      </c>
      <c r="E304" s="83" t="s">
        <v>102</v>
      </c>
      <c r="F304" s="83" t="s">
        <v>1104</v>
      </c>
      <c r="G304" s="83">
        <v>12</v>
      </c>
      <c r="H304" s="83" t="s">
        <v>110</v>
      </c>
      <c r="I304" s="83" t="s">
        <v>154</v>
      </c>
      <c r="J304" s="83" t="s">
        <v>40</v>
      </c>
      <c r="K304" s="83"/>
      <c r="L304" s="83" t="s">
        <v>1089</v>
      </c>
      <c r="M304" s="83" t="s">
        <v>1105</v>
      </c>
      <c r="N304" s="83" t="s">
        <v>107</v>
      </c>
      <c r="O304" s="36" t="s">
        <v>108</v>
      </c>
      <c r="P304" s="18"/>
      <c r="Q304" s="28" t="s">
        <v>108</v>
      </c>
      <c r="R304" s="18"/>
      <c r="S304" s="28" t="s">
        <v>108</v>
      </c>
      <c r="T304" s="18"/>
      <c r="U304" s="28" t="s">
        <v>108</v>
      </c>
      <c r="V304" s="18"/>
      <c r="W304" s="28" t="s">
        <v>108</v>
      </c>
      <c r="X304" s="18"/>
      <c r="Y304" s="28" t="s">
        <v>108</v>
      </c>
      <c r="Z304" s="18"/>
      <c r="AA304" s="28" t="s">
        <v>108</v>
      </c>
      <c r="AB304" s="18"/>
      <c r="AC304" s="28" t="s">
        <v>108</v>
      </c>
      <c r="AD304" s="18"/>
      <c r="AE304" s="28" t="s">
        <v>108</v>
      </c>
      <c r="AF304" s="47" t="str">
        <f t="shared" si="39"/>
        <v>C</v>
      </c>
      <c r="AG304" s="8" t="str">
        <f t="shared" si="38"/>
        <v>UTILIZOU O PDA CORRETAMENTE</v>
      </c>
      <c r="AH304" s="28"/>
      <c r="AI304" s="66" t="s">
        <v>1</v>
      </c>
      <c r="AJ304" s="22" t="str">
        <f t="shared" si="40"/>
        <v>GUARULHOS</v>
      </c>
      <c r="AK304" s="69" t="s">
        <v>4</v>
      </c>
    </row>
    <row r="305" spans="1:37" ht="30" customHeight="1" x14ac:dyDescent="0.2">
      <c r="A305" s="83" t="s">
        <v>101</v>
      </c>
      <c r="B305" s="83">
        <v>2616612840</v>
      </c>
      <c r="C305" s="83" t="s">
        <v>45</v>
      </c>
      <c r="D305" s="83" t="s">
        <v>27</v>
      </c>
      <c r="E305" s="83" t="s">
        <v>102</v>
      </c>
      <c r="F305" s="83" t="s">
        <v>1106</v>
      </c>
      <c r="G305" s="83">
        <v>111</v>
      </c>
      <c r="H305" s="83" t="s">
        <v>117</v>
      </c>
      <c r="I305" s="83" t="s">
        <v>277</v>
      </c>
      <c r="J305" s="83" t="s">
        <v>150</v>
      </c>
      <c r="K305" s="83" t="s">
        <v>1107</v>
      </c>
      <c r="L305" s="83" t="s">
        <v>1089</v>
      </c>
      <c r="M305" s="83" t="s">
        <v>1108</v>
      </c>
      <c r="N305" s="83" t="s">
        <v>297</v>
      </c>
      <c r="O305" s="35" t="s">
        <v>108</v>
      </c>
      <c r="P305" s="25"/>
      <c r="Q305" s="26" t="s">
        <v>108</v>
      </c>
      <c r="R305" s="25"/>
      <c r="S305" s="26" t="s">
        <v>108</v>
      </c>
      <c r="T305" s="25"/>
      <c r="U305" s="26" t="s">
        <v>108</v>
      </c>
      <c r="V305" s="25"/>
      <c r="W305" s="26" t="s">
        <v>108</v>
      </c>
      <c r="X305" s="25"/>
      <c r="Y305" s="26" t="s">
        <v>108</v>
      </c>
      <c r="Z305" s="25"/>
      <c r="AA305" s="26" t="s">
        <v>108</v>
      </c>
      <c r="AB305" s="25"/>
      <c r="AC305" s="26" t="s">
        <v>108</v>
      </c>
      <c r="AD305" s="10"/>
      <c r="AE305" s="26" t="s">
        <v>108</v>
      </c>
      <c r="AF305" s="47" t="str">
        <f t="shared" si="39"/>
        <v>C</v>
      </c>
      <c r="AG305" s="8" t="str">
        <f t="shared" ref="AG305:AG323" si="41">IF(AND(AE305="C",AF305="C"),"UTILIZOU O PDA CORRETAMENTE",IF(AND(AE305="C",AF305="NC"),"UTILIZOU O PDA CORRETAMENTE. NÃO HÁ FOTOS DE TODAS AS ETAPAS",IF(AND(AE305="NC",AF305="NC"),"NÃO UTILIZOU O PDA",IF(AND(AE305="NA",AF305="NA"),"NÃO AVALIADO POR FALHA DE SINCRONISMO"))))</f>
        <v>UTILIZOU O PDA CORRETAMENTE</v>
      </c>
      <c r="AH305" s="26" t="s">
        <v>108</v>
      </c>
      <c r="AI305" s="66" t="s">
        <v>1</v>
      </c>
      <c r="AJ305" s="22" t="str">
        <f t="shared" si="40"/>
        <v>GUARULHOS</v>
      </c>
      <c r="AK305" s="69" t="s">
        <v>4</v>
      </c>
    </row>
    <row r="306" spans="1:37" ht="30" customHeight="1" x14ac:dyDescent="0.2">
      <c r="A306" s="83" t="s">
        <v>101</v>
      </c>
      <c r="B306" s="83">
        <v>2616608539</v>
      </c>
      <c r="C306" s="83" t="s">
        <v>47</v>
      </c>
      <c r="D306" s="83" t="s">
        <v>29</v>
      </c>
      <c r="E306" s="83" t="s">
        <v>102</v>
      </c>
      <c r="F306" s="83" t="s">
        <v>1109</v>
      </c>
      <c r="G306" s="83">
        <v>58</v>
      </c>
      <c r="H306" s="83" t="s">
        <v>877</v>
      </c>
      <c r="I306" s="83" t="s">
        <v>169</v>
      </c>
      <c r="J306" s="83" t="s">
        <v>159</v>
      </c>
      <c r="K306" s="83"/>
      <c r="L306" s="83" t="s">
        <v>1089</v>
      </c>
      <c r="M306" s="83" t="s">
        <v>1110</v>
      </c>
      <c r="N306" s="83" t="s">
        <v>253</v>
      </c>
      <c r="O306" s="36" t="s">
        <v>108</v>
      </c>
      <c r="P306" s="18"/>
      <c r="Q306" s="28" t="s">
        <v>108</v>
      </c>
      <c r="R306" s="18"/>
      <c r="S306" s="28" t="s">
        <v>108</v>
      </c>
      <c r="T306" s="18"/>
      <c r="U306" s="28" t="s">
        <v>108</v>
      </c>
      <c r="V306" s="18"/>
      <c r="W306" s="28" t="s">
        <v>108</v>
      </c>
      <c r="X306" s="18"/>
      <c r="Y306" s="28" t="s">
        <v>14</v>
      </c>
      <c r="Z306" s="18"/>
      <c r="AA306" s="28" t="s">
        <v>108</v>
      </c>
      <c r="AB306" s="18"/>
      <c r="AC306" s="28" t="s">
        <v>108</v>
      </c>
      <c r="AD306" s="18"/>
      <c r="AE306" s="28" t="s">
        <v>108</v>
      </c>
      <c r="AF306" s="47" t="str">
        <f t="shared" si="39"/>
        <v>C</v>
      </c>
      <c r="AG306" s="8" t="str">
        <f t="shared" si="41"/>
        <v>UTILIZOU O PDA CORRETAMENTE</v>
      </c>
      <c r="AH306" s="26" t="s">
        <v>108</v>
      </c>
      <c r="AI306" s="66" t="s">
        <v>1</v>
      </c>
      <c r="AJ306" s="22" t="str">
        <f t="shared" si="40"/>
        <v>GUARULHOS</v>
      </c>
      <c r="AK306" s="69" t="s">
        <v>4</v>
      </c>
    </row>
    <row r="307" spans="1:37" ht="30" customHeight="1" x14ac:dyDescent="0.2">
      <c r="A307" s="83" t="s">
        <v>101</v>
      </c>
      <c r="B307" s="83">
        <v>2616428177</v>
      </c>
      <c r="C307" s="83" t="s">
        <v>44</v>
      </c>
      <c r="D307" s="83" t="s">
        <v>29</v>
      </c>
      <c r="E307" s="83" t="s">
        <v>102</v>
      </c>
      <c r="F307" s="83" t="s">
        <v>700</v>
      </c>
      <c r="G307" s="83">
        <v>120</v>
      </c>
      <c r="H307" s="83" t="s">
        <v>153</v>
      </c>
      <c r="I307" s="83" t="s">
        <v>702</v>
      </c>
      <c r="J307" s="83" t="s">
        <v>194</v>
      </c>
      <c r="K307" s="83" t="s">
        <v>117</v>
      </c>
      <c r="L307" s="83" t="s">
        <v>1089</v>
      </c>
      <c r="M307" s="83" t="s">
        <v>1111</v>
      </c>
      <c r="N307" s="83" t="s">
        <v>163</v>
      </c>
      <c r="O307" s="35" t="s">
        <v>108</v>
      </c>
      <c r="P307" s="25"/>
      <c r="Q307" s="26" t="s">
        <v>108</v>
      </c>
      <c r="R307" s="25"/>
      <c r="S307" s="26" t="s">
        <v>108</v>
      </c>
      <c r="T307" s="25"/>
      <c r="U307" s="26" t="s">
        <v>108</v>
      </c>
      <c r="V307" s="25"/>
      <c r="W307" s="26" t="s">
        <v>108</v>
      </c>
      <c r="X307" s="25"/>
      <c r="Y307" s="26" t="s">
        <v>108</v>
      </c>
      <c r="Z307" s="25"/>
      <c r="AA307" s="26" t="s">
        <v>108</v>
      </c>
      <c r="AB307" s="25"/>
      <c r="AC307" s="26" t="s">
        <v>108</v>
      </c>
      <c r="AD307" s="10"/>
      <c r="AE307" s="26" t="s">
        <v>108</v>
      </c>
      <c r="AF307" s="47" t="str">
        <f t="shared" si="39"/>
        <v>C</v>
      </c>
      <c r="AG307" s="8" t="str">
        <f t="shared" si="41"/>
        <v>UTILIZOU O PDA CORRETAMENTE</v>
      </c>
      <c r="AH307" s="26" t="s">
        <v>108</v>
      </c>
      <c r="AI307" s="66" t="s">
        <v>1</v>
      </c>
      <c r="AJ307" s="22" t="str">
        <f t="shared" si="40"/>
        <v>GUARULHOS</v>
      </c>
      <c r="AK307" s="69" t="s">
        <v>4</v>
      </c>
    </row>
    <row r="308" spans="1:37" ht="30" customHeight="1" x14ac:dyDescent="0.2">
      <c r="A308" s="83" t="s">
        <v>101</v>
      </c>
      <c r="B308" s="83">
        <v>2691009204</v>
      </c>
      <c r="C308" s="83" t="s">
        <v>43</v>
      </c>
      <c r="D308" s="83" t="s">
        <v>29</v>
      </c>
      <c r="E308" s="83" t="s">
        <v>102</v>
      </c>
      <c r="F308" s="83" t="s">
        <v>1112</v>
      </c>
      <c r="G308" s="83">
        <v>9</v>
      </c>
      <c r="H308" s="83" t="s">
        <v>1113</v>
      </c>
      <c r="I308" s="83" t="s">
        <v>104</v>
      </c>
      <c r="J308" s="83" t="s">
        <v>188</v>
      </c>
      <c r="K308" s="83"/>
      <c r="L308" s="83" t="s">
        <v>1089</v>
      </c>
      <c r="M308" s="83" t="s">
        <v>1114</v>
      </c>
      <c r="N308" s="83" t="s">
        <v>146</v>
      </c>
      <c r="O308" s="35" t="s">
        <v>108</v>
      </c>
      <c r="P308" s="25"/>
      <c r="Q308" s="26" t="s">
        <v>108</v>
      </c>
      <c r="R308" s="25"/>
      <c r="S308" s="26" t="s">
        <v>108</v>
      </c>
      <c r="T308" s="25"/>
      <c r="U308" s="26" t="s">
        <v>108</v>
      </c>
      <c r="V308" s="25"/>
      <c r="W308" s="26" t="s">
        <v>108</v>
      </c>
      <c r="X308" s="25"/>
      <c r="Y308" s="26" t="s">
        <v>108</v>
      </c>
      <c r="Z308" s="25"/>
      <c r="AA308" s="26" t="s">
        <v>108</v>
      </c>
      <c r="AB308" s="25"/>
      <c r="AC308" s="26" t="s">
        <v>108</v>
      </c>
      <c r="AD308" s="10"/>
      <c r="AE308" s="26" t="s">
        <v>108</v>
      </c>
      <c r="AF308" s="47" t="str">
        <f t="shared" si="39"/>
        <v>C</v>
      </c>
      <c r="AG308" s="8" t="str">
        <f t="shared" si="41"/>
        <v>UTILIZOU O PDA CORRETAMENTE</v>
      </c>
      <c r="AH308" s="26" t="s">
        <v>108</v>
      </c>
      <c r="AI308" s="66" t="s">
        <v>1</v>
      </c>
      <c r="AJ308" s="22" t="str">
        <f t="shared" si="40"/>
        <v>GUARULHOS</v>
      </c>
      <c r="AK308" s="69" t="s">
        <v>4</v>
      </c>
    </row>
    <row r="309" spans="1:37" ht="30" customHeight="1" x14ac:dyDescent="0.2">
      <c r="A309" s="83" t="s">
        <v>101</v>
      </c>
      <c r="B309" s="83">
        <v>2616543328</v>
      </c>
      <c r="C309" s="83" t="s">
        <v>50</v>
      </c>
      <c r="D309" s="83" t="s">
        <v>29</v>
      </c>
      <c r="E309" s="83" t="s">
        <v>102</v>
      </c>
      <c r="F309" s="83" t="s">
        <v>1115</v>
      </c>
      <c r="G309" s="83">
        <v>87</v>
      </c>
      <c r="H309" s="83" t="s">
        <v>1116</v>
      </c>
      <c r="I309" s="83" t="s">
        <v>473</v>
      </c>
      <c r="J309" s="83" t="s">
        <v>176</v>
      </c>
      <c r="K309" s="83" t="s">
        <v>117</v>
      </c>
      <c r="L309" s="83" t="s">
        <v>1089</v>
      </c>
      <c r="M309" s="83" t="s">
        <v>1117</v>
      </c>
      <c r="N309" s="83" t="s">
        <v>180</v>
      </c>
      <c r="O309" s="36" t="s">
        <v>108</v>
      </c>
      <c r="P309" s="18"/>
      <c r="Q309" s="28" t="s">
        <v>108</v>
      </c>
      <c r="R309" s="18"/>
      <c r="S309" s="28" t="s">
        <v>108</v>
      </c>
      <c r="T309" s="18"/>
      <c r="U309" s="28" t="s">
        <v>108</v>
      </c>
      <c r="V309" s="18"/>
      <c r="W309" s="28" t="s">
        <v>108</v>
      </c>
      <c r="X309" s="18"/>
      <c r="Y309" s="28" t="s">
        <v>14</v>
      </c>
      <c r="Z309" s="18"/>
      <c r="AA309" s="28" t="s">
        <v>108</v>
      </c>
      <c r="AB309" s="18"/>
      <c r="AC309" s="28" t="s">
        <v>108</v>
      </c>
      <c r="AD309" s="18"/>
      <c r="AE309" s="28" t="s">
        <v>108</v>
      </c>
      <c r="AF309" s="47" t="str">
        <f t="shared" si="39"/>
        <v>C</v>
      </c>
      <c r="AG309" s="8" t="str">
        <f t="shared" si="41"/>
        <v>UTILIZOU O PDA CORRETAMENTE</v>
      </c>
      <c r="AH309" s="26" t="s">
        <v>108</v>
      </c>
      <c r="AI309" s="66" t="s">
        <v>1</v>
      </c>
      <c r="AJ309" s="22" t="str">
        <f t="shared" si="40"/>
        <v>GUARULHOS</v>
      </c>
      <c r="AK309" s="69" t="s">
        <v>4</v>
      </c>
    </row>
    <row r="310" spans="1:37" ht="30" customHeight="1" x14ac:dyDescent="0.2">
      <c r="A310" s="83" t="s">
        <v>101</v>
      </c>
      <c r="B310" s="83">
        <v>2616570864</v>
      </c>
      <c r="C310" s="83" t="s">
        <v>37</v>
      </c>
      <c r="D310" s="83" t="s">
        <v>26</v>
      </c>
      <c r="E310" s="83" t="s">
        <v>102</v>
      </c>
      <c r="F310" s="83" t="s">
        <v>1097</v>
      </c>
      <c r="G310" s="83">
        <v>344</v>
      </c>
      <c r="H310" s="83" t="s">
        <v>138</v>
      </c>
      <c r="I310" s="83" t="s">
        <v>1073</v>
      </c>
      <c r="J310" s="83" t="s">
        <v>230</v>
      </c>
      <c r="K310" s="83"/>
      <c r="L310" s="83" t="s">
        <v>1089</v>
      </c>
      <c r="M310" s="83" t="s">
        <v>1118</v>
      </c>
      <c r="N310" s="83" t="s">
        <v>131</v>
      </c>
      <c r="O310" s="36" t="s">
        <v>108</v>
      </c>
      <c r="P310" s="28"/>
      <c r="Q310" s="28" t="s">
        <v>108</v>
      </c>
      <c r="R310" s="65"/>
      <c r="S310" s="28" t="s">
        <v>108</v>
      </c>
      <c r="T310" s="28"/>
      <c r="U310" s="28" t="s">
        <v>108</v>
      </c>
      <c r="V310" s="28"/>
      <c r="W310" s="28" t="s">
        <v>108</v>
      </c>
      <c r="X310" s="28"/>
      <c r="Y310" s="28" t="s">
        <v>14</v>
      </c>
      <c r="Z310" s="28"/>
      <c r="AA310" s="28" t="s">
        <v>108</v>
      </c>
      <c r="AB310" s="28"/>
      <c r="AC310" s="28" t="s">
        <v>108</v>
      </c>
      <c r="AD310" s="28"/>
      <c r="AE310" s="28" t="s">
        <v>108</v>
      </c>
      <c r="AF310" s="47" t="str">
        <f t="shared" si="39"/>
        <v>C</v>
      </c>
      <c r="AG310" s="8" t="str">
        <f t="shared" si="41"/>
        <v>UTILIZOU O PDA CORRETAMENTE</v>
      </c>
      <c r="AH310" s="28"/>
      <c r="AI310" s="66" t="s">
        <v>1</v>
      </c>
      <c r="AJ310" s="22" t="str">
        <f t="shared" si="40"/>
        <v>GUARULHOS</v>
      </c>
      <c r="AK310" s="69" t="s">
        <v>4</v>
      </c>
    </row>
    <row r="311" spans="1:37" ht="30" customHeight="1" x14ac:dyDescent="0.2">
      <c r="A311" s="83" t="s">
        <v>101</v>
      </c>
      <c r="B311" s="83">
        <v>2691013543</v>
      </c>
      <c r="C311" s="83" t="s">
        <v>43</v>
      </c>
      <c r="D311" s="83" t="s">
        <v>29</v>
      </c>
      <c r="E311" s="83" t="s">
        <v>102</v>
      </c>
      <c r="F311" s="83" t="s">
        <v>1121</v>
      </c>
      <c r="G311" s="83">
        <v>111</v>
      </c>
      <c r="H311" s="83" t="s">
        <v>174</v>
      </c>
      <c r="I311" s="83" t="s">
        <v>664</v>
      </c>
      <c r="J311" s="83" t="s">
        <v>188</v>
      </c>
      <c r="K311" s="89" t="s">
        <v>1122</v>
      </c>
      <c r="L311" s="83" t="s">
        <v>1089</v>
      </c>
      <c r="M311" s="83" t="s">
        <v>1123</v>
      </c>
      <c r="N311" s="83" t="s">
        <v>297</v>
      </c>
      <c r="O311" s="35" t="s">
        <v>108</v>
      </c>
      <c r="P311" s="25"/>
      <c r="Q311" s="26" t="s">
        <v>108</v>
      </c>
      <c r="R311" s="25"/>
      <c r="S311" s="26" t="s">
        <v>108</v>
      </c>
      <c r="T311" s="25"/>
      <c r="U311" s="26" t="s">
        <v>108</v>
      </c>
      <c r="V311" s="25"/>
      <c r="W311" s="26" t="s">
        <v>108</v>
      </c>
      <c r="X311" s="25"/>
      <c r="Y311" s="26" t="s">
        <v>108</v>
      </c>
      <c r="Z311" s="25"/>
      <c r="AA311" s="26" t="s">
        <v>108</v>
      </c>
      <c r="AB311" s="25"/>
      <c r="AC311" s="26" t="s">
        <v>108</v>
      </c>
      <c r="AD311" s="10"/>
      <c r="AE311" s="26" t="s">
        <v>108</v>
      </c>
      <c r="AF311" s="47" t="str">
        <f t="shared" si="39"/>
        <v>C</v>
      </c>
      <c r="AG311" s="8" t="str">
        <f t="shared" si="41"/>
        <v>UTILIZOU O PDA CORRETAMENTE</v>
      </c>
      <c r="AH311" s="26" t="s">
        <v>108</v>
      </c>
      <c r="AI311" s="66" t="s">
        <v>1</v>
      </c>
      <c r="AJ311" s="22" t="str">
        <f t="shared" si="40"/>
        <v>GUARULHOS</v>
      </c>
      <c r="AK311" s="69" t="s">
        <v>4</v>
      </c>
    </row>
    <row r="312" spans="1:37" ht="30" customHeight="1" x14ac:dyDescent="0.2">
      <c r="A312" s="83" t="s">
        <v>101</v>
      </c>
      <c r="B312" s="83">
        <v>2616643440</v>
      </c>
      <c r="C312" s="83" t="s">
        <v>50</v>
      </c>
      <c r="D312" s="83" t="s">
        <v>29</v>
      </c>
      <c r="E312" s="83" t="s">
        <v>102</v>
      </c>
      <c r="F312" s="83" t="s">
        <v>1124</v>
      </c>
      <c r="G312" s="83">
        <v>275</v>
      </c>
      <c r="H312" s="83"/>
      <c r="I312" s="83" t="s">
        <v>1125</v>
      </c>
      <c r="J312" s="83" t="s">
        <v>130</v>
      </c>
      <c r="K312" s="83" t="s">
        <v>1126</v>
      </c>
      <c r="L312" s="83" t="s">
        <v>1089</v>
      </c>
      <c r="M312" s="83" t="s">
        <v>1127</v>
      </c>
      <c r="N312" s="83" t="s">
        <v>146</v>
      </c>
      <c r="O312" s="36" t="s">
        <v>108</v>
      </c>
      <c r="P312" s="18"/>
      <c r="Q312" s="28" t="s">
        <v>108</v>
      </c>
      <c r="R312" s="18"/>
      <c r="S312" s="28" t="s">
        <v>108</v>
      </c>
      <c r="T312" s="18"/>
      <c r="U312" s="28" t="s">
        <v>108</v>
      </c>
      <c r="V312" s="18"/>
      <c r="W312" s="28" t="s">
        <v>108</v>
      </c>
      <c r="X312" s="18"/>
      <c r="Y312" s="28" t="s">
        <v>14</v>
      </c>
      <c r="Z312" s="18"/>
      <c r="AA312" s="28" t="s">
        <v>108</v>
      </c>
      <c r="AB312" s="18"/>
      <c r="AC312" s="28" t="s">
        <v>108</v>
      </c>
      <c r="AD312" s="18"/>
      <c r="AE312" s="28" t="s">
        <v>108</v>
      </c>
      <c r="AF312" s="47" t="str">
        <f t="shared" si="39"/>
        <v>C</v>
      </c>
      <c r="AG312" s="8" t="str">
        <f t="shared" si="41"/>
        <v>UTILIZOU O PDA CORRETAMENTE</v>
      </c>
      <c r="AH312" s="26" t="s">
        <v>108</v>
      </c>
      <c r="AI312" s="66" t="s">
        <v>1</v>
      </c>
      <c r="AJ312" s="22" t="str">
        <f t="shared" si="40"/>
        <v>GUARULHOS</v>
      </c>
      <c r="AK312" s="69" t="s">
        <v>4</v>
      </c>
    </row>
    <row r="313" spans="1:37" ht="30" customHeight="1" x14ac:dyDescent="0.2">
      <c r="A313" s="83" t="s">
        <v>101</v>
      </c>
      <c r="B313" s="83">
        <v>2616641937</v>
      </c>
      <c r="C313" s="83" t="s">
        <v>45</v>
      </c>
      <c r="D313" s="83" t="s">
        <v>27</v>
      </c>
      <c r="E313" s="83" t="s">
        <v>102</v>
      </c>
      <c r="F313" s="83" t="s">
        <v>1128</v>
      </c>
      <c r="G313" s="83">
        <v>126</v>
      </c>
      <c r="H313" s="83" t="s">
        <v>1057</v>
      </c>
      <c r="I313" s="83" t="s">
        <v>349</v>
      </c>
      <c r="J313" s="83" t="s">
        <v>150</v>
      </c>
      <c r="K313" s="83" t="s">
        <v>1129</v>
      </c>
      <c r="L313" s="83" t="s">
        <v>1089</v>
      </c>
      <c r="M313" s="83" t="s">
        <v>1130</v>
      </c>
      <c r="N313" s="83" t="s">
        <v>274</v>
      </c>
      <c r="O313" s="35" t="s">
        <v>108</v>
      </c>
      <c r="P313" s="25"/>
      <c r="Q313" s="26" t="s">
        <v>108</v>
      </c>
      <c r="R313" s="25"/>
      <c r="S313" s="26" t="s">
        <v>108</v>
      </c>
      <c r="T313" s="25"/>
      <c r="U313" s="26" t="s">
        <v>108</v>
      </c>
      <c r="V313" s="25"/>
      <c r="W313" s="26" t="s">
        <v>108</v>
      </c>
      <c r="X313" s="25"/>
      <c r="Y313" s="26" t="s">
        <v>108</v>
      </c>
      <c r="Z313" s="25"/>
      <c r="AA313" s="26" t="s">
        <v>108</v>
      </c>
      <c r="AB313" s="25"/>
      <c r="AC313" s="26" t="s">
        <v>108</v>
      </c>
      <c r="AD313" s="10"/>
      <c r="AE313" s="26" t="s">
        <v>108</v>
      </c>
      <c r="AF313" s="47" t="str">
        <f t="shared" si="39"/>
        <v>C</v>
      </c>
      <c r="AG313" s="8" t="str">
        <f t="shared" si="41"/>
        <v>UTILIZOU O PDA CORRETAMENTE</v>
      </c>
      <c r="AH313" s="26" t="s">
        <v>108</v>
      </c>
      <c r="AI313" s="66" t="s">
        <v>1</v>
      </c>
      <c r="AJ313" s="22" t="str">
        <f t="shared" si="40"/>
        <v>GUARULHOS</v>
      </c>
      <c r="AK313" s="69" t="s">
        <v>4</v>
      </c>
    </row>
    <row r="314" spans="1:37" ht="30" customHeight="1" x14ac:dyDescent="0.2">
      <c r="A314" s="83" t="s">
        <v>101</v>
      </c>
      <c r="B314" s="83">
        <v>2616645926</v>
      </c>
      <c r="C314" s="83" t="s">
        <v>45</v>
      </c>
      <c r="D314" s="83" t="s">
        <v>27</v>
      </c>
      <c r="E314" s="83" t="s">
        <v>102</v>
      </c>
      <c r="F314" s="83" t="s">
        <v>1131</v>
      </c>
      <c r="G314" s="83">
        <v>145</v>
      </c>
      <c r="H314" s="83" t="s">
        <v>1132</v>
      </c>
      <c r="I314" s="83" t="s">
        <v>940</v>
      </c>
      <c r="J314" s="83" t="s">
        <v>150</v>
      </c>
      <c r="K314" s="83" t="s">
        <v>1029</v>
      </c>
      <c r="L314" s="83" t="s">
        <v>1089</v>
      </c>
      <c r="M314" s="83" t="s">
        <v>1133</v>
      </c>
      <c r="N314" s="83" t="s">
        <v>274</v>
      </c>
      <c r="O314" s="35" t="s">
        <v>108</v>
      </c>
      <c r="P314" s="25"/>
      <c r="Q314" s="26" t="s">
        <v>108</v>
      </c>
      <c r="R314" s="25"/>
      <c r="S314" s="26" t="s">
        <v>108</v>
      </c>
      <c r="T314" s="25"/>
      <c r="U314" s="26" t="s">
        <v>108</v>
      </c>
      <c r="V314" s="25"/>
      <c r="W314" s="26" t="s">
        <v>108</v>
      </c>
      <c r="X314" s="25"/>
      <c r="Y314" s="26" t="s">
        <v>108</v>
      </c>
      <c r="Z314" s="25"/>
      <c r="AA314" s="26" t="s">
        <v>108</v>
      </c>
      <c r="AB314" s="25"/>
      <c r="AC314" s="26" t="s">
        <v>108</v>
      </c>
      <c r="AD314" s="10"/>
      <c r="AE314" s="26" t="s">
        <v>108</v>
      </c>
      <c r="AF314" s="47" t="str">
        <f t="shared" si="39"/>
        <v>C</v>
      </c>
      <c r="AG314" s="8" t="str">
        <f t="shared" si="41"/>
        <v>UTILIZOU O PDA CORRETAMENTE</v>
      </c>
      <c r="AH314" s="26" t="s">
        <v>108</v>
      </c>
      <c r="AI314" s="66" t="s">
        <v>1</v>
      </c>
      <c r="AJ314" s="22" t="str">
        <f t="shared" si="40"/>
        <v>GUARULHOS</v>
      </c>
      <c r="AK314" s="69" t="s">
        <v>4</v>
      </c>
    </row>
    <row r="315" spans="1:37" ht="30" customHeight="1" x14ac:dyDescent="0.2">
      <c r="A315" s="83" t="s">
        <v>101</v>
      </c>
      <c r="B315" s="83">
        <v>2616642637</v>
      </c>
      <c r="C315" s="83" t="s">
        <v>48</v>
      </c>
      <c r="D315" s="83" t="s">
        <v>29</v>
      </c>
      <c r="E315" s="83" t="s">
        <v>102</v>
      </c>
      <c r="F315" s="83" t="s">
        <v>1135</v>
      </c>
      <c r="G315" s="83">
        <v>236</v>
      </c>
      <c r="H315" s="83" t="s">
        <v>1136</v>
      </c>
      <c r="I315" s="83" t="s">
        <v>220</v>
      </c>
      <c r="J315" s="83" t="s">
        <v>159</v>
      </c>
      <c r="K315" s="83" t="s">
        <v>1137</v>
      </c>
      <c r="L315" s="83" t="s">
        <v>1089</v>
      </c>
      <c r="M315" s="83" t="s">
        <v>1138</v>
      </c>
      <c r="N315" s="83" t="s">
        <v>452</v>
      </c>
      <c r="O315" s="36" t="s">
        <v>108</v>
      </c>
      <c r="P315" s="18"/>
      <c r="Q315" s="28" t="s">
        <v>108</v>
      </c>
      <c r="R315" s="18"/>
      <c r="S315" s="28" t="s">
        <v>108</v>
      </c>
      <c r="T315" s="18"/>
      <c r="U315" s="28" t="s">
        <v>108</v>
      </c>
      <c r="V315" s="18"/>
      <c r="W315" s="28" t="s">
        <v>108</v>
      </c>
      <c r="X315" s="18"/>
      <c r="Y315" s="28" t="s">
        <v>14</v>
      </c>
      <c r="Z315" s="18"/>
      <c r="AA315" s="28" t="s">
        <v>108</v>
      </c>
      <c r="AB315" s="18"/>
      <c r="AC315" s="28" t="s">
        <v>108</v>
      </c>
      <c r="AD315" s="18"/>
      <c r="AE315" s="28" t="s">
        <v>108</v>
      </c>
      <c r="AF315" s="47" t="str">
        <f t="shared" si="39"/>
        <v>C</v>
      </c>
      <c r="AG315" s="8" t="str">
        <f t="shared" si="41"/>
        <v>UTILIZOU O PDA CORRETAMENTE</v>
      </c>
      <c r="AH315" s="26" t="s">
        <v>108</v>
      </c>
      <c r="AI315" s="66" t="s">
        <v>1</v>
      </c>
      <c r="AJ315" s="22" t="str">
        <f t="shared" si="40"/>
        <v>GUARULHOS</v>
      </c>
      <c r="AK315" s="69" t="s">
        <v>4</v>
      </c>
    </row>
    <row r="316" spans="1:37" ht="30" customHeight="1" x14ac:dyDescent="0.2">
      <c r="A316" s="83" t="s">
        <v>101</v>
      </c>
      <c r="B316" s="83">
        <v>2691022539</v>
      </c>
      <c r="C316" s="83" t="s">
        <v>37</v>
      </c>
      <c r="D316" s="83" t="s">
        <v>26</v>
      </c>
      <c r="E316" s="83" t="s">
        <v>102</v>
      </c>
      <c r="F316" s="83" t="s">
        <v>466</v>
      </c>
      <c r="G316" s="83">
        <v>201</v>
      </c>
      <c r="H316" s="83"/>
      <c r="I316" s="83" t="s">
        <v>468</v>
      </c>
      <c r="J316" s="83" t="s">
        <v>230</v>
      </c>
      <c r="K316" s="83" t="s">
        <v>1139</v>
      </c>
      <c r="L316" s="83" t="s">
        <v>1089</v>
      </c>
      <c r="M316" s="83" t="s">
        <v>1140</v>
      </c>
      <c r="N316" s="83" t="s">
        <v>146</v>
      </c>
      <c r="O316" s="36" t="s">
        <v>108</v>
      </c>
      <c r="P316" s="28"/>
      <c r="Q316" s="28" t="s">
        <v>108</v>
      </c>
      <c r="R316" s="65"/>
      <c r="S316" s="28" t="s">
        <v>108</v>
      </c>
      <c r="T316" s="28"/>
      <c r="U316" s="28" t="s">
        <v>108</v>
      </c>
      <c r="V316" s="28"/>
      <c r="W316" s="28" t="s">
        <v>108</v>
      </c>
      <c r="X316" s="28"/>
      <c r="Y316" s="28" t="s">
        <v>14</v>
      </c>
      <c r="Z316" s="28"/>
      <c r="AA316" s="28" t="s">
        <v>108</v>
      </c>
      <c r="AB316" s="28"/>
      <c r="AC316" s="28" t="s">
        <v>108</v>
      </c>
      <c r="AD316" s="28"/>
      <c r="AE316" s="28" t="s">
        <v>108</v>
      </c>
      <c r="AF316" s="47" t="str">
        <f t="shared" si="39"/>
        <v>C</v>
      </c>
      <c r="AG316" s="8" t="str">
        <f t="shared" si="41"/>
        <v>UTILIZOU O PDA CORRETAMENTE</v>
      </c>
      <c r="AH316" s="28"/>
      <c r="AI316" s="66" t="s">
        <v>1</v>
      </c>
      <c r="AJ316" s="22" t="str">
        <f t="shared" si="40"/>
        <v>GUARULHOS</v>
      </c>
      <c r="AK316" s="69" t="s">
        <v>4</v>
      </c>
    </row>
    <row r="317" spans="1:37" ht="30" customHeight="1" x14ac:dyDescent="0.2">
      <c r="A317" s="83" t="s">
        <v>101</v>
      </c>
      <c r="B317" s="83">
        <v>2691081875</v>
      </c>
      <c r="C317" s="83" t="s">
        <v>47</v>
      </c>
      <c r="D317" s="83" t="s">
        <v>29</v>
      </c>
      <c r="E317" s="83" t="s">
        <v>102</v>
      </c>
      <c r="F317" s="83" t="s">
        <v>481</v>
      </c>
      <c r="G317" s="83">
        <v>365</v>
      </c>
      <c r="H317" s="83" t="s">
        <v>421</v>
      </c>
      <c r="I317" s="83" t="s">
        <v>483</v>
      </c>
      <c r="J317" s="83" t="s">
        <v>170</v>
      </c>
      <c r="K317" s="83"/>
      <c r="L317" s="83" t="s">
        <v>1141</v>
      </c>
      <c r="M317" s="83" t="s">
        <v>1142</v>
      </c>
      <c r="N317" s="83" t="s">
        <v>146</v>
      </c>
      <c r="O317" s="36" t="s">
        <v>108</v>
      </c>
      <c r="P317" s="18"/>
      <c r="Q317" s="28" t="s">
        <v>108</v>
      </c>
      <c r="R317" s="18"/>
      <c r="S317" s="28" t="s">
        <v>108</v>
      </c>
      <c r="T317" s="18"/>
      <c r="U317" s="28" t="s">
        <v>108</v>
      </c>
      <c r="V317" s="18"/>
      <c r="W317" s="28" t="s">
        <v>108</v>
      </c>
      <c r="X317" s="18"/>
      <c r="Y317" s="28" t="s">
        <v>14</v>
      </c>
      <c r="Z317" s="18"/>
      <c r="AA317" s="28" t="s">
        <v>108</v>
      </c>
      <c r="AB317" s="18"/>
      <c r="AC317" s="28" t="s">
        <v>108</v>
      </c>
      <c r="AD317" s="18"/>
      <c r="AE317" s="28" t="s">
        <v>108</v>
      </c>
      <c r="AF317" s="47" t="str">
        <f t="shared" si="39"/>
        <v>C</v>
      </c>
      <c r="AG317" s="8" t="str">
        <f t="shared" si="41"/>
        <v>UTILIZOU O PDA CORRETAMENTE</v>
      </c>
      <c r="AH317" s="26" t="s">
        <v>108</v>
      </c>
      <c r="AI317" s="66" t="s">
        <v>1</v>
      </c>
      <c r="AJ317" s="22" t="str">
        <f t="shared" si="40"/>
        <v>GUARULHOS</v>
      </c>
      <c r="AK317" s="69" t="s">
        <v>4</v>
      </c>
    </row>
    <row r="318" spans="1:37" ht="30" customHeight="1" x14ac:dyDescent="0.2">
      <c r="A318" s="83" t="s">
        <v>101</v>
      </c>
      <c r="B318" s="83">
        <v>2691080717</v>
      </c>
      <c r="C318" s="83" t="s">
        <v>47</v>
      </c>
      <c r="D318" s="83" t="s">
        <v>29</v>
      </c>
      <c r="E318" s="83" t="s">
        <v>102</v>
      </c>
      <c r="F318" s="83" t="s">
        <v>1135</v>
      </c>
      <c r="G318" s="83">
        <v>45</v>
      </c>
      <c r="H318" s="83" t="s">
        <v>1143</v>
      </c>
      <c r="I318" s="83" t="s">
        <v>220</v>
      </c>
      <c r="J318" s="83" t="s">
        <v>188</v>
      </c>
      <c r="K318" s="83" t="s">
        <v>117</v>
      </c>
      <c r="L318" s="83" t="s">
        <v>1141</v>
      </c>
      <c r="M318" s="83" t="s">
        <v>1144</v>
      </c>
      <c r="N318" s="83" t="s">
        <v>231</v>
      </c>
      <c r="O318" s="36" t="s">
        <v>108</v>
      </c>
      <c r="P318" s="18"/>
      <c r="Q318" s="28" t="s">
        <v>108</v>
      </c>
      <c r="R318" s="18"/>
      <c r="S318" s="28" t="s">
        <v>108</v>
      </c>
      <c r="T318" s="18"/>
      <c r="U318" s="28" t="s">
        <v>108</v>
      </c>
      <c r="V318" s="18"/>
      <c r="W318" s="28" t="s">
        <v>108</v>
      </c>
      <c r="X318" s="18"/>
      <c r="Y318" s="28" t="s">
        <v>14</v>
      </c>
      <c r="Z318" s="18"/>
      <c r="AA318" s="28" t="s">
        <v>108</v>
      </c>
      <c r="AB318" s="18"/>
      <c r="AC318" s="28" t="s">
        <v>108</v>
      </c>
      <c r="AD318" s="18"/>
      <c r="AE318" s="28" t="s">
        <v>108</v>
      </c>
      <c r="AF318" s="47" t="str">
        <f t="shared" si="39"/>
        <v>C</v>
      </c>
      <c r="AG318" s="8" t="str">
        <f t="shared" si="41"/>
        <v>UTILIZOU O PDA CORRETAMENTE</v>
      </c>
      <c r="AH318" s="26" t="s">
        <v>108</v>
      </c>
      <c r="AI318" s="66" t="s">
        <v>1</v>
      </c>
      <c r="AJ318" s="22" t="str">
        <f t="shared" si="40"/>
        <v>GUARULHOS</v>
      </c>
      <c r="AK318" s="69" t="s">
        <v>4</v>
      </c>
    </row>
    <row r="319" spans="1:37" ht="30" customHeight="1" x14ac:dyDescent="0.2">
      <c r="A319" s="83" t="s">
        <v>101</v>
      </c>
      <c r="B319" s="83">
        <v>2616643965</v>
      </c>
      <c r="C319" s="83" t="s">
        <v>47</v>
      </c>
      <c r="D319" s="83" t="s">
        <v>29</v>
      </c>
      <c r="E319" s="83" t="s">
        <v>102</v>
      </c>
      <c r="F319" s="83" t="s">
        <v>481</v>
      </c>
      <c r="G319" s="83">
        <v>371</v>
      </c>
      <c r="H319" s="83" t="s">
        <v>1146</v>
      </c>
      <c r="I319" s="83" t="s">
        <v>483</v>
      </c>
      <c r="J319" s="83" t="s">
        <v>170</v>
      </c>
      <c r="K319" s="83" t="s">
        <v>117</v>
      </c>
      <c r="L319" s="83" t="s">
        <v>1141</v>
      </c>
      <c r="M319" s="83" t="s">
        <v>1147</v>
      </c>
      <c r="N319" s="83" t="s">
        <v>146</v>
      </c>
      <c r="O319" s="36" t="s">
        <v>108</v>
      </c>
      <c r="P319" s="18"/>
      <c r="Q319" s="28" t="s">
        <v>108</v>
      </c>
      <c r="R319" s="18"/>
      <c r="S319" s="28" t="s">
        <v>108</v>
      </c>
      <c r="T319" s="18"/>
      <c r="U319" s="28" t="s">
        <v>108</v>
      </c>
      <c r="V319" s="18"/>
      <c r="W319" s="28" t="s">
        <v>108</v>
      </c>
      <c r="X319" s="18"/>
      <c r="Y319" s="28" t="s">
        <v>14</v>
      </c>
      <c r="Z319" s="18"/>
      <c r="AA319" s="28" t="s">
        <v>108</v>
      </c>
      <c r="AB319" s="18"/>
      <c r="AC319" s="28" t="s">
        <v>108</v>
      </c>
      <c r="AD319" s="18"/>
      <c r="AE319" s="28" t="s">
        <v>108</v>
      </c>
      <c r="AF319" s="47" t="str">
        <f t="shared" si="39"/>
        <v>C</v>
      </c>
      <c r="AG319" s="8" t="str">
        <f t="shared" si="41"/>
        <v>UTILIZOU O PDA CORRETAMENTE</v>
      </c>
      <c r="AH319" s="26" t="s">
        <v>108</v>
      </c>
      <c r="AI319" s="66" t="s">
        <v>1</v>
      </c>
      <c r="AJ319" s="22" t="str">
        <f t="shared" si="40"/>
        <v>GUARULHOS</v>
      </c>
      <c r="AK319" s="69" t="s">
        <v>4</v>
      </c>
    </row>
    <row r="320" spans="1:37" ht="30" customHeight="1" x14ac:dyDescent="0.2">
      <c r="A320" s="83" t="s">
        <v>101</v>
      </c>
      <c r="B320" s="83">
        <v>2616344963</v>
      </c>
      <c r="C320" s="83" t="s">
        <v>38</v>
      </c>
      <c r="D320" s="83" t="s">
        <v>25</v>
      </c>
      <c r="E320" s="83" t="s">
        <v>102</v>
      </c>
      <c r="F320" s="83" t="s">
        <v>1149</v>
      </c>
      <c r="G320" s="83">
        <v>53</v>
      </c>
      <c r="H320" s="83" t="s">
        <v>1150</v>
      </c>
      <c r="I320" s="83" t="s">
        <v>118</v>
      </c>
      <c r="J320" s="83" t="s">
        <v>309</v>
      </c>
      <c r="K320" s="83" t="s">
        <v>117</v>
      </c>
      <c r="L320" s="83" t="s">
        <v>1141</v>
      </c>
      <c r="M320" s="83" t="s">
        <v>1151</v>
      </c>
      <c r="N320" s="83" t="s">
        <v>119</v>
      </c>
      <c r="O320" s="36" t="s">
        <v>108</v>
      </c>
      <c r="P320" s="18"/>
      <c r="Q320" s="28" t="s">
        <v>108</v>
      </c>
      <c r="R320" s="18"/>
      <c r="S320" s="28" t="s">
        <v>108</v>
      </c>
      <c r="T320" s="18"/>
      <c r="U320" s="28" t="s">
        <v>108</v>
      </c>
      <c r="V320" s="18"/>
      <c r="W320" s="28" t="s">
        <v>108</v>
      </c>
      <c r="X320" s="18"/>
      <c r="Y320" s="28" t="s">
        <v>542</v>
      </c>
      <c r="Z320" s="18"/>
      <c r="AA320" s="28" t="s">
        <v>108</v>
      </c>
      <c r="AB320" s="18"/>
      <c r="AC320" s="28" t="s">
        <v>108</v>
      </c>
      <c r="AD320" s="18"/>
      <c r="AE320" s="28" t="s">
        <v>108</v>
      </c>
      <c r="AF320" s="47" t="str">
        <f t="shared" si="39"/>
        <v>C</v>
      </c>
      <c r="AG320" s="8" t="str">
        <f t="shared" si="41"/>
        <v>UTILIZOU O PDA CORRETAMENTE</v>
      </c>
      <c r="AH320" s="28" t="s">
        <v>108</v>
      </c>
      <c r="AI320" s="66" t="s">
        <v>1</v>
      </c>
      <c r="AJ320" s="22" t="str">
        <f t="shared" si="40"/>
        <v>GUARULHOS</v>
      </c>
      <c r="AK320" s="69" t="s">
        <v>4</v>
      </c>
    </row>
    <row r="321" spans="1:37" ht="30" customHeight="1" x14ac:dyDescent="0.2">
      <c r="A321" s="83" t="s">
        <v>101</v>
      </c>
      <c r="B321" s="83">
        <v>2616642070</v>
      </c>
      <c r="C321" s="83" t="s">
        <v>45</v>
      </c>
      <c r="D321" s="83" t="s">
        <v>27</v>
      </c>
      <c r="E321" s="83" t="s">
        <v>102</v>
      </c>
      <c r="F321" s="83" t="s">
        <v>236</v>
      </c>
      <c r="G321" s="83">
        <v>349</v>
      </c>
      <c r="H321" s="83" t="s">
        <v>1152</v>
      </c>
      <c r="I321" s="83" t="s">
        <v>237</v>
      </c>
      <c r="J321" s="83" t="s">
        <v>150</v>
      </c>
      <c r="K321" s="83"/>
      <c r="L321" s="83" t="s">
        <v>1141</v>
      </c>
      <c r="M321" s="83" t="s">
        <v>1153</v>
      </c>
      <c r="N321" s="83" t="s">
        <v>131</v>
      </c>
      <c r="O321" s="35" t="s">
        <v>108</v>
      </c>
      <c r="P321" s="25"/>
      <c r="Q321" s="26" t="s">
        <v>108</v>
      </c>
      <c r="R321" s="25"/>
      <c r="S321" s="26" t="s">
        <v>108</v>
      </c>
      <c r="T321" s="25"/>
      <c r="U321" s="26" t="s">
        <v>108</v>
      </c>
      <c r="V321" s="25"/>
      <c r="W321" s="26" t="s">
        <v>108</v>
      </c>
      <c r="X321" s="25"/>
      <c r="Y321" s="26" t="s">
        <v>108</v>
      </c>
      <c r="Z321" s="25"/>
      <c r="AA321" s="26" t="s">
        <v>108</v>
      </c>
      <c r="AB321" s="25"/>
      <c r="AC321" s="26" t="s">
        <v>108</v>
      </c>
      <c r="AD321" s="10"/>
      <c r="AE321" s="26" t="s">
        <v>108</v>
      </c>
      <c r="AF321" s="47" t="str">
        <f t="shared" si="39"/>
        <v>C</v>
      </c>
      <c r="AG321" s="8" t="str">
        <f t="shared" si="41"/>
        <v>UTILIZOU O PDA CORRETAMENTE</v>
      </c>
      <c r="AH321" s="26" t="s">
        <v>108</v>
      </c>
      <c r="AI321" s="66" t="s">
        <v>1</v>
      </c>
      <c r="AJ321" s="22" t="str">
        <f t="shared" si="40"/>
        <v>GUARULHOS</v>
      </c>
      <c r="AK321" s="69" t="s">
        <v>4</v>
      </c>
    </row>
    <row r="322" spans="1:37" ht="30" customHeight="1" x14ac:dyDescent="0.2">
      <c r="A322" s="83" t="s">
        <v>101</v>
      </c>
      <c r="B322" s="83">
        <v>2616388364</v>
      </c>
      <c r="C322" s="83" t="s">
        <v>31</v>
      </c>
      <c r="D322" s="83" t="s">
        <v>25</v>
      </c>
      <c r="E322" s="83" t="s">
        <v>102</v>
      </c>
      <c r="F322" s="83" t="s">
        <v>1149</v>
      </c>
      <c r="G322" s="83">
        <v>53</v>
      </c>
      <c r="H322" s="83" t="s">
        <v>1002</v>
      </c>
      <c r="I322" s="83" t="s">
        <v>459</v>
      </c>
      <c r="J322" s="83" t="s">
        <v>123</v>
      </c>
      <c r="K322" s="83" t="s">
        <v>1156</v>
      </c>
      <c r="L322" s="83" t="s">
        <v>1141</v>
      </c>
      <c r="M322" s="83" t="s">
        <v>1157</v>
      </c>
      <c r="N322" s="83" t="s">
        <v>119</v>
      </c>
      <c r="O322" s="36" t="s">
        <v>108</v>
      </c>
      <c r="P322" s="18"/>
      <c r="Q322" s="28" t="s">
        <v>108</v>
      </c>
      <c r="R322" s="18"/>
      <c r="S322" s="28" t="s">
        <v>108</v>
      </c>
      <c r="T322" s="18"/>
      <c r="U322" s="28" t="s">
        <v>108</v>
      </c>
      <c r="V322" s="18"/>
      <c r="W322" s="28" t="s">
        <v>108</v>
      </c>
      <c r="X322" s="18"/>
      <c r="Y322" s="28" t="s">
        <v>108</v>
      </c>
      <c r="Z322" s="18"/>
      <c r="AA322" s="28" t="s">
        <v>108</v>
      </c>
      <c r="AB322" s="18"/>
      <c r="AC322" s="28" t="s">
        <v>108</v>
      </c>
      <c r="AD322" s="18"/>
      <c r="AE322" s="28" t="s">
        <v>108</v>
      </c>
      <c r="AF322" s="47" t="str">
        <f t="shared" si="39"/>
        <v>C</v>
      </c>
      <c r="AG322" s="8" t="str">
        <f t="shared" si="41"/>
        <v>UTILIZOU O PDA CORRETAMENTE</v>
      </c>
      <c r="AH322" s="28" t="s">
        <v>108</v>
      </c>
      <c r="AI322" s="66" t="s">
        <v>1</v>
      </c>
      <c r="AJ322" s="22" t="str">
        <f t="shared" si="40"/>
        <v>GUARULHOS</v>
      </c>
      <c r="AK322" s="69" t="s">
        <v>4</v>
      </c>
    </row>
    <row r="323" spans="1:37" ht="30" customHeight="1" x14ac:dyDescent="0.2">
      <c r="A323" s="83" t="s">
        <v>101</v>
      </c>
      <c r="B323" s="83">
        <v>2616384514</v>
      </c>
      <c r="C323" s="83" t="s">
        <v>31</v>
      </c>
      <c r="D323" s="83" t="s">
        <v>25</v>
      </c>
      <c r="E323" s="83" t="s">
        <v>102</v>
      </c>
      <c r="F323" s="83" t="s">
        <v>1149</v>
      </c>
      <c r="G323" s="83">
        <v>53</v>
      </c>
      <c r="H323" s="83" t="s">
        <v>318</v>
      </c>
      <c r="I323" s="83" t="s">
        <v>459</v>
      </c>
      <c r="J323" s="83" t="s">
        <v>123</v>
      </c>
      <c r="K323" s="83" t="s">
        <v>1156</v>
      </c>
      <c r="L323" s="83" t="s">
        <v>1141</v>
      </c>
      <c r="M323" s="83" t="s">
        <v>1158</v>
      </c>
      <c r="N323" s="83" t="s">
        <v>119</v>
      </c>
      <c r="O323" s="36" t="s">
        <v>108</v>
      </c>
      <c r="P323" s="18"/>
      <c r="Q323" s="28" t="s">
        <v>108</v>
      </c>
      <c r="R323" s="18"/>
      <c r="S323" s="28" t="s">
        <v>108</v>
      </c>
      <c r="T323" s="18"/>
      <c r="U323" s="28" t="s">
        <v>108</v>
      </c>
      <c r="V323" s="18"/>
      <c r="W323" s="28" t="s">
        <v>108</v>
      </c>
      <c r="X323" s="18"/>
      <c r="Y323" s="28" t="s">
        <v>108</v>
      </c>
      <c r="Z323" s="18"/>
      <c r="AA323" s="28" t="s">
        <v>108</v>
      </c>
      <c r="AB323" s="18"/>
      <c r="AC323" s="28" t="s">
        <v>108</v>
      </c>
      <c r="AD323" s="18"/>
      <c r="AE323" s="28" t="s">
        <v>108</v>
      </c>
      <c r="AF323" s="47" t="str">
        <f t="shared" si="39"/>
        <v>C</v>
      </c>
      <c r="AG323" s="8" t="str">
        <f t="shared" si="41"/>
        <v>UTILIZOU O PDA CORRETAMENTE</v>
      </c>
      <c r="AH323" s="28" t="s">
        <v>108</v>
      </c>
      <c r="AI323" s="66" t="s">
        <v>1</v>
      </c>
      <c r="AJ323" s="22" t="str">
        <f t="shared" si="40"/>
        <v>GUARULHOS</v>
      </c>
      <c r="AK323" s="69" t="s">
        <v>4</v>
      </c>
    </row>
    <row r="324" spans="1:37" ht="30" customHeight="1" x14ac:dyDescent="0.2">
      <c r="A324" s="83" t="s">
        <v>101</v>
      </c>
      <c r="B324" s="83">
        <v>2616381468</v>
      </c>
      <c r="C324" s="83" t="s">
        <v>31</v>
      </c>
      <c r="D324" s="83" t="s">
        <v>25</v>
      </c>
      <c r="E324" s="83" t="s">
        <v>102</v>
      </c>
      <c r="F324" s="83" t="s">
        <v>1149</v>
      </c>
      <c r="G324" s="83">
        <v>53</v>
      </c>
      <c r="H324" s="83" t="s">
        <v>320</v>
      </c>
      <c r="I324" s="83" t="s">
        <v>459</v>
      </c>
      <c r="J324" s="83" t="s">
        <v>123</v>
      </c>
      <c r="K324" s="83" t="s">
        <v>1156</v>
      </c>
      <c r="L324" s="83" t="s">
        <v>1141</v>
      </c>
      <c r="M324" s="83" t="s">
        <v>1159</v>
      </c>
      <c r="N324" s="83" t="s">
        <v>119</v>
      </c>
      <c r="O324" s="36" t="s">
        <v>108</v>
      </c>
      <c r="P324" s="18"/>
      <c r="Q324" s="28" t="s">
        <v>108</v>
      </c>
      <c r="R324" s="18"/>
      <c r="S324" s="28" t="s">
        <v>108</v>
      </c>
      <c r="T324" s="18"/>
      <c r="U324" s="28" t="s">
        <v>108</v>
      </c>
      <c r="V324" s="18"/>
      <c r="W324" s="28" t="s">
        <v>108</v>
      </c>
      <c r="X324" s="18"/>
      <c r="Y324" s="28" t="s">
        <v>108</v>
      </c>
      <c r="Z324" s="18"/>
      <c r="AA324" s="28" t="s">
        <v>108</v>
      </c>
      <c r="AB324" s="18"/>
      <c r="AC324" s="28" t="s">
        <v>108</v>
      </c>
      <c r="AD324" s="18"/>
      <c r="AE324" s="28" t="s">
        <v>108</v>
      </c>
      <c r="AF324" s="47" t="str">
        <f t="shared" si="39"/>
        <v>C</v>
      </c>
      <c r="AG324" s="8" t="str">
        <f t="shared" ref="AG324:AG339" si="42">IF(AND(AE324="C",AF324="C"),"UTILIZOU O PDA CORRETAMENTE",IF(AND(AE324="C",AF324="NC"),"UTILIZOU O PDA CORRETAMENTE. NÃO HÁ FOTOS DE TODAS AS ETAPAS",IF(AND(AE324="NC",AF324="NC"),"NÃO UTILIZOU O PDA",IF(AND(AE324="NA",AF324="NA"),"NÃO AVALIADO POR FALHA DE SINCRONISMO"))))</f>
        <v>UTILIZOU O PDA CORRETAMENTE</v>
      </c>
      <c r="AH324" s="28" t="s">
        <v>108</v>
      </c>
      <c r="AI324" s="66" t="s">
        <v>1</v>
      </c>
      <c r="AJ324" s="22" t="str">
        <f t="shared" si="40"/>
        <v>GUARULHOS</v>
      </c>
      <c r="AK324" s="69" t="s">
        <v>4</v>
      </c>
    </row>
    <row r="325" spans="1:37" ht="30" customHeight="1" x14ac:dyDescent="0.2">
      <c r="A325" s="83" t="s">
        <v>101</v>
      </c>
      <c r="B325" s="83">
        <v>2616378024</v>
      </c>
      <c r="C325" s="83" t="s">
        <v>31</v>
      </c>
      <c r="D325" s="83" t="s">
        <v>25</v>
      </c>
      <c r="E325" s="83" t="s">
        <v>102</v>
      </c>
      <c r="F325" s="83" t="s">
        <v>1149</v>
      </c>
      <c r="G325" s="83">
        <v>53</v>
      </c>
      <c r="H325" s="83" t="s">
        <v>321</v>
      </c>
      <c r="I325" s="83" t="s">
        <v>459</v>
      </c>
      <c r="J325" s="83" t="s">
        <v>123</v>
      </c>
      <c r="K325" s="83" t="s">
        <v>1156</v>
      </c>
      <c r="L325" s="83" t="s">
        <v>1141</v>
      </c>
      <c r="M325" s="83" t="s">
        <v>1160</v>
      </c>
      <c r="N325" s="83" t="s">
        <v>119</v>
      </c>
      <c r="O325" s="36" t="s">
        <v>108</v>
      </c>
      <c r="P325" s="18"/>
      <c r="Q325" s="28" t="s">
        <v>108</v>
      </c>
      <c r="R325" s="18"/>
      <c r="S325" s="28" t="s">
        <v>108</v>
      </c>
      <c r="T325" s="18"/>
      <c r="U325" s="28" t="s">
        <v>108</v>
      </c>
      <c r="V325" s="18"/>
      <c r="W325" s="28" t="s">
        <v>108</v>
      </c>
      <c r="X325" s="18"/>
      <c r="Y325" s="28" t="s">
        <v>108</v>
      </c>
      <c r="Z325" s="18"/>
      <c r="AA325" s="28" t="s">
        <v>108</v>
      </c>
      <c r="AB325" s="18"/>
      <c r="AC325" s="28" t="s">
        <v>108</v>
      </c>
      <c r="AD325" s="18"/>
      <c r="AE325" s="28" t="s">
        <v>108</v>
      </c>
      <c r="AF325" s="47" t="str">
        <f t="shared" si="39"/>
        <v>C</v>
      </c>
      <c r="AG325" s="8" t="str">
        <f t="shared" si="42"/>
        <v>UTILIZOU O PDA CORRETAMENTE</v>
      </c>
      <c r="AH325" s="28" t="s">
        <v>108</v>
      </c>
      <c r="AI325" s="66" t="s">
        <v>1</v>
      </c>
      <c r="AJ325" s="22" t="str">
        <f t="shared" si="40"/>
        <v>GUARULHOS</v>
      </c>
      <c r="AK325" s="69" t="s">
        <v>4</v>
      </c>
    </row>
    <row r="326" spans="1:37" ht="30" customHeight="1" x14ac:dyDescent="0.2">
      <c r="A326" s="83" t="s">
        <v>101</v>
      </c>
      <c r="B326" s="83">
        <v>2616376340</v>
      </c>
      <c r="C326" s="83" t="s">
        <v>31</v>
      </c>
      <c r="D326" s="83" t="s">
        <v>25</v>
      </c>
      <c r="E326" s="83" t="s">
        <v>102</v>
      </c>
      <c r="F326" s="83" t="s">
        <v>1149</v>
      </c>
      <c r="G326" s="83">
        <v>53</v>
      </c>
      <c r="H326" s="83" t="s">
        <v>322</v>
      </c>
      <c r="I326" s="83" t="s">
        <v>459</v>
      </c>
      <c r="J326" s="83" t="s">
        <v>123</v>
      </c>
      <c r="K326" s="83" t="s">
        <v>1156</v>
      </c>
      <c r="L326" s="83" t="s">
        <v>1141</v>
      </c>
      <c r="M326" s="83" t="s">
        <v>1161</v>
      </c>
      <c r="N326" s="83" t="s">
        <v>119</v>
      </c>
      <c r="O326" s="36" t="s">
        <v>108</v>
      </c>
      <c r="P326" s="18"/>
      <c r="Q326" s="28" t="s">
        <v>108</v>
      </c>
      <c r="R326" s="18"/>
      <c r="S326" s="28" t="s">
        <v>108</v>
      </c>
      <c r="T326" s="18"/>
      <c r="U326" s="28" t="s">
        <v>108</v>
      </c>
      <c r="V326" s="18"/>
      <c r="W326" s="28" t="s">
        <v>108</v>
      </c>
      <c r="X326" s="18"/>
      <c r="Y326" s="28" t="s">
        <v>108</v>
      </c>
      <c r="Z326" s="18"/>
      <c r="AA326" s="28" t="s">
        <v>108</v>
      </c>
      <c r="AB326" s="18"/>
      <c r="AC326" s="28" t="s">
        <v>108</v>
      </c>
      <c r="AD326" s="18"/>
      <c r="AE326" s="28" t="s">
        <v>108</v>
      </c>
      <c r="AF326" s="47" t="str">
        <f t="shared" si="39"/>
        <v>C</v>
      </c>
      <c r="AG326" s="8" t="str">
        <f t="shared" si="42"/>
        <v>UTILIZOU O PDA CORRETAMENTE</v>
      </c>
      <c r="AH326" s="28" t="s">
        <v>108</v>
      </c>
      <c r="AI326" s="66" t="s">
        <v>1</v>
      </c>
      <c r="AJ326" s="22" t="str">
        <f t="shared" si="40"/>
        <v>GUARULHOS</v>
      </c>
      <c r="AK326" s="69" t="s">
        <v>4</v>
      </c>
    </row>
    <row r="327" spans="1:37" ht="30" customHeight="1" x14ac:dyDescent="0.2">
      <c r="A327" s="83" t="s">
        <v>101</v>
      </c>
      <c r="B327" s="83">
        <v>2616375858</v>
      </c>
      <c r="C327" s="83" t="s">
        <v>31</v>
      </c>
      <c r="D327" s="83" t="s">
        <v>25</v>
      </c>
      <c r="E327" s="83" t="s">
        <v>102</v>
      </c>
      <c r="F327" s="83" t="s">
        <v>1149</v>
      </c>
      <c r="G327" s="83">
        <v>53</v>
      </c>
      <c r="H327" s="83" t="s">
        <v>121</v>
      </c>
      <c r="I327" s="83" t="s">
        <v>459</v>
      </c>
      <c r="J327" s="83" t="s">
        <v>123</v>
      </c>
      <c r="K327" s="83" t="s">
        <v>117</v>
      </c>
      <c r="L327" s="83" t="s">
        <v>1141</v>
      </c>
      <c r="M327" s="83" t="s">
        <v>1162</v>
      </c>
      <c r="N327" s="83" t="s">
        <v>119</v>
      </c>
      <c r="O327" s="36" t="s">
        <v>108</v>
      </c>
      <c r="P327" s="18"/>
      <c r="Q327" s="28" t="s">
        <v>108</v>
      </c>
      <c r="R327" s="18"/>
      <c r="S327" s="28" t="s">
        <v>108</v>
      </c>
      <c r="T327" s="18"/>
      <c r="U327" s="28" t="s">
        <v>108</v>
      </c>
      <c r="V327" s="18"/>
      <c r="W327" s="28" t="s">
        <v>108</v>
      </c>
      <c r="X327" s="18"/>
      <c r="Y327" s="28" t="s">
        <v>108</v>
      </c>
      <c r="Z327" s="18"/>
      <c r="AA327" s="28" t="s">
        <v>108</v>
      </c>
      <c r="AB327" s="18"/>
      <c r="AC327" s="28" t="s">
        <v>108</v>
      </c>
      <c r="AD327" s="18"/>
      <c r="AE327" s="28" t="s">
        <v>108</v>
      </c>
      <c r="AF327" s="47" t="str">
        <f t="shared" si="39"/>
        <v>C</v>
      </c>
      <c r="AG327" s="8" t="str">
        <f t="shared" si="42"/>
        <v>UTILIZOU O PDA CORRETAMENTE</v>
      </c>
      <c r="AH327" s="28" t="s">
        <v>108</v>
      </c>
      <c r="AI327" s="66" t="s">
        <v>1</v>
      </c>
      <c r="AJ327" s="22" t="str">
        <f t="shared" si="40"/>
        <v>GUARULHOS</v>
      </c>
      <c r="AK327" s="69" t="s">
        <v>4</v>
      </c>
    </row>
    <row r="328" spans="1:37" ht="30" customHeight="1" x14ac:dyDescent="0.2">
      <c r="A328" s="83" t="s">
        <v>101</v>
      </c>
      <c r="B328" s="83">
        <v>2616241373</v>
      </c>
      <c r="C328" s="83" t="s">
        <v>42</v>
      </c>
      <c r="D328" s="83" t="s">
        <v>25</v>
      </c>
      <c r="E328" s="83" t="s">
        <v>102</v>
      </c>
      <c r="F328" s="83" t="s">
        <v>1020</v>
      </c>
      <c r="G328" s="83">
        <v>310</v>
      </c>
      <c r="H328" s="83" t="s">
        <v>1163</v>
      </c>
      <c r="I328" s="83" t="s">
        <v>532</v>
      </c>
      <c r="J328" s="83" t="s">
        <v>42</v>
      </c>
      <c r="K328" s="83" t="s">
        <v>1164</v>
      </c>
      <c r="L328" s="83" t="s">
        <v>1141</v>
      </c>
      <c r="M328" s="83" t="s">
        <v>1165</v>
      </c>
      <c r="N328" s="83" t="s">
        <v>274</v>
      </c>
      <c r="O328" s="36" t="s">
        <v>108</v>
      </c>
      <c r="P328" s="18"/>
      <c r="Q328" s="28" t="s">
        <v>108</v>
      </c>
      <c r="R328" s="18"/>
      <c r="S328" s="28" t="s">
        <v>108</v>
      </c>
      <c r="T328" s="18"/>
      <c r="U328" s="28" t="s">
        <v>108</v>
      </c>
      <c r="V328" s="18"/>
      <c r="W328" s="28" t="s">
        <v>108</v>
      </c>
      <c r="X328" s="18"/>
      <c r="Y328" s="28" t="s">
        <v>108</v>
      </c>
      <c r="Z328" s="18"/>
      <c r="AA328" s="28" t="s">
        <v>108</v>
      </c>
      <c r="AB328" s="18"/>
      <c r="AC328" s="28" t="s">
        <v>108</v>
      </c>
      <c r="AD328" s="18"/>
      <c r="AE328" s="28" t="s">
        <v>108</v>
      </c>
      <c r="AF328" s="47" t="str">
        <f t="shared" si="39"/>
        <v>C</v>
      </c>
      <c r="AG328" s="8" t="str">
        <f t="shared" si="42"/>
        <v>UTILIZOU O PDA CORRETAMENTE</v>
      </c>
      <c r="AH328" s="28"/>
      <c r="AI328" s="66" t="s">
        <v>1</v>
      </c>
      <c r="AJ328" s="22" t="str">
        <f t="shared" si="40"/>
        <v>GUARULHOS</v>
      </c>
      <c r="AK328" s="69" t="s">
        <v>4</v>
      </c>
    </row>
    <row r="329" spans="1:37" ht="30" customHeight="1" x14ac:dyDescent="0.2">
      <c r="A329" s="83" t="s">
        <v>101</v>
      </c>
      <c r="B329" s="83">
        <v>2691125242</v>
      </c>
      <c r="C329" s="83" t="s">
        <v>47</v>
      </c>
      <c r="D329" s="83" t="s">
        <v>29</v>
      </c>
      <c r="E329" s="83" t="s">
        <v>102</v>
      </c>
      <c r="F329" s="83" t="s">
        <v>1171</v>
      </c>
      <c r="G329" s="83">
        <v>560</v>
      </c>
      <c r="H329" s="83"/>
      <c r="I329" s="83" t="s">
        <v>1172</v>
      </c>
      <c r="J329" s="83" t="s">
        <v>159</v>
      </c>
      <c r="K329" s="83" t="s">
        <v>1173</v>
      </c>
      <c r="L329" s="83" t="s">
        <v>1141</v>
      </c>
      <c r="M329" s="83" t="s">
        <v>1174</v>
      </c>
      <c r="N329" s="83" t="s">
        <v>160</v>
      </c>
      <c r="O329" s="36" t="s">
        <v>108</v>
      </c>
      <c r="P329" s="18"/>
      <c r="Q329" s="28" t="s">
        <v>108</v>
      </c>
      <c r="R329" s="18"/>
      <c r="S329" s="28" t="s">
        <v>108</v>
      </c>
      <c r="T329" s="18"/>
      <c r="U329" s="28" t="s">
        <v>108</v>
      </c>
      <c r="V329" s="18"/>
      <c r="W329" s="28" t="s">
        <v>108</v>
      </c>
      <c r="X329" s="18"/>
      <c r="Y329" s="28" t="s">
        <v>14</v>
      </c>
      <c r="Z329" s="18"/>
      <c r="AA329" s="28" t="s">
        <v>108</v>
      </c>
      <c r="AB329" s="18"/>
      <c r="AC329" s="28" t="s">
        <v>108</v>
      </c>
      <c r="AD329" s="18"/>
      <c r="AE329" s="28" t="s">
        <v>108</v>
      </c>
      <c r="AF329" s="47" t="str">
        <f t="shared" si="39"/>
        <v>C</v>
      </c>
      <c r="AG329" s="8" t="str">
        <f t="shared" si="42"/>
        <v>UTILIZOU O PDA CORRETAMENTE</v>
      </c>
      <c r="AH329" s="26" t="s">
        <v>108</v>
      </c>
      <c r="AI329" s="66" t="s">
        <v>1</v>
      </c>
      <c r="AJ329" s="22" t="str">
        <f t="shared" si="40"/>
        <v>GUARULHOS</v>
      </c>
      <c r="AK329" s="69" t="s">
        <v>4</v>
      </c>
    </row>
    <row r="330" spans="1:37" ht="30" customHeight="1" x14ac:dyDescent="0.2">
      <c r="A330" s="83" t="s">
        <v>101</v>
      </c>
      <c r="B330" s="83">
        <v>2616746622</v>
      </c>
      <c r="C330" s="83" t="s">
        <v>45</v>
      </c>
      <c r="D330" s="83" t="s">
        <v>27</v>
      </c>
      <c r="E330" s="83" t="s">
        <v>102</v>
      </c>
      <c r="F330" s="83" t="s">
        <v>133</v>
      </c>
      <c r="G330" s="83">
        <v>125</v>
      </c>
      <c r="H330" s="83" t="s">
        <v>1176</v>
      </c>
      <c r="I330" s="83" t="s">
        <v>134</v>
      </c>
      <c r="J330" s="83" t="s">
        <v>150</v>
      </c>
      <c r="K330" s="83" t="s">
        <v>117</v>
      </c>
      <c r="L330" s="83" t="s">
        <v>1141</v>
      </c>
      <c r="M330" s="83" t="s">
        <v>1177</v>
      </c>
      <c r="N330" s="83" t="s">
        <v>163</v>
      </c>
      <c r="O330" s="35" t="s">
        <v>108</v>
      </c>
      <c r="P330" s="25"/>
      <c r="Q330" s="26" t="s">
        <v>108</v>
      </c>
      <c r="R330" s="25"/>
      <c r="S330" s="26" t="s">
        <v>108</v>
      </c>
      <c r="T330" s="25"/>
      <c r="U330" s="26" t="s">
        <v>108</v>
      </c>
      <c r="V330" s="25"/>
      <c r="W330" s="26" t="s">
        <v>108</v>
      </c>
      <c r="X330" s="25"/>
      <c r="Y330" s="26" t="s">
        <v>108</v>
      </c>
      <c r="Z330" s="25"/>
      <c r="AA330" s="26" t="s">
        <v>108</v>
      </c>
      <c r="AB330" s="25"/>
      <c r="AC330" s="26" t="s">
        <v>108</v>
      </c>
      <c r="AD330" s="10"/>
      <c r="AE330" s="26" t="s">
        <v>108</v>
      </c>
      <c r="AF330" s="47" t="str">
        <f t="shared" si="39"/>
        <v>C</v>
      </c>
      <c r="AG330" s="8" t="str">
        <f t="shared" si="42"/>
        <v>UTILIZOU O PDA CORRETAMENTE</v>
      </c>
      <c r="AH330" s="26" t="s">
        <v>108</v>
      </c>
      <c r="AI330" s="66" t="s">
        <v>1</v>
      </c>
      <c r="AJ330" s="22" t="str">
        <f t="shared" si="40"/>
        <v>GUARULHOS</v>
      </c>
      <c r="AK330" s="69" t="s">
        <v>4</v>
      </c>
    </row>
    <row r="331" spans="1:37" ht="30" customHeight="1" x14ac:dyDescent="0.2">
      <c r="A331" s="83" t="s">
        <v>101</v>
      </c>
      <c r="B331" s="83">
        <v>2691085714</v>
      </c>
      <c r="C331" s="83" t="s">
        <v>43</v>
      </c>
      <c r="D331" s="83" t="s">
        <v>29</v>
      </c>
      <c r="E331" s="83" t="s">
        <v>102</v>
      </c>
      <c r="F331" s="83" t="s">
        <v>1178</v>
      </c>
      <c r="G331" s="83">
        <v>39</v>
      </c>
      <c r="H331" s="83" t="s">
        <v>110</v>
      </c>
      <c r="I331" s="83" t="s">
        <v>1179</v>
      </c>
      <c r="J331" s="83" t="s">
        <v>188</v>
      </c>
      <c r="K331" s="83" t="s">
        <v>1180</v>
      </c>
      <c r="L331" s="83" t="s">
        <v>1141</v>
      </c>
      <c r="M331" s="83" t="s">
        <v>1181</v>
      </c>
      <c r="N331" s="83" t="s">
        <v>297</v>
      </c>
      <c r="O331" s="35" t="s">
        <v>108</v>
      </c>
      <c r="P331" s="25"/>
      <c r="Q331" s="26" t="s">
        <v>108</v>
      </c>
      <c r="R331" s="25"/>
      <c r="S331" s="26" t="s">
        <v>108</v>
      </c>
      <c r="T331" s="25"/>
      <c r="U331" s="26" t="s">
        <v>108</v>
      </c>
      <c r="V331" s="25"/>
      <c r="W331" s="26" t="s">
        <v>108</v>
      </c>
      <c r="X331" s="25"/>
      <c r="Y331" s="26" t="s">
        <v>108</v>
      </c>
      <c r="Z331" s="25"/>
      <c r="AA331" s="26" t="s">
        <v>108</v>
      </c>
      <c r="AB331" s="25"/>
      <c r="AC331" s="26" t="s">
        <v>108</v>
      </c>
      <c r="AD331" s="10"/>
      <c r="AE331" s="26" t="s">
        <v>108</v>
      </c>
      <c r="AF331" s="47" t="str">
        <f t="shared" si="39"/>
        <v>C</v>
      </c>
      <c r="AG331" s="8" t="str">
        <f t="shared" si="42"/>
        <v>UTILIZOU O PDA CORRETAMENTE</v>
      </c>
      <c r="AH331" s="26" t="s">
        <v>108</v>
      </c>
      <c r="AI331" s="66" t="s">
        <v>1</v>
      </c>
      <c r="AJ331" s="22" t="str">
        <f t="shared" si="40"/>
        <v>GUARULHOS</v>
      </c>
      <c r="AK331" s="69" t="s">
        <v>4</v>
      </c>
    </row>
    <row r="332" spans="1:37" ht="30" customHeight="1" x14ac:dyDescent="0.2">
      <c r="A332" s="83" t="s">
        <v>101</v>
      </c>
      <c r="B332" s="83">
        <v>2616755088</v>
      </c>
      <c r="C332" s="83" t="s">
        <v>45</v>
      </c>
      <c r="D332" s="83" t="s">
        <v>27</v>
      </c>
      <c r="E332" s="83" t="s">
        <v>102</v>
      </c>
      <c r="F332" s="83" t="s">
        <v>133</v>
      </c>
      <c r="G332" s="83">
        <v>118</v>
      </c>
      <c r="H332" s="83" t="s">
        <v>1182</v>
      </c>
      <c r="I332" s="83" t="s">
        <v>134</v>
      </c>
      <c r="J332" s="83" t="s">
        <v>150</v>
      </c>
      <c r="K332" s="89" t="s">
        <v>1183</v>
      </c>
      <c r="L332" s="83" t="s">
        <v>1141</v>
      </c>
      <c r="M332" s="83" t="s">
        <v>1184</v>
      </c>
      <c r="N332" s="83" t="s">
        <v>163</v>
      </c>
      <c r="O332" s="35" t="s">
        <v>108</v>
      </c>
      <c r="P332" s="25"/>
      <c r="Q332" s="26" t="s">
        <v>108</v>
      </c>
      <c r="R332" s="25"/>
      <c r="S332" s="26" t="s">
        <v>108</v>
      </c>
      <c r="T332" s="25"/>
      <c r="U332" s="26" t="s">
        <v>108</v>
      </c>
      <c r="V332" s="25"/>
      <c r="W332" s="26" t="s">
        <v>108</v>
      </c>
      <c r="X332" s="25"/>
      <c r="Y332" s="26" t="s">
        <v>108</v>
      </c>
      <c r="Z332" s="25"/>
      <c r="AA332" s="26" t="s">
        <v>108</v>
      </c>
      <c r="AB332" s="25"/>
      <c r="AC332" s="26" t="s">
        <v>108</v>
      </c>
      <c r="AD332" s="10"/>
      <c r="AE332" s="26" t="s">
        <v>108</v>
      </c>
      <c r="AF332" s="47" t="str">
        <f t="shared" ref="AF332:AF361" si="43">IF(AND(O332="",Q332="",S332="",U332="",W332="",Y332="",AA332="",AC332=""),"",IF(OR(AND(O332&lt;&gt;"NA",O332&lt;&gt;"C",O332&lt;&gt;"NC",O332&lt;&gt;"SF",O332&lt;&gt;""),AND(Q332&lt;&gt;"NA",Q332&lt;&gt;"C",Q332&lt;&gt;"NC",Q332&lt;&gt;"SF",Q332&lt;&gt;""),AND(S332&lt;&gt;"NA",S332&lt;&gt;"C",S332&lt;&gt;"NC",S332&lt;&gt;"SF",S332&lt;&gt;""),AND(U332&lt;&gt;"NA",U332&lt;&gt;"C",U332&lt;&gt;"NC",U332&lt;&gt;"SF",U332&lt;&gt;""),AND(W332&lt;&gt;"NA",W332&lt;&gt;"C",W332&lt;&gt;"NC",W332&lt;&gt;"SF",W332&lt;&gt;""),AND(Y332&lt;&gt;"NA",Y332&lt;&gt;"C",Y332&lt;&gt;"NC",Y332&lt;&gt;"SF",Y332&lt;&gt;""),AND(AA332&lt;&gt;"NA",AA332&lt;&gt;"C",AA332&lt;&gt;"NC",AA332&lt;&gt;"SF",AA332&lt;&gt;""),AND(AC332&lt;&gt;"NA",AC332&lt;&gt;"C",AC332&lt;&gt;"NC",AC332&lt;&gt;"SF",AC332&lt;&gt;"")),"FALSO",IF(AND(O332="NA",Q332="NA",S332="NA",U332="NA",W332="NA",Y332="NA",AA332="NA",AC332="NA"),"NA",IF(OR(O332="NC",Q332="NC",S332="NC",U332="NC",W332="NC",Y332="NC",AA332="NC",AC332="NC",O332="SF",Q332="SF",S332="SF",U332="SF",W332="SF",Y332="SF",AA332="SF",AC332="SF"),"NC",IF(OR(O332="C",Q332="C",S332="C",U332="C",W332="C",Y332="C",AA332="C",AC332="C"),"C","")))))</f>
        <v>C</v>
      </c>
      <c r="AG332" s="8" t="str">
        <f t="shared" si="42"/>
        <v>UTILIZOU O PDA CORRETAMENTE</v>
      </c>
      <c r="AH332" s="26" t="s">
        <v>108</v>
      </c>
      <c r="AI332" s="66" t="s">
        <v>1</v>
      </c>
      <c r="AJ332" s="22" t="str">
        <f t="shared" ref="AJ332:AJ361" si="44">E332</f>
        <v>GUARULHOS</v>
      </c>
      <c r="AK332" s="69" t="s">
        <v>4</v>
      </c>
    </row>
    <row r="333" spans="1:37" ht="30" customHeight="1" x14ac:dyDescent="0.2">
      <c r="A333" s="82" t="s">
        <v>101</v>
      </c>
      <c r="B333" s="82">
        <v>2616220127</v>
      </c>
      <c r="C333" s="82" t="s">
        <v>1186</v>
      </c>
      <c r="D333" s="82" t="s">
        <v>27</v>
      </c>
      <c r="E333" s="82" t="s">
        <v>102</v>
      </c>
      <c r="F333" s="82" t="s">
        <v>791</v>
      </c>
      <c r="G333" s="82">
        <v>61</v>
      </c>
      <c r="H333" s="82" t="s">
        <v>1190</v>
      </c>
      <c r="I333" s="82" t="s">
        <v>793</v>
      </c>
      <c r="J333" s="82" t="s">
        <v>1188</v>
      </c>
      <c r="K333" s="82" t="s">
        <v>1191</v>
      </c>
      <c r="L333" s="82" t="s">
        <v>1189</v>
      </c>
      <c r="M333" s="82" t="s">
        <v>1192</v>
      </c>
      <c r="N333" s="82" t="s">
        <v>205</v>
      </c>
      <c r="O333" s="36" t="s">
        <v>14</v>
      </c>
      <c r="P333" s="18"/>
      <c r="Q333" s="28" t="s">
        <v>14</v>
      </c>
      <c r="R333" s="18"/>
      <c r="S333" s="28" t="s">
        <v>14</v>
      </c>
      <c r="T333" s="18"/>
      <c r="U333" s="28" t="s">
        <v>14</v>
      </c>
      <c r="V333" s="18"/>
      <c r="W333" s="28" t="s">
        <v>14</v>
      </c>
      <c r="X333" s="18"/>
      <c r="Y333" s="28" t="s">
        <v>14</v>
      </c>
      <c r="Z333" s="18"/>
      <c r="AA333" s="28" t="s">
        <v>14</v>
      </c>
      <c r="AB333" s="18"/>
      <c r="AC333" s="28" t="s">
        <v>14</v>
      </c>
      <c r="AD333" s="18"/>
      <c r="AE333" s="28" t="s">
        <v>14</v>
      </c>
      <c r="AF333" s="47" t="str">
        <f t="shared" si="43"/>
        <v>NA</v>
      </c>
      <c r="AG333" s="8" t="str">
        <f t="shared" si="42"/>
        <v>NÃO AVALIADO POR FALHA DE SINCRONISMO</v>
      </c>
      <c r="AH333" s="28" t="s">
        <v>108</v>
      </c>
      <c r="AI333" s="66" t="s">
        <v>1</v>
      </c>
      <c r="AJ333" s="22" t="str">
        <f t="shared" si="44"/>
        <v>GUARULHOS</v>
      </c>
      <c r="AK333" s="69" t="s">
        <v>4</v>
      </c>
    </row>
    <row r="334" spans="1:37" ht="30" customHeight="1" x14ac:dyDescent="0.2">
      <c r="A334" s="82" t="s">
        <v>101</v>
      </c>
      <c r="B334" s="82">
        <v>2616221468</v>
      </c>
      <c r="C334" s="82" t="s">
        <v>1186</v>
      </c>
      <c r="D334" s="82" t="s">
        <v>27</v>
      </c>
      <c r="E334" s="82" t="s">
        <v>102</v>
      </c>
      <c r="F334" s="82" t="s">
        <v>791</v>
      </c>
      <c r="G334" s="82">
        <v>52</v>
      </c>
      <c r="H334" s="82" t="s">
        <v>1194</v>
      </c>
      <c r="I334" s="82" t="s">
        <v>793</v>
      </c>
      <c r="J334" s="82" t="s">
        <v>1188</v>
      </c>
      <c r="K334" s="82" t="s">
        <v>1191</v>
      </c>
      <c r="L334" s="82" t="s">
        <v>1189</v>
      </c>
      <c r="M334" s="82" t="s">
        <v>1195</v>
      </c>
      <c r="N334" s="82" t="s">
        <v>205</v>
      </c>
      <c r="O334" s="36" t="s">
        <v>14</v>
      </c>
      <c r="P334" s="18"/>
      <c r="Q334" s="28" t="s">
        <v>14</v>
      </c>
      <c r="R334" s="18"/>
      <c r="S334" s="28" t="s">
        <v>14</v>
      </c>
      <c r="T334" s="18"/>
      <c r="U334" s="28" t="s">
        <v>14</v>
      </c>
      <c r="V334" s="18"/>
      <c r="W334" s="28" t="s">
        <v>14</v>
      </c>
      <c r="X334" s="18"/>
      <c r="Y334" s="28" t="s">
        <v>14</v>
      </c>
      <c r="Z334" s="18"/>
      <c r="AA334" s="28" t="s">
        <v>14</v>
      </c>
      <c r="AB334" s="18"/>
      <c r="AC334" s="28" t="s">
        <v>14</v>
      </c>
      <c r="AD334" s="18"/>
      <c r="AE334" s="28" t="s">
        <v>14</v>
      </c>
      <c r="AF334" s="47" t="str">
        <f t="shared" si="43"/>
        <v>NA</v>
      </c>
      <c r="AG334" s="8" t="str">
        <f t="shared" si="42"/>
        <v>NÃO AVALIADO POR FALHA DE SINCRONISMO</v>
      </c>
      <c r="AH334" s="28" t="s">
        <v>108</v>
      </c>
      <c r="AI334" s="66" t="s">
        <v>1</v>
      </c>
      <c r="AJ334" s="22" t="str">
        <f t="shared" si="44"/>
        <v>GUARULHOS</v>
      </c>
      <c r="AK334" s="69" t="s">
        <v>4</v>
      </c>
    </row>
    <row r="335" spans="1:37" ht="30" customHeight="1" x14ac:dyDescent="0.2">
      <c r="A335" s="82" t="s">
        <v>101</v>
      </c>
      <c r="B335" s="82">
        <v>2616221108</v>
      </c>
      <c r="C335" s="82" t="s">
        <v>1186</v>
      </c>
      <c r="D335" s="82" t="s">
        <v>27</v>
      </c>
      <c r="E335" s="82" t="s">
        <v>102</v>
      </c>
      <c r="F335" s="82" t="s">
        <v>791</v>
      </c>
      <c r="G335" s="82">
        <v>38</v>
      </c>
      <c r="H335" s="82" t="s">
        <v>792</v>
      </c>
      <c r="I335" s="82" t="s">
        <v>793</v>
      </c>
      <c r="J335" s="82" t="s">
        <v>1188</v>
      </c>
      <c r="K335" s="82" t="s">
        <v>1196</v>
      </c>
      <c r="L335" s="82" t="s">
        <v>1189</v>
      </c>
      <c r="M335" s="82" t="s">
        <v>1197</v>
      </c>
      <c r="N335" s="82" t="s">
        <v>205</v>
      </c>
      <c r="O335" s="36" t="s">
        <v>14</v>
      </c>
      <c r="P335" s="18"/>
      <c r="Q335" s="28" t="s">
        <v>14</v>
      </c>
      <c r="R335" s="18"/>
      <c r="S335" s="28" t="s">
        <v>14</v>
      </c>
      <c r="T335" s="18"/>
      <c r="U335" s="28" t="s">
        <v>14</v>
      </c>
      <c r="V335" s="18"/>
      <c r="W335" s="28" t="s">
        <v>14</v>
      </c>
      <c r="X335" s="18"/>
      <c r="Y335" s="28" t="s">
        <v>14</v>
      </c>
      <c r="Z335" s="18"/>
      <c r="AA335" s="28" t="s">
        <v>14</v>
      </c>
      <c r="AB335" s="18"/>
      <c r="AC335" s="28" t="s">
        <v>14</v>
      </c>
      <c r="AD335" s="18"/>
      <c r="AE335" s="28" t="s">
        <v>14</v>
      </c>
      <c r="AF335" s="47" t="str">
        <f t="shared" si="43"/>
        <v>NA</v>
      </c>
      <c r="AG335" s="8" t="str">
        <f t="shared" si="42"/>
        <v>NÃO AVALIADO POR FALHA DE SINCRONISMO</v>
      </c>
      <c r="AH335" s="28" t="s">
        <v>108</v>
      </c>
      <c r="AI335" s="66" t="s">
        <v>1</v>
      </c>
      <c r="AJ335" s="22" t="str">
        <f t="shared" si="44"/>
        <v>GUARULHOS</v>
      </c>
      <c r="AK335" s="69" t="s">
        <v>4</v>
      </c>
    </row>
    <row r="336" spans="1:37" ht="30" customHeight="1" x14ac:dyDescent="0.2">
      <c r="A336" s="82" t="s">
        <v>101</v>
      </c>
      <c r="B336" s="82">
        <v>2616757354</v>
      </c>
      <c r="C336" s="82" t="s">
        <v>43</v>
      </c>
      <c r="D336" s="82" t="s">
        <v>29</v>
      </c>
      <c r="E336" s="82" t="s">
        <v>102</v>
      </c>
      <c r="F336" s="82" t="s">
        <v>1199</v>
      </c>
      <c r="G336" s="82">
        <v>86</v>
      </c>
      <c r="H336" s="82" t="s">
        <v>1200</v>
      </c>
      <c r="I336" s="82" t="s">
        <v>349</v>
      </c>
      <c r="J336" s="82" t="s">
        <v>188</v>
      </c>
      <c r="K336" s="82" t="s">
        <v>1201</v>
      </c>
      <c r="L336" s="82" t="s">
        <v>1189</v>
      </c>
      <c r="M336" s="82" t="s">
        <v>1202</v>
      </c>
      <c r="N336" s="82" t="s">
        <v>231</v>
      </c>
      <c r="O336" s="35" t="s">
        <v>108</v>
      </c>
      <c r="P336" s="25"/>
      <c r="Q336" s="26" t="s">
        <v>108</v>
      </c>
      <c r="R336" s="25"/>
      <c r="S336" s="26" t="s">
        <v>108</v>
      </c>
      <c r="T336" s="25"/>
      <c r="U336" s="26" t="s">
        <v>108</v>
      </c>
      <c r="V336" s="25"/>
      <c r="W336" s="26" t="s">
        <v>108</v>
      </c>
      <c r="X336" s="25"/>
      <c r="Y336" s="26" t="s">
        <v>108</v>
      </c>
      <c r="Z336" s="25"/>
      <c r="AA336" s="26" t="s">
        <v>108</v>
      </c>
      <c r="AB336" s="25"/>
      <c r="AC336" s="26" t="s">
        <v>108</v>
      </c>
      <c r="AD336" s="10"/>
      <c r="AE336" s="26" t="s">
        <v>108</v>
      </c>
      <c r="AF336" s="47" t="str">
        <f t="shared" si="43"/>
        <v>C</v>
      </c>
      <c r="AG336" s="8" t="str">
        <f t="shared" si="42"/>
        <v>UTILIZOU O PDA CORRETAMENTE</v>
      </c>
      <c r="AH336" s="26" t="s">
        <v>108</v>
      </c>
      <c r="AI336" s="66" t="s">
        <v>1</v>
      </c>
      <c r="AJ336" s="22" t="str">
        <f t="shared" si="44"/>
        <v>GUARULHOS</v>
      </c>
      <c r="AK336" s="69" t="s">
        <v>4</v>
      </c>
    </row>
    <row r="337" spans="1:37" ht="30" customHeight="1" x14ac:dyDescent="0.2">
      <c r="A337" s="82" t="s">
        <v>101</v>
      </c>
      <c r="B337" s="82">
        <v>2616757303</v>
      </c>
      <c r="C337" s="82" t="s">
        <v>30</v>
      </c>
      <c r="D337" s="82" t="s">
        <v>29</v>
      </c>
      <c r="E337" s="82" t="s">
        <v>102</v>
      </c>
      <c r="F337" s="82" t="s">
        <v>1203</v>
      </c>
      <c r="G337" s="82">
        <v>300</v>
      </c>
      <c r="H337" s="82" t="s">
        <v>117</v>
      </c>
      <c r="I337" s="82" t="s">
        <v>531</v>
      </c>
      <c r="J337" s="82" t="s">
        <v>170</v>
      </c>
      <c r="K337" s="82" t="s">
        <v>383</v>
      </c>
      <c r="L337" s="82" t="s">
        <v>1189</v>
      </c>
      <c r="M337" s="82" t="s">
        <v>1204</v>
      </c>
      <c r="N337" s="82" t="s">
        <v>297</v>
      </c>
      <c r="O337" s="36" t="s">
        <v>108</v>
      </c>
      <c r="P337" s="18"/>
      <c r="Q337" s="28" t="s">
        <v>108</v>
      </c>
      <c r="R337" s="18"/>
      <c r="S337" s="28" t="s">
        <v>108</v>
      </c>
      <c r="T337" s="18"/>
      <c r="U337" s="28" t="s">
        <v>108</v>
      </c>
      <c r="V337" s="18"/>
      <c r="W337" s="28" t="s">
        <v>108</v>
      </c>
      <c r="X337" s="18"/>
      <c r="Y337" s="28" t="s">
        <v>14</v>
      </c>
      <c r="Z337" s="18"/>
      <c r="AA337" s="28" t="s">
        <v>108</v>
      </c>
      <c r="AB337" s="18"/>
      <c r="AC337" s="28" t="s">
        <v>108</v>
      </c>
      <c r="AD337" s="18"/>
      <c r="AE337" s="28" t="s">
        <v>108</v>
      </c>
      <c r="AF337" s="47" t="str">
        <f t="shared" si="43"/>
        <v>C</v>
      </c>
      <c r="AG337" s="8" t="str">
        <f t="shared" si="42"/>
        <v>UTILIZOU O PDA CORRETAMENTE</v>
      </c>
      <c r="AH337" s="28" t="s">
        <v>108</v>
      </c>
      <c r="AI337" s="66" t="s">
        <v>1</v>
      </c>
      <c r="AJ337" s="22" t="str">
        <f t="shared" si="44"/>
        <v>GUARULHOS</v>
      </c>
      <c r="AK337" s="69" t="s">
        <v>4</v>
      </c>
    </row>
    <row r="338" spans="1:37" ht="30" customHeight="1" x14ac:dyDescent="0.2">
      <c r="A338" s="82" t="s">
        <v>101</v>
      </c>
      <c r="B338" s="82">
        <v>2616618136</v>
      </c>
      <c r="C338" s="82" t="s">
        <v>49</v>
      </c>
      <c r="D338" s="82" t="s">
        <v>29</v>
      </c>
      <c r="E338" s="82" t="s">
        <v>102</v>
      </c>
      <c r="F338" s="82" t="s">
        <v>1205</v>
      </c>
      <c r="G338" s="82">
        <v>946</v>
      </c>
      <c r="H338" s="82"/>
      <c r="I338" s="82" t="s">
        <v>264</v>
      </c>
      <c r="J338" s="82" t="s">
        <v>328</v>
      </c>
      <c r="K338" s="82"/>
      <c r="L338" s="82" t="s">
        <v>1189</v>
      </c>
      <c r="M338" s="82" t="s">
        <v>1206</v>
      </c>
      <c r="N338" s="82" t="s">
        <v>192</v>
      </c>
      <c r="O338" s="36" t="s">
        <v>108</v>
      </c>
      <c r="P338" s="18"/>
      <c r="Q338" s="28" t="s">
        <v>108</v>
      </c>
      <c r="R338" s="18"/>
      <c r="S338" s="28" t="s">
        <v>108</v>
      </c>
      <c r="T338" s="18"/>
      <c r="U338" s="28" t="s">
        <v>108</v>
      </c>
      <c r="V338" s="18"/>
      <c r="W338" s="28" t="s">
        <v>108</v>
      </c>
      <c r="X338" s="18"/>
      <c r="Y338" s="28" t="s">
        <v>14</v>
      </c>
      <c r="Z338" s="18"/>
      <c r="AA338" s="28" t="s">
        <v>108</v>
      </c>
      <c r="AB338" s="18"/>
      <c r="AC338" s="28" t="s">
        <v>108</v>
      </c>
      <c r="AD338" s="18"/>
      <c r="AE338" s="28" t="s">
        <v>108</v>
      </c>
      <c r="AF338" s="47" t="str">
        <f t="shared" si="43"/>
        <v>C</v>
      </c>
      <c r="AG338" s="8" t="str">
        <f t="shared" si="42"/>
        <v>UTILIZOU O PDA CORRETAMENTE</v>
      </c>
      <c r="AH338" s="26" t="s">
        <v>108</v>
      </c>
      <c r="AI338" s="66" t="s">
        <v>1</v>
      </c>
      <c r="AJ338" s="22" t="str">
        <f t="shared" si="44"/>
        <v>GUARULHOS</v>
      </c>
      <c r="AK338" s="69" t="s">
        <v>4</v>
      </c>
    </row>
    <row r="339" spans="1:37" ht="30" customHeight="1" x14ac:dyDescent="0.2">
      <c r="A339" s="82" t="s">
        <v>101</v>
      </c>
      <c r="B339" s="82">
        <v>2616330314</v>
      </c>
      <c r="C339" s="82" t="s">
        <v>40</v>
      </c>
      <c r="D339" s="82" t="s">
        <v>25</v>
      </c>
      <c r="E339" s="82" t="s">
        <v>102</v>
      </c>
      <c r="F339" s="82" t="s">
        <v>1207</v>
      </c>
      <c r="G339" s="82">
        <v>112</v>
      </c>
      <c r="H339" s="82" t="s">
        <v>110</v>
      </c>
      <c r="I339" s="82" t="s">
        <v>1208</v>
      </c>
      <c r="J339" s="82" t="s">
        <v>40</v>
      </c>
      <c r="K339" s="82" t="s">
        <v>1209</v>
      </c>
      <c r="L339" s="82" t="s">
        <v>1189</v>
      </c>
      <c r="M339" s="82" t="s">
        <v>1210</v>
      </c>
      <c r="N339" s="82" t="s">
        <v>107</v>
      </c>
      <c r="O339" s="36" t="s">
        <v>108</v>
      </c>
      <c r="P339" s="18"/>
      <c r="Q339" s="28" t="s">
        <v>108</v>
      </c>
      <c r="R339" s="18"/>
      <c r="S339" s="28" t="s">
        <v>108</v>
      </c>
      <c r="T339" s="18"/>
      <c r="U339" s="28" t="s">
        <v>108</v>
      </c>
      <c r="V339" s="18"/>
      <c r="W339" s="28" t="s">
        <v>108</v>
      </c>
      <c r="X339" s="18"/>
      <c r="Y339" s="28" t="s">
        <v>108</v>
      </c>
      <c r="Z339" s="18"/>
      <c r="AA339" s="28" t="s">
        <v>108</v>
      </c>
      <c r="AB339" s="18"/>
      <c r="AC339" s="28" t="s">
        <v>108</v>
      </c>
      <c r="AD339" s="18"/>
      <c r="AE339" s="28" t="s">
        <v>108</v>
      </c>
      <c r="AF339" s="47" t="str">
        <f t="shared" si="43"/>
        <v>C</v>
      </c>
      <c r="AG339" s="8" t="str">
        <f t="shared" si="42"/>
        <v>UTILIZOU O PDA CORRETAMENTE</v>
      </c>
      <c r="AH339" s="28"/>
      <c r="AI339" s="66" t="s">
        <v>1</v>
      </c>
      <c r="AJ339" s="22" t="str">
        <f t="shared" si="44"/>
        <v>GUARULHOS</v>
      </c>
      <c r="AK339" s="69" t="s">
        <v>4</v>
      </c>
    </row>
    <row r="340" spans="1:37" ht="30" customHeight="1" x14ac:dyDescent="0.2">
      <c r="A340" s="82" t="s">
        <v>101</v>
      </c>
      <c r="B340" s="82">
        <v>2616647306</v>
      </c>
      <c r="C340" s="82" t="s">
        <v>45</v>
      </c>
      <c r="D340" s="82" t="s">
        <v>27</v>
      </c>
      <c r="E340" s="82" t="s">
        <v>102</v>
      </c>
      <c r="F340" s="82" t="s">
        <v>1211</v>
      </c>
      <c r="G340" s="82">
        <v>157</v>
      </c>
      <c r="H340" s="82"/>
      <c r="I340" s="82" t="s">
        <v>566</v>
      </c>
      <c r="J340" s="82" t="s">
        <v>150</v>
      </c>
      <c r="K340" s="82" t="s">
        <v>1212</v>
      </c>
      <c r="L340" s="82" t="s">
        <v>1189</v>
      </c>
      <c r="M340" s="82" t="s">
        <v>1213</v>
      </c>
      <c r="N340" s="82" t="s">
        <v>180</v>
      </c>
      <c r="O340" s="35" t="s">
        <v>108</v>
      </c>
      <c r="P340" s="25"/>
      <c r="Q340" s="26" t="s">
        <v>108</v>
      </c>
      <c r="R340" s="25"/>
      <c r="S340" s="26" t="s">
        <v>108</v>
      </c>
      <c r="T340" s="25"/>
      <c r="U340" s="26" t="s">
        <v>108</v>
      </c>
      <c r="V340" s="25"/>
      <c r="W340" s="26" t="s">
        <v>108</v>
      </c>
      <c r="X340" s="25"/>
      <c r="Y340" s="26" t="s">
        <v>108</v>
      </c>
      <c r="Z340" s="25"/>
      <c r="AA340" s="26" t="s">
        <v>108</v>
      </c>
      <c r="AB340" s="25"/>
      <c r="AC340" s="26" t="s">
        <v>108</v>
      </c>
      <c r="AD340" s="10"/>
      <c r="AE340" s="26" t="s">
        <v>108</v>
      </c>
      <c r="AF340" s="47" t="str">
        <f t="shared" si="43"/>
        <v>C</v>
      </c>
      <c r="AG340" s="8" t="str">
        <f t="shared" ref="AG340:AG353" si="45">IF(AND(AE340="C",AF340="C"),"UTILIZOU O PDA CORRETAMENTE",IF(AND(AE340="C",AF340="NC"),"UTILIZOU O PDA CORRETAMENTE. NÃO HÁ FOTOS DE TODAS AS ETAPAS",IF(AND(AE340="NC",AF340="NC"),"NÃO UTILIZOU O PDA",IF(AND(AE340="NA",AF340="NA"),"NÃO AVALIADO POR FALHA DE SINCRONISMO"))))</f>
        <v>UTILIZOU O PDA CORRETAMENTE</v>
      </c>
      <c r="AH340" s="26" t="s">
        <v>108</v>
      </c>
      <c r="AI340" s="66" t="s">
        <v>1</v>
      </c>
      <c r="AJ340" s="22" t="str">
        <f t="shared" si="44"/>
        <v>GUARULHOS</v>
      </c>
      <c r="AK340" s="69" t="s">
        <v>4</v>
      </c>
    </row>
    <row r="341" spans="1:37" ht="30" customHeight="1" x14ac:dyDescent="0.2">
      <c r="A341" s="82" t="s">
        <v>101</v>
      </c>
      <c r="B341" s="82">
        <v>2616647376</v>
      </c>
      <c r="C341" s="82" t="s">
        <v>45</v>
      </c>
      <c r="D341" s="82" t="s">
        <v>27</v>
      </c>
      <c r="E341" s="82" t="s">
        <v>102</v>
      </c>
      <c r="F341" s="82" t="s">
        <v>1211</v>
      </c>
      <c r="G341" s="82">
        <v>180</v>
      </c>
      <c r="H341" s="82" t="s">
        <v>1214</v>
      </c>
      <c r="I341" s="82" t="s">
        <v>566</v>
      </c>
      <c r="J341" s="82" t="s">
        <v>150</v>
      </c>
      <c r="K341" s="82" t="s">
        <v>1215</v>
      </c>
      <c r="L341" s="82" t="s">
        <v>1189</v>
      </c>
      <c r="M341" s="82" t="s">
        <v>1216</v>
      </c>
      <c r="N341" s="82" t="s">
        <v>180</v>
      </c>
      <c r="O341" s="35" t="s">
        <v>108</v>
      </c>
      <c r="P341" s="25"/>
      <c r="Q341" s="26" t="s">
        <v>108</v>
      </c>
      <c r="R341" s="25"/>
      <c r="S341" s="26" t="s">
        <v>108</v>
      </c>
      <c r="T341" s="25"/>
      <c r="U341" s="26" t="s">
        <v>108</v>
      </c>
      <c r="V341" s="25"/>
      <c r="W341" s="26" t="s">
        <v>108</v>
      </c>
      <c r="X341" s="25"/>
      <c r="Y341" s="26" t="s">
        <v>108</v>
      </c>
      <c r="Z341" s="25"/>
      <c r="AA341" s="26" t="s">
        <v>108</v>
      </c>
      <c r="AB341" s="25"/>
      <c r="AC341" s="26" t="s">
        <v>108</v>
      </c>
      <c r="AD341" s="10"/>
      <c r="AE341" s="26" t="s">
        <v>108</v>
      </c>
      <c r="AF341" s="47" t="str">
        <f t="shared" si="43"/>
        <v>C</v>
      </c>
      <c r="AG341" s="8" t="str">
        <f t="shared" si="45"/>
        <v>UTILIZOU O PDA CORRETAMENTE</v>
      </c>
      <c r="AH341" s="26" t="s">
        <v>108</v>
      </c>
      <c r="AI341" s="66" t="s">
        <v>1</v>
      </c>
      <c r="AJ341" s="22" t="str">
        <f t="shared" si="44"/>
        <v>GUARULHOS</v>
      </c>
      <c r="AK341" s="69" t="s">
        <v>4</v>
      </c>
    </row>
    <row r="342" spans="1:37" ht="30" customHeight="1" x14ac:dyDescent="0.2">
      <c r="A342" s="82" t="s">
        <v>101</v>
      </c>
      <c r="B342" s="82">
        <v>2616822246</v>
      </c>
      <c r="C342" s="82" t="s">
        <v>50</v>
      </c>
      <c r="D342" s="82" t="s">
        <v>29</v>
      </c>
      <c r="E342" s="82" t="s">
        <v>102</v>
      </c>
      <c r="F342" s="82" t="s">
        <v>466</v>
      </c>
      <c r="G342" s="82">
        <v>201</v>
      </c>
      <c r="H342" s="82" t="s">
        <v>117</v>
      </c>
      <c r="I342" s="82" t="s">
        <v>468</v>
      </c>
      <c r="J342" s="82" t="s">
        <v>130</v>
      </c>
      <c r="K342" s="82" t="s">
        <v>117</v>
      </c>
      <c r="L342" s="82" t="s">
        <v>1189</v>
      </c>
      <c r="M342" s="82" t="s">
        <v>1217</v>
      </c>
      <c r="N342" s="82" t="s">
        <v>146</v>
      </c>
      <c r="O342" s="36" t="s">
        <v>108</v>
      </c>
      <c r="P342" s="18"/>
      <c r="Q342" s="28" t="s">
        <v>108</v>
      </c>
      <c r="R342" s="18"/>
      <c r="S342" s="28" t="s">
        <v>108</v>
      </c>
      <c r="T342" s="18"/>
      <c r="U342" s="28" t="s">
        <v>108</v>
      </c>
      <c r="V342" s="18"/>
      <c r="W342" s="28" t="s">
        <v>108</v>
      </c>
      <c r="X342" s="18"/>
      <c r="Y342" s="28" t="s">
        <v>14</v>
      </c>
      <c r="Z342" s="18"/>
      <c r="AA342" s="28" t="s">
        <v>108</v>
      </c>
      <c r="AB342" s="18"/>
      <c r="AC342" s="28" t="s">
        <v>108</v>
      </c>
      <c r="AD342" s="18"/>
      <c r="AE342" s="28" t="s">
        <v>108</v>
      </c>
      <c r="AF342" s="47" t="str">
        <f t="shared" si="43"/>
        <v>C</v>
      </c>
      <c r="AG342" s="8" t="str">
        <f t="shared" si="45"/>
        <v>UTILIZOU O PDA CORRETAMENTE</v>
      </c>
      <c r="AH342" s="26" t="s">
        <v>108</v>
      </c>
      <c r="AI342" s="66" t="s">
        <v>1</v>
      </c>
      <c r="AJ342" s="22" t="str">
        <f t="shared" si="44"/>
        <v>GUARULHOS</v>
      </c>
      <c r="AK342" s="69" t="s">
        <v>4</v>
      </c>
    </row>
    <row r="343" spans="1:37" ht="30" customHeight="1" x14ac:dyDescent="0.2">
      <c r="A343" s="82" t="s">
        <v>101</v>
      </c>
      <c r="B343" s="82">
        <v>2691177661</v>
      </c>
      <c r="C343" s="82" t="s">
        <v>47</v>
      </c>
      <c r="D343" s="82" t="s">
        <v>29</v>
      </c>
      <c r="E343" s="82" t="s">
        <v>102</v>
      </c>
      <c r="F343" s="82" t="s">
        <v>1218</v>
      </c>
      <c r="G343" s="82">
        <v>125</v>
      </c>
      <c r="H343" s="82" t="s">
        <v>1219</v>
      </c>
      <c r="I343" s="82" t="s">
        <v>1073</v>
      </c>
      <c r="J343" s="82" t="s">
        <v>170</v>
      </c>
      <c r="K343" s="82"/>
      <c r="L343" s="82" t="s">
        <v>1189</v>
      </c>
      <c r="M343" s="82" t="s">
        <v>1220</v>
      </c>
      <c r="N343" s="82" t="s">
        <v>131</v>
      </c>
      <c r="O343" s="36" t="s">
        <v>108</v>
      </c>
      <c r="P343" s="18"/>
      <c r="Q343" s="28" t="s">
        <v>108</v>
      </c>
      <c r="R343" s="18"/>
      <c r="S343" s="28" t="s">
        <v>108</v>
      </c>
      <c r="T343" s="18"/>
      <c r="U343" s="28" t="s">
        <v>108</v>
      </c>
      <c r="V343" s="18"/>
      <c r="W343" s="28" t="s">
        <v>108</v>
      </c>
      <c r="X343" s="18"/>
      <c r="Y343" s="28" t="s">
        <v>14</v>
      </c>
      <c r="Z343" s="18"/>
      <c r="AA343" s="28" t="s">
        <v>108</v>
      </c>
      <c r="AB343" s="18"/>
      <c r="AC343" s="28" t="s">
        <v>108</v>
      </c>
      <c r="AD343" s="18"/>
      <c r="AE343" s="28" t="s">
        <v>108</v>
      </c>
      <c r="AF343" s="47" t="str">
        <f t="shared" si="43"/>
        <v>C</v>
      </c>
      <c r="AG343" s="8" t="str">
        <f t="shared" si="45"/>
        <v>UTILIZOU O PDA CORRETAMENTE</v>
      </c>
      <c r="AH343" s="26" t="s">
        <v>108</v>
      </c>
      <c r="AI343" s="66" t="s">
        <v>1</v>
      </c>
      <c r="AJ343" s="22" t="str">
        <f t="shared" si="44"/>
        <v>GUARULHOS</v>
      </c>
      <c r="AK343" s="69" t="s">
        <v>4</v>
      </c>
    </row>
    <row r="344" spans="1:37" ht="30" customHeight="1" x14ac:dyDescent="0.2">
      <c r="A344" s="82" t="s">
        <v>101</v>
      </c>
      <c r="B344" s="82">
        <v>2616827312</v>
      </c>
      <c r="C344" s="82" t="s">
        <v>50</v>
      </c>
      <c r="D344" s="82" t="s">
        <v>29</v>
      </c>
      <c r="E344" s="82" t="s">
        <v>102</v>
      </c>
      <c r="F344" s="82" t="s">
        <v>1221</v>
      </c>
      <c r="G344" s="82">
        <v>0</v>
      </c>
      <c r="H344" s="82" t="s">
        <v>117</v>
      </c>
      <c r="I344" s="82" t="s">
        <v>158</v>
      </c>
      <c r="J344" s="82" t="s">
        <v>130</v>
      </c>
      <c r="K344" s="82" t="s">
        <v>1222</v>
      </c>
      <c r="L344" s="82" t="s">
        <v>1189</v>
      </c>
      <c r="M344" s="82" t="s">
        <v>1223</v>
      </c>
      <c r="N344" s="82" t="s">
        <v>209</v>
      </c>
      <c r="O344" s="36" t="s">
        <v>108</v>
      </c>
      <c r="P344" s="18"/>
      <c r="Q344" s="28" t="s">
        <v>108</v>
      </c>
      <c r="R344" s="18"/>
      <c r="S344" s="28" t="s">
        <v>108</v>
      </c>
      <c r="T344" s="18"/>
      <c r="U344" s="28" t="s">
        <v>108</v>
      </c>
      <c r="V344" s="18"/>
      <c r="W344" s="28" t="s">
        <v>108</v>
      </c>
      <c r="X344" s="18"/>
      <c r="Y344" s="28" t="s">
        <v>14</v>
      </c>
      <c r="Z344" s="18"/>
      <c r="AA344" s="28" t="s">
        <v>108</v>
      </c>
      <c r="AB344" s="18"/>
      <c r="AC344" s="28" t="s">
        <v>108</v>
      </c>
      <c r="AD344" s="18"/>
      <c r="AE344" s="28" t="s">
        <v>108</v>
      </c>
      <c r="AF344" s="47" t="str">
        <f t="shared" si="43"/>
        <v>C</v>
      </c>
      <c r="AG344" s="8" t="str">
        <f t="shared" si="45"/>
        <v>UTILIZOU O PDA CORRETAMENTE</v>
      </c>
      <c r="AH344" s="26" t="s">
        <v>108</v>
      </c>
      <c r="AI344" s="66" t="s">
        <v>1</v>
      </c>
      <c r="AJ344" s="22" t="str">
        <f t="shared" si="44"/>
        <v>GUARULHOS</v>
      </c>
      <c r="AK344" s="69" t="s">
        <v>4</v>
      </c>
    </row>
    <row r="345" spans="1:37" ht="30" customHeight="1" x14ac:dyDescent="0.2">
      <c r="A345" s="82" t="s">
        <v>101</v>
      </c>
      <c r="B345" s="82">
        <v>2691183769</v>
      </c>
      <c r="C345" s="82" t="s">
        <v>46</v>
      </c>
      <c r="D345" s="82" t="s">
        <v>29</v>
      </c>
      <c r="E345" s="82" t="s">
        <v>102</v>
      </c>
      <c r="F345" s="82" t="s">
        <v>1224</v>
      </c>
      <c r="G345" s="82">
        <v>73</v>
      </c>
      <c r="H345" s="82" t="s">
        <v>1225</v>
      </c>
      <c r="I345" s="82" t="s">
        <v>111</v>
      </c>
      <c r="J345" s="82" t="s">
        <v>170</v>
      </c>
      <c r="K345" s="82"/>
      <c r="L345" s="82" t="s">
        <v>1189</v>
      </c>
      <c r="M345" s="82" t="s">
        <v>1226</v>
      </c>
      <c r="N345" s="82" t="s">
        <v>151</v>
      </c>
      <c r="O345" s="36" t="s">
        <v>108</v>
      </c>
      <c r="P345" s="18"/>
      <c r="Q345" s="28" t="s">
        <v>108</v>
      </c>
      <c r="R345" s="18"/>
      <c r="S345" s="28" t="s">
        <v>108</v>
      </c>
      <c r="T345" s="18"/>
      <c r="U345" s="28" t="s">
        <v>108</v>
      </c>
      <c r="V345" s="18"/>
      <c r="W345" s="28" t="s">
        <v>108</v>
      </c>
      <c r="X345" s="18"/>
      <c r="Y345" s="28" t="s">
        <v>14</v>
      </c>
      <c r="Z345" s="18"/>
      <c r="AA345" s="28" t="s">
        <v>108</v>
      </c>
      <c r="AB345" s="18"/>
      <c r="AC345" s="28" t="s">
        <v>108</v>
      </c>
      <c r="AD345" s="18"/>
      <c r="AE345" s="28" t="s">
        <v>108</v>
      </c>
      <c r="AF345" s="47" t="str">
        <f t="shared" si="43"/>
        <v>C</v>
      </c>
      <c r="AG345" s="8" t="str">
        <f t="shared" si="45"/>
        <v>UTILIZOU O PDA CORRETAMENTE</v>
      </c>
      <c r="AH345" s="26" t="s">
        <v>108</v>
      </c>
      <c r="AI345" s="66" t="s">
        <v>1</v>
      </c>
      <c r="AJ345" s="22" t="str">
        <f t="shared" si="44"/>
        <v>GUARULHOS</v>
      </c>
      <c r="AK345" s="69" t="s">
        <v>4</v>
      </c>
    </row>
    <row r="346" spans="1:37" ht="30" customHeight="1" x14ac:dyDescent="0.2">
      <c r="A346" s="82" t="s">
        <v>101</v>
      </c>
      <c r="B346" s="82">
        <v>2616836368</v>
      </c>
      <c r="C346" s="82" t="s">
        <v>49</v>
      </c>
      <c r="D346" s="82" t="s">
        <v>29</v>
      </c>
      <c r="E346" s="82" t="s">
        <v>102</v>
      </c>
      <c r="F346" s="82" t="s">
        <v>1020</v>
      </c>
      <c r="G346" s="82">
        <v>43</v>
      </c>
      <c r="H346" s="82" t="s">
        <v>1227</v>
      </c>
      <c r="I346" s="82" t="s">
        <v>532</v>
      </c>
      <c r="J346" s="82" t="s">
        <v>130</v>
      </c>
      <c r="K346" s="82" t="s">
        <v>117</v>
      </c>
      <c r="L346" s="82" t="s">
        <v>1189</v>
      </c>
      <c r="M346" s="82" t="s">
        <v>1228</v>
      </c>
      <c r="N346" s="82" t="s">
        <v>140</v>
      </c>
      <c r="O346" s="36" t="s">
        <v>108</v>
      </c>
      <c r="P346" s="18"/>
      <c r="Q346" s="28" t="s">
        <v>108</v>
      </c>
      <c r="R346" s="18"/>
      <c r="S346" s="28" t="s">
        <v>108</v>
      </c>
      <c r="T346" s="18"/>
      <c r="U346" s="28" t="s">
        <v>108</v>
      </c>
      <c r="V346" s="18"/>
      <c r="W346" s="28" t="s">
        <v>108</v>
      </c>
      <c r="X346" s="18"/>
      <c r="Y346" s="28" t="s">
        <v>14</v>
      </c>
      <c r="Z346" s="18"/>
      <c r="AA346" s="28" t="s">
        <v>108</v>
      </c>
      <c r="AB346" s="18"/>
      <c r="AC346" s="28" t="s">
        <v>108</v>
      </c>
      <c r="AD346" s="18"/>
      <c r="AE346" s="28" t="s">
        <v>108</v>
      </c>
      <c r="AF346" s="47" t="str">
        <f t="shared" si="43"/>
        <v>C</v>
      </c>
      <c r="AG346" s="8" t="str">
        <f t="shared" si="45"/>
        <v>UTILIZOU O PDA CORRETAMENTE</v>
      </c>
      <c r="AH346" s="26" t="s">
        <v>108</v>
      </c>
      <c r="AI346" s="66" t="s">
        <v>1</v>
      </c>
      <c r="AJ346" s="22" t="str">
        <f t="shared" si="44"/>
        <v>GUARULHOS</v>
      </c>
      <c r="AK346" s="69" t="s">
        <v>4</v>
      </c>
    </row>
    <row r="347" spans="1:37" ht="30" customHeight="1" x14ac:dyDescent="0.2">
      <c r="A347" s="82" t="s">
        <v>101</v>
      </c>
      <c r="B347" s="82">
        <v>2691200537</v>
      </c>
      <c r="C347" s="82" t="s">
        <v>47</v>
      </c>
      <c r="D347" s="82" t="s">
        <v>29</v>
      </c>
      <c r="E347" s="82" t="s">
        <v>102</v>
      </c>
      <c r="F347" s="82" t="s">
        <v>1234</v>
      </c>
      <c r="G347" s="82">
        <v>38</v>
      </c>
      <c r="H347" s="82" t="s">
        <v>1235</v>
      </c>
      <c r="I347" s="82" t="s">
        <v>277</v>
      </c>
      <c r="J347" s="82" t="s">
        <v>170</v>
      </c>
      <c r="K347" s="82" t="s">
        <v>117</v>
      </c>
      <c r="L347" s="82" t="s">
        <v>1189</v>
      </c>
      <c r="M347" s="82" t="s">
        <v>1236</v>
      </c>
      <c r="N347" s="82" t="s">
        <v>171</v>
      </c>
      <c r="O347" s="36" t="s">
        <v>108</v>
      </c>
      <c r="P347" s="18"/>
      <c r="Q347" s="28" t="s">
        <v>108</v>
      </c>
      <c r="R347" s="18"/>
      <c r="S347" s="28" t="s">
        <v>108</v>
      </c>
      <c r="T347" s="18"/>
      <c r="U347" s="28" t="s">
        <v>108</v>
      </c>
      <c r="V347" s="18"/>
      <c r="W347" s="28" t="s">
        <v>108</v>
      </c>
      <c r="X347" s="18"/>
      <c r="Y347" s="28" t="s">
        <v>14</v>
      </c>
      <c r="Z347" s="18"/>
      <c r="AA347" s="28" t="s">
        <v>108</v>
      </c>
      <c r="AB347" s="18"/>
      <c r="AC347" s="28" t="s">
        <v>108</v>
      </c>
      <c r="AD347" s="18"/>
      <c r="AE347" s="28" t="s">
        <v>108</v>
      </c>
      <c r="AF347" s="47" t="str">
        <f t="shared" si="43"/>
        <v>C</v>
      </c>
      <c r="AG347" s="8" t="str">
        <f t="shared" si="45"/>
        <v>UTILIZOU O PDA CORRETAMENTE</v>
      </c>
      <c r="AH347" s="26" t="s">
        <v>108</v>
      </c>
      <c r="AI347" s="66" t="s">
        <v>1</v>
      </c>
      <c r="AJ347" s="22" t="str">
        <f t="shared" si="44"/>
        <v>GUARULHOS</v>
      </c>
      <c r="AK347" s="69" t="s">
        <v>4</v>
      </c>
    </row>
    <row r="348" spans="1:37" ht="30" customHeight="1" x14ac:dyDescent="0.2">
      <c r="A348" s="82" t="s">
        <v>101</v>
      </c>
      <c r="B348" s="82">
        <v>2691141275</v>
      </c>
      <c r="C348" s="82" t="s">
        <v>43</v>
      </c>
      <c r="D348" s="82" t="s">
        <v>29</v>
      </c>
      <c r="E348" s="82" t="s">
        <v>102</v>
      </c>
      <c r="F348" s="82" t="s">
        <v>1237</v>
      </c>
      <c r="G348" s="82">
        <v>30</v>
      </c>
      <c r="H348" s="82" t="s">
        <v>117</v>
      </c>
      <c r="I348" s="82" t="s">
        <v>282</v>
      </c>
      <c r="J348" s="82" t="s">
        <v>188</v>
      </c>
      <c r="K348" s="82" t="s">
        <v>117</v>
      </c>
      <c r="L348" s="82" t="s">
        <v>1189</v>
      </c>
      <c r="M348" s="82" t="s">
        <v>1238</v>
      </c>
      <c r="N348" s="82" t="s">
        <v>160</v>
      </c>
      <c r="O348" s="35" t="s">
        <v>108</v>
      </c>
      <c r="P348" s="25"/>
      <c r="Q348" s="26" t="s">
        <v>108</v>
      </c>
      <c r="R348" s="25"/>
      <c r="S348" s="26" t="s">
        <v>108</v>
      </c>
      <c r="T348" s="25"/>
      <c r="U348" s="26" t="s">
        <v>108</v>
      </c>
      <c r="V348" s="25"/>
      <c r="W348" s="26" t="s">
        <v>108</v>
      </c>
      <c r="X348" s="25"/>
      <c r="Y348" s="26" t="s">
        <v>108</v>
      </c>
      <c r="Z348" s="25"/>
      <c r="AA348" s="26" t="s">
        <v>108</v>
      </c>
      <c r="AB348" s="25"/>
      <c r="AC348" s="26" t="s">
        <v>108</v>
      </c>
      <c r="AD348" s="10"/>
      <c r="AE348" s="26" t="s">
        <v>108</v>
      </c>
      <c r="AF348" s="47" t="str">
        <f t="shared" si="43"/>
        <v>C</v>
      </c>
      <c r="AG348" s="8" t="str">
        <f t="shared" si="45"/>
        <v>UTILIZOU O PDA CORRETAMENTE</v>
      </c>
      <c r="AH348" s="26" t="s">
        <v>108</v>
      </c>
      <c r="AI348" s="66" t="s">
        <v>1</v>
      </c>
      <c r="AJ348" s="22" t="str">
        <f t="shared" si="44"/>
        <v>GUARULHOS</v>
      </c>
      <c r="AK348" s="69" t="s">
        <v>4</v>
      </c>
    </row>
    <row r="349" spans="1:37" ht="30" customHeight="1" x14ac:dyDescent="0.2">
      <c r="A349" s="82" t="s">
        <v>101</v>
      </c>
      <c r="B349" s="82">
        <v>2616856520</v>
      </c>
      <c r="C349" s="82" t="s">
        <v>45</v>
      </c>
      <c r="D349" s="82" t="s">
        <v>27</v>
      </c>
      <c r="E349" s="82" t="s">
        <v>102</v>
      </c>
      <c r="F349" s="82" t="s">
        <v>240</v>
      </c>
      <c r="G349" s="82">
        <v>8</v>
      </c>
      <c r="H349" s="82" t="s">
        <v>117</v>
      </c>
      <c r="I349" s="82" t="s">
        <v>242</v>
      </c>
      <c r="J349" s="82" t="s">
        <v>150</v>
      </c>
      <c r="K349" s="82" t="s">
        <v>1239</v>
      </c>
      <c r="L349" s="82" t="s">
        <v>1189</v>
      </c>
      <c r="M349" s="82" t="s">
        <v>1240</v>
      </c>
      <c r="N349" s="82" t="s">
        <v>160</v>
      </c>
      <c r="O349" s="35" t="s">
        <v>108</v>
      </c>
      <c r="P349" s="25"/>
      <c r="Q349" s="26" t="s">
        <v>108</v>
      </c>
      <c r="R349" s="25"/>
      <c r="S349" s="26" t="s">
        <v>108</v>
      </c>
      <c r="T349" s="25"/>
      <c r="U349" s="26" t="s">
        <v>108</v>
      </c>
      <c r="V349" s="25"/>
      <c r="W349" s="26" t="s">
        <v>108</v>
      </c>
      <c r="X349" s="25"/>
      <c r="Y349" s="26" t="s">
        <v>108</v>
      </c>
      <c r="Z349" s="25"/>
      <c r="AA349" s="26" t="s">
        <v>108</v>
      </c>
      <c r="AB349" s="25"/>
      <c r="AC349" s="26" t="s">
        <v>108</v>
      </c>
      <c r="AD349" s="10"/>
      <c r="AE349" s="26" t="s">
        <v>108</v>
      </c>
      <c r="AF349" s="47" t="str">
        <f t="shared" si="43"/>
        <v>C</v>
      </c>
      <c r="AG349" s="8" t="str">
        <f t="shared" si="45"/>
        <v>UTILIZOU O PDA CORRETAMENTE</v>
      </c>
      <c r="AH349" s="26" t="s">
        <v>108</v>
      </c>
      <c r="AI349" s="66" t="s">
        <v>1</v>
      </c>
      <c r="AJ349" s="22" t="str">
        <f t="shared" si="44"/>
        <v>GUARULHOS</v>
      </c>
      <c r="AK349" s="69" t="s">
        <v>4</v>
      </c>
    </row>
    <row r="350" spans="1:37" ht="30" customHeight="1" x14ac:dyDescent="0.2">
      <c r="A350" s="82" t="s">
        <v>101</v>
      </c>
      <c r="B350" s="82">
        <v>2616857374</v>
      </c>
      <c r="C350" s="82" t="s">
        <v>45</v>
      </c>
      <c r="D350" s="82" t="s">
        <v>27</v>
      </c>
      <c r="E350" s="82" t="s">
        <v>102</v>
      </c>
      <c r="F350" s="82" t="s">
        <v>240</v>
      </c>
      <c r="G350" s="82">
        <v>33</v>
      </c>
      <c r="H350" s="82" t="s">
        <v>117</v>
      </c>
      <c r="I350" s="82" t="s">
        <v>242</v>
      </c>
      <c r="J350" s="82" t="s">
        <v>150</v>
      </c>
      <c r="K350" s="82" t="s">
        <v>1241</v>
      </c>
      <c r="L350" s="82" t="s">
        <v>1189</v>
      </c>
      <c r="M350" s="82" t="s">
        <v>1242</v>
      </c>
      <c r="N350" s="82" t="s">
        <v>160</v>
      </c>
      <c r="O350" s="35" t="s">
        <v>108</v>
      </c>
      <c r="P350" s="25"/>
      <c r="Q350" s="26" t="s">
        <v>108</v>
      </c>
      <c r="R350" s="25"/>
      <c r="S350" s="26" t="s">
        <v>108</v>
      </c>
      <c r="T350" s="25"/>
      <c r="U350" s="26" t="s">
        <v>108</v>
      </c>
      <c r="V350" s="25"/>
      <c r="W350" s="26" t="s">
        <v>108</v>
      </c>
      <c r="X350" s="25"/>
      <c r="Y350" s="26" t="s">
        <v>108</v>
      </c>
      <c r="Z350" s="25"/>
      <c r="AA350" s="26" t="s">
        <v>108</v>
      </c>
      <c r="AB350" s="25"/>
      <c r="AC350" s="26" t="s">
        <v>108</v>
      </c>
      <c r="AD350" s="10"/>
      <c r="AE350" s="26" t="s">
        <v>108</v>
      </c>
      <c r="AF350" s="47" t="str">
        <f t="shared" si="43"/>
        <v>C</v>
      </c>
      <c r="AG350" s="8" t="str">
        <f t="shared" si="45"/>
        <v>UTILIZOU O PDA CORRETAMENTE</v>
      </c>
      <c r="AH350" s="26" t="s">
        <v>108</v>
      </c>
      <c r="AI350" s="66" t="s">
        <v>1</v>
      </c>
      <c r="AJ350" s="22" t="str">
        <f t="shared" si="44"/>
        <v>GUARULHOS</v>
      </c>
      <c r="AK350" s="69" t="s">
        <v>4</v>
      </c>
    </row>
    <row r="351" spans="1:37" ht="30" customHeight="1" x14ac:dyDescent="0.2">
      <c r="A351" s="82" t="s">
        <v>101</v>
      </c>
      <c r="B351" s="82">
        <v>2616615906</v>
      </c>
      <c r="C351" s="82" t="s">
        <v>44</v>
      </c>
      <c r="D351" s="82" t="s">
        <v>29</v>
      </c>
      <c r="E351" s="82" t="s">
        <v>102</v>
      </c>
      <c r="F351" s="82" t="s">
        <v>1243</v>
      </c>
      <c r="G351" s="82">
        <v>32</v>
      </c>
      <c r="H351" s="82" t="s">
        <v>622</v>
      </c>
      <c r="I351" s="82" t="s">
        <v>713</v>
      </c>
      <c r="J351" s="82" t="s">
        <v>194</v>
      </c>
      <c r="K351" s="82" t="s">
        <v>1244</v>
      </c>
      <c r="L351" s="82" t="s">
        <v>1189</v>
      </c>
      <c r="M351" s="82" t="s">
        <v>1245</v>
      </c>
      <c r="N351" s="82" t="s">
        <v>171</v>
      </c>
      <c r="O351" s="35" t="s">
        <v>108</v>
      </c>
      <c r="P351" s="25"/>
      <c r="Q351" s="26" t="s">
        <v>108</v>
      </c>
      <c r="R351" s="25"/>
      <c r="S351" s="26" t="s">
        <v>108</v>
      </c>
      <c r="T351" s="25"/>
      <c r="U351" s="26" t="s">
        <v>108</v>
      </c>
      <c r="V351" s="25"/>
      <c r="W351" s="26" t="s">
        <v>108</v>
      </c>
      <c r="X351" s="25"/>
      <c r="Y351" s="26" t="s">
        <v>108</v>
      </c>
      <c r="Z351" s="25"/>
      <c r="AA351" s="26" t="s">
        <v>108</v>
      </c>
      <c r="AB351" s="25"/>
      <c r="AC351" s="26" t="s">
        <v>108</v>
      </c>
      <c r="AD351" s="10"/>
      <c r="AE351" s="26" t="s">
        <v>108</v>
      </c>
      <c r="AF351" s="47" t="str">
        <f t="shared" si="43"/>
        <v>C</v>
      </c>
      <c r="AG351" s="8" t="str">
        <f t="shared" si="45"/>
        <v>UTILIZOU O PDA CORRETAMENTE</v>
      </c>
      <c r="AH351" s="26" t="s">
        <v>108</v>
      </c>
      <c r="AI351" s="66" t="s">
        <v>1</v>
      </c>
      <c r="AJ351" s="22" t="str">
        <f t="shared" si="44"/>
        <v>GUARULHOS</v>
      </c>
      <c r="AK351" s="69" t="s">
        <v>4</v>
      </c>
    </row>
    <row r="352" spans="1:37" ht="30" customHeight="1" x14ac:dyDescent="0.2">
      <c r="A352" s="82" t="s">
        <v>101</v>
      </c>
      <c r="B352" s="82">
        <v>2616861752</v>
      </c>
      <c r="C352" s="82" t="s">
        <v>49</v>
      </c>
      <c r="D352" s="82" t="s">
        <v>29</v>
      </c>
      <c r="E352" s="82" t="s">
        <v>102</v>
      </c>
      <c r="F352" s="82" t="s">
        <v>1199</v>
      </c>
      <c r="G352" s="82">
        <v>50</v>
      </c>
      <c r="H352" s="82"/>
      <c r="I352" s="82" t="s">
        <v>343</v>
      </c>
      <c r="J352" s="82" t="s">
        <v>176</v>
      </c>
      <c r="K352" s="82"/>
      <c r="L352" s="82" t="s">
        <v>1189</v>
      </c>
      <c r="M352" s="82" t="s">
        <v>1246</v>
      </c>
      <c r="N352" s="82" t="s">
        <v>140</v>
      </c>
      <c r="O352" s="36" t="s">
        <v>108</v>
      </c>
      <c r="P352" s="18"/>
      <c r="Q352" s="28" t="s">
        <v>108</v>
      </c>
      <c r="R352" s="18"/>
      <c r="S352" s="28" t="s">
        <v>108</v>
      </c>
      <c r="T352" s="18"/>
      <c r="U352" s="28" t="s">
        <v>108</v>
      </c>
      <c r="V352" s="18"/>
      <c r="W352" s="28" t="s">
        <v>108</v>
      </c>
      <c r="X352" s="18"/>
      <c r="Y352" s="28" t="s">
        <v>14</v>
      </c>
      <c r="Z352" s="18"/>
      <c r="AA352" s="28" t="s">
        <v>108</v>
      </c>
      <c r="AB352" s="18"/>
      <c r="AC352" s="28" t="s">
        <v>108</v>
      </c>
      <c r="AD352" s="18"/>
      <c r="AE352" s="28" t="s">
        <v>108</v>
      </c>
      <c r="AF352" s="47" t="str">
        <f t="shared" si="43"/>
        <v>C</v>
      </c>
      <c r="AG352" s="8" t="str">
        <f t="shared" si="45"/>
        <v>UTILIZOU O PDA CORRETAMENTE</v>
      </c>
      <c r="AH352" s="26" t="s">
        <v>108</v>
      </c>
      <c r="AI352" s="66" t="s">
        <v>1</v>
      </c>
      <c r="AJ352" s="22" t="str">
        <f t="shared" si="44"/>
        <v>GUARULHOS</v>
      </c>
      <c r="AK352" s="69" t="s">
        <v>4</v>
      </c>
    </row>
    <row r="353" spans="1:37" ht="30" customHeight="1" x14ac:dyDescent="0.2">
      <c r="A353" s="82" t="s">
        <v>101</v>
      </c>
      <c r="B353" s="82">
        <v>2616865917</v>
      </c>
      <c r="C353" s="82" t="s">
        <v>50</v>
      </c>
      <c r="D353" s="82" t="s">
        <v>29</v>
      </c>
      <c r="E353" s="82" t="s">
        <v>102</v>
      </c>
      <c r="F353" s="82" t="s">
        <v>1247</v>
      </c>
      <c r="G353" s="82">
        <v>258</v>
      </c>
      <c r="H353" s="82" t="s">
        <v>1248</v>
      </c>
      <c r="I353" s="82" t="s">
        <v>599</v>
      </c>
      <c r="J353" s="82" t="s">
        <v>130</v>
      </c>
      <c r="K353" s="82" t="s">
        <v>117</v>
      </c>
      <c r="L353" s="82" t="s">
        <v>1189</v>
      </c>
      <c r="M353" s="82" t="s">
        <v>1230</v>
      </c>
      <c r="N353" s="82" t="s">
        <v>180</v>
      </c>
      <c r="O353" s="36" t="s">
        <v>108</v>
      </c>
      <c r="P353" s="18"/>
      <c r="Q353" s="28" t="s">
        <v>108</v>
      </c>
      <c r="R353" s="18"/>
      <c r="S353" s="28" t="s">
        <v>108</v>
      </c>
      <c r="T353" s="18"/>
      <c r="U353" s="28" t="s">
        <v>108</v>
      </c>
      <c r="V353" s="18"/>
      <c r="W353" s="28" t="s">
        <v>108</v>
      </c>
      <c r="X353" s="18"/>
      <c r="Y353" s="28" t="s">
        <v>14</v>
      </c>
      <c r="Z353" s="18"/>
      <c r="AA353" s="28" t="s">
        <v>108</v>
      </c>
      <c r="AB353" s="18"/>
      <c r="AC353" s="28" t="s">
        <v>108</v>
      </c>
      <c r="AD353" s="18"/>
      <c r="AE353" s="28" t="s">
        <v>108</v>
      </c>
      <c r="AF353" s="47" t="str">
        <f t="shared" si="43"/>
        <v>C</v>
      </c>
      <c r="AG353" s="8" t="str">
        <f t="shared" si="45"/>
        <v>UTILIZOU O PDA CORRETAMENTE</v>
      </c>
      <c r="AH353" s="26" t="s">
        <v>108</v>
      </c>
      <c r="AI353" s="66" t="s">
        <v>1</v>
      </c>
      <c r="AJ353" s="22" t="str">
        <f t="shared" si="44"/>
        <v>GUARULHOS</v>
      </c>
      <c r="AK353" s="69" t="s">
        <v>4</v>
      </c>
    </row>
    <row r="354" spans="1:37" ht="30" customHeight="1" x14ac:dyDescent="0.2">
      <c r="A354" s="82" t="s">
        <v>101</v>
      </c>
      <c r="B354" s="82">
        <v>2616874872</v>
      </c>
      <c r="C354" s="82" t="s">
        <v>508</v>
      </c>
      <c r="D354" s="82" t="s">
        <v>28</v>
      </c>
      <c r="E354" s="82" t="s">
        <v>102</v>
      </c>
      <c r="F354" s="82" t="s">
        <v>1221</v>
      </c>
      <c r="G354" s="82">
        <v>120</v>
      </c>
      <c r="H354" s="82" t="s">
        <v>187</v>
      </c>
      <c r="I354" s="82" t="s">
        <v>158</v>
      </c>
      <c r="J354" s="82" t="s">
        <v>510</v>
      </c>
      <c r="K354" s="82" t="s">
        <v>1249</v>
      </c>
      <c r="L354" s="82" t="s">
        <v>1189</v>
      </c>
      <c r="M354" s="82" t="s">
        <v>1250</v>
      </c>
      <c r="N354" s="82" t="s">
        <v>209</v>
      </c>
      <c r="O354" s="36" t="s">
        <v>14</v>
      </c>
      <c r="P354" s="18"/>
      <c r="Q354" s="28" t="s">
        <v>14</v>
      </c>
      <c r="R354" s="18"/>
      <c r="S354" s="28" t="s">
        <v>14</v>
      </c>
      <c r="T354" s="18"/>
      <c r="U354" s="28" t="s">
        <v>14</v>
      </c>
      <c r="V354" s="18"/>
      <c r="W354" s="28" t="s">
        <v>14</v>
      </c>
      <c r="X354" s="18"/>
      <c r="Y354" s="28" t="s">
        <v>14</v>
      </c>
      <c r="Z354" s="18"/>
      <c r="AA354" s="28" t="s">
        <v>14</v>
      </c>
      <c r="AB354" s="18"/>
      <c r="AC354" s="28" t="s">
        <v>14</v>
      </c>
      <c r="AD354" s="18"/>
      <c r="AE354" s="28" t="s">
        <v>14</v>
      </c>
      <c r="AF354" s="47" t="str">
        <f t="shared" si="43"/>
        <v>NA</v>
      </c>
      <c r="AG354" s="8" t="s">
        <v>200</v>
      </c>
      <c r="AH354" s="28" t="s">
        <v>108</v>
      </c>
      <c r="AI354" s="66" t="s">
        <v>1</v>
      </c>
      <c r="AJ354" s="22" t="str">
        <f t="shared" si="44"/>
        <v>GUARULHOS</v>
      </c>
      <c r="AK354" s="69" t="s">
        <v>4</v>
      </c>
    </row>
    <row r="355" spans="1:37" ht="30" customHeight="1" x14ac:dyDescent="0.2">
      <c r="A355" s="91" t="s">
        <v>101</v>
      </c>
      <c r="B355" s="91">
        <v>2691196755</v>
      </c>
      <c r="C355" s="91" t="s">
        <v>37</v>
      </c>
      <c r="D355" s="91" t="s">
        <v>26</v>
      </c>
      <c r="E355" s="91" t="s">
        <v>102</v>
      </c>
      <c r="F355" s="91" t="s">
        <v>1232</v>
      </c>
      <c r="G355" s="91">
        <v>232</v>
      </c>
      <c r="H355" s="91" t="s">
        <v>1233</v>
      </c>
      <c r="I355" s="91" t="s">
        <v>191</v>
      </c>
      <c r="J355" s="91" t="s">
        <v>230</v>
      </c>
      <c r="K355" s="91" t="s">
        <v>275</v>
      </c>
      <c r="L355" s="91" t="s">
        <v>1189</v>
      </c>
      <c r="M355" s="91" t="s">
        <v>1251</v>
      </c>
      <c r="N355" s="91" t="s">
        <v>192</v>
      </c>
      <c r="O355" s="36" t="s">
        <v>108</v>
      </c>
      <c r="P355" s="28"/>
      <c r="Q355" s="28" t="s">
        <v>108</v>
      </c>
      <c r="R355" s="65"/>
      <c r="S355" s="28" t="s">
        <v>108</v>
      </c>
      <c r="T355" s="28"/>
      <c r="U355" s="28" t="s">
        <v>108</v>
      </c>
      <c r="V355" s="28"/>
      <c r="W355" s="28" t="s">
        <v>108</v>
      </c>
      <c r="X355" s="28"/>
      <c r="Y355" s="28" t="s">
        <v>14</v>
      </c>
      <c r="Z355" s="28"/>
      <c r="AA355" s="28" t="s">
        <v>108</v>
      </c>
      <c r="AB355" s="28"/>
      <c r="AC355" s="28" t="s">
        <v>108</v>
      </c>
      <c r="AD355" s="28"/>
      <c r="AE355" s="28" t="s">
        <v>108</v>
      </c>
      <c r="AF355" s="47" t="str">
        <f t="shared" si="43"/>
        <v>C</v>
      </c>
      <c r="AG355" s="8" t="str">
        <f t="shared" ref="AG355:AG361" si="46">IF(AND(AE355="C",AF355="C"),"UTILIZOU O PDA CORRETAMENTE",IF(AND(AE355="C",AF355="NC"),"UTILIZOU O PDA CORRETAMENTE. NÃO HÁ FOTOS DE TODAS AS ETAPAS",IF(AND(AE355="NC",AF355="NC"),"NÃO UTILIZOU O PDA",IF(AND(AE355="NA",AF355="NA"),"NÃO AVALIADO POR FALHA DE SINCRONISMO"))))</f>
        <v>UTILIZOU O PDA CORRETAMENTE</v>
      </c>
      <c r="AH355" s="28"/>
      <c r="AI355" s="66" t="s">
        <v>1</v>
      </c>
      <c r="AJ355" s="22" t="str">
        <f t="shared" si="44"/>
        <v>GUARULHOS</v>
      </c>
      <c r="AK355" s="69" t="s">
        <v>4</v>
      </c>
    </row>
    <row r="356" spans="1:37" ht="30" customHeight="1" x14ac:dyDescent="0.2">
      <c r="A356" s="82" t="s">
        <v>101</v>
      </c>
      <c r="B356" s="82">
        <v>2617181655</v>
      </c>
      <c r="C356" s="82" t="s">
        <v>50</v>
      </c>
      <c r="D356" s="82" t="s">
        <v>29</v>
      </c>
      <c r="E356" s="82" t="s">
        <v>102</v>
      </c>
      <c r="F356" s="82" t="s">
        <v>1254</v>
      </c>
      <c r="G356" s="82">
        <v>17</v>
      </c>
      <c r="H356" s="82" t="s">
        <v>1255</v>
      </c>
      <c r="I356" s="82" t="s">
        <v>1256</v>
      </c>
      <c r="J356" s="82" t="s">
        <v>130</v>
      </c>
      <c r="K356" s="82"/>
      <c r="L356" s="82" t="s">
        <v>1253</v>
      </c>
      <c r="M356" s="82" t="s">
        <v>1257</v>
      </c>
      <c r="N356" s="82" t="s">
        <v>253</v>
      </c>
      <c r="O356" s="36" t="s">
        <v>108</v>
      </c>
      <c r="P356" s="18"/>
      <c r="Q356" s="28" t="s">
        <v>108</v>
      </c>
      <c r="R356" s="18"/>
      <c r="S356" s="28" t="s">
        <v>108</v>
      </c>
      <c r="T356" s="18"/>
      <c r="U356" s="28" t="s">
        <v>108</v>
      </c>
      <c r="V356" s="18"/>
      <c r="W356" s="28" t="s">
        <v>108</v>
      </c>
      <c r="X356" s="18"/>
      <c r="Y356" s="28" t="s">
        <v>14</v>
      </c>
      <c r="Z356" s="18"/>
      <c r="AA356" s="28" t="s">
        <v>108</v>
      </c>
      <c r="AB356" s="18"/>
      <c r="AC356" s="28" t="s">
        <v>108</v>
      </c>
      <c r="AD356" s="18"/>
      <c r="AE356" s="28" t="s">
        <v>108</v>
      </c>
      <c r="AF356" s="47" t="str">
        <f t="shared" si="43"/>
        <v>C</v>
      </c>
      <c r="AG356" s="8" t="str">
        <f t="shared" si="46"/>
        <v>UTILIZOU O PDA CORRETAMENTE</v>
      </c>
      <c r="AH356" s="26" t="s">
        <v>108</v>
      </c>
      <c r="AI356" s="66" t="s">
        <v>1</v>
      </c>
      <c r="AJ356" s="22" t="str">
        <f t="shared" si="44"/>
        <v>GUARULHOS</v>
      </c>
      <c r="AK356" s="69" t="s">
        <v>4</v>
      </c>
    </row>
    <row r="357" spans="1:37" ht="30" customHeight="1" x14ac:dyDescent="0.2">
      <c r="A357" s="82" t="s">
        <v>101</v>
      </c>
      <c r="B357" s="82">
        <v>2691357530</v>
      </c>
      <c r="C357" s="82" t="s">
        <v>47</v>
      </c>
      <c r="D357" s="82" t="s">
        <v>29</v>
      </c>
      <c r="E357" s="82" t="s">
        <v>102</v>
      </c>
      <c r="F357" s="82" t="s">
        <v>549</v>
      </c>
      <c r="G357" s="82">
        <v>202</v>
      </c>
      <c r="H357" s="82" t="s">
        <v>110</v>
      </c>
      <c r="I357" s="82" t="s">
        <v>104</v>
      </c>
      <c r="J357" s="82" t="s">
        <v>159</v>
      </c>
      <c r="K357" s="82" t="s">
        <v>117</v>
      </c>
      <c r="L357" s="82" t="s">
        <v>1253</v>
      </c>
      <c r="M357" s="82" t="s">
        <v>1258</v>
      </c>
      <c r="N357" s="82" t="s">
        <v>146</v>
      </c>
      <c r="O357" s="36" t="s">
        <v>108</v>
      </c>
      <c r="P357" s="18"/>
      <c r="Q357" s="28" t="s">
        <v>108</v>
      </c>
      <c r="R357" s="18"/>
      <c r="S357" s="28" t="s">
        <v>108</v>
      </c>
      <c r="T357" s="18"/>
      <c r="U357" s="28" t="s">
        <v>108</v>
      </c>
      <c r="V357" s="18"/>
      <c r="W357" s="28" t="s">
        <v>108</v>
      </c>
      <c r="X357" s="18"/>
      <c r="Y357" s="28" t="s">
        <v>14</v>
      </c>
      <c r="Z357" s="18"/>
      <c r="AA357" s="28" t="s">
        <v>108</v>
      </c>
      <c r="AB357" s="18"/>
      <c r="AC357" s="28" t="s">
        <v>108</v>
      </c>
      <c r="AD357" s="18"/>
      <c r="AE357" s="28" t="s">
        <v>108</v>
      </c>
      <c r="AF357" s="47" t="str">
        <f t="shared" si="43"/>
        <v>C</v>
      </c>
      <c r="AG357" s="8" t="str">
        <f t="shared" si="46"/>
        <v>UTILIZOU O PDA CORRETAMENTE</v>
      </c>
      <c r="AH357" s="26" t="s">
        <v>108</v>
      </c>
      <c r="AI357" s="66" t="s">
        <v>1</v>
      </c>
      <c r="AJ357" s="22" t="str">
        <f t="shared" si="44"/>
        <v>GUARULHOS</v>
      </c>
      <c r="AK357" s="69" t="s">
        <v>4</v>
      </c>
    </row>
    <row r="358" spans="1:37" ht="30" customHeight="1" x14ac:dyDescent="0.2">
      <c r="A358" s="82" t="s">
        <v>101</v>
      </c>
      <c r="B358" s="82">
        <v>2617176365</v>
      </c>
      <c r="C358" s="82" t="s">
        <v>50</v>
      </c>
      <c r="D358" s="82" t="s">
        <v>29</v>
      </c>
      <c r="E358" s="82" t="s">
        <v>102</v>
      </c>
      <c r="F358" s="82" t="s">
        <v>466</v>
      </c>
      <c r="G358" s="82">
        <v>201</v>
      </c>
      <c r="H358" s="82"/>
      <c r="I358" s="82" t="s">
        <v>468</v>
      </c>
      <c r="J358" s="82" t="s">
        <v>130</v>
      </c>
      <c r="K358" s="82" t="s">
        <v>1259</v>
      </c>
      <c r="L358" s="82" t="s">
        <v>1253</v>
      </c>
      <c r="M358" s="82" t="s">
        <v>1260</v>
      </c>
      <c r="N358" s="82" t="s">
        <v>146</v>
      </c>
      <c r="O358" s="36" t="s">
        <v>108</v>
      </c>
      <c r="P358" s="18"/>
      <c r="Q358" s="28" t="s">
        <v>108</v>
      </c>
      <c r="R358" s="18"/>
      <c r="S358" s="28" t="s">
        <v>108</v>
      </c>
      <c r="T358" s="18"/>
      <c r="U358" s="28" t="s">
        <v>108</v>
      </c>
      <c r="V358" s="18"/>
      <c r="W358" s="28" t="s">
        <v>108</v>
      </c>
      <c r="X358" s="18"/>
      <c r="Y358" s="28" t="s">
        <v>14</v>
      </c>
      <c r="Z358" s="18"/>
      <c r="AA358" s="28" t="s">
        <v>108</v>
      </c>
      <c r="AB358" s="18"/>
      <c r="AC358" s="28" t="s">
        <v>108</v>
      </c>
      <c r="AD358" s="18"/>
      <c r="AE358" s="28" t="s">
        <v>108</v>
      </c>
      <c r="AF358" s="47" t="str">
        <f t="shared" si="43"/>
        <v>C</v>
      </c>
      <c r="AG358" s="8" t="str">
        <f t="shared" si="46"/>
        <v>UTILIZOU O PDA CORRETAMENTE</v>
      </c>
      <c r="AH358" s="26" t="s">
        <v>108</v>
      </c>
      <c r="AI358" s="66" t="s">
        <v>1</v>
      </c>
      <c r="AJ358" s="22" t="str">
        <f t="shared" si="44"/>
        <v>GUARULHOS</v>
      </c>
      <c r="AK358" s="69" t="s">
        <v>4</v>
      </c>
    </row>
    <row r="359" spans="1:37" ht="30" customHeight="1" x14ac:dyDescent="0.2">
      <c r="A359" s="82" t="s">
        <v>101</v>
      </c>
      <c r="B359" s="82">
        <v>2691368050</v>
      </c>
      <c r="C359" s="82" t="s">
        <v>51</v>
      </c>
      <c r="D359" s="82" t="s">
        <v>29</v>
      </c>
      <c r="E359" s="82" t="s">
        <v>102</v>
      </c>
      <c r="F359" s="82" t="s">
        <v>1267</v>
      </c>
      <c r="G359" s="82">
        <v>251</v>
      </c>
      <c r="H359" s="82" t="s">
        <v>1268</v>
      </c>
      <c r="I359" s="82" t="s">
        <v>1063</v>
      </c>
      <c r="J359" s="82" t="s">
        <v>159</v>
      </c>
      <c r="K359" s="82" t="s">
        <v>117</v>
      </c>
      <c r="L359" s="82" t="s">
        <v>1253</v>
      </c>
      <c r="M359" s="82" t="s">
        <v>1269</v>
      </c>
      <c r="N359" s="82" t="s">
        <v>144</v>
      </c>
      <c r="O359" s="36" t="s">
        <v>108</v>
      </c>
      <c r="P359" s="18"/>
      <c r="Q359" s="28" t="s">
        <v>108</v>
      </c>
      <c r="R359" s="18"/>
      <c r="S359" s="28" t="s">
        <v>108</v>
      </c>
      <c r="T359" s="18"/>
      <c r="U359" s="28" t="s">
        <v>108</v>
      </c>
      <c r="V359" s="18"/>
      <c r="W359" s="28" t="s">
        <v>108</v>
      </c>
      <c r="X359" s="18"/>
      <c r="Y359" s="28" t="s">
        <v>14</v>
      </c>
      <c r="Z359" s="18"/>
      <c r="AA359" s="28" t="s">
        <v>108</v>
      </c>
      <c r="AB359" s="18"/>
      <c r="AC359" s="28" t="s">
        <v>108</v>
      </c>
      <c r="AD359" s="18"/>
      <c r="AE359" s="28" t="s">
        <v>108</v>
      </c>
      <c r="AF359" s="47" t="str">
        <f t="shared" si="43"/>
        <v>C</v>
      </c>
      <c r="AG359" s="8" t="str">
        <f t="shared" si="46"/>
        <v>UTILIZOU O PDA CORRETAMENTE</v>
      </c>
      <c r="AH359" s="26" t="s">
        <v>108</v>
      </c>
      <c r="AI359" s="66" t="s">
        <v>1</v>
      </c>
      <c r="AJ359" s="22" t="str">
        <f t="shared" si="44"/>
        <v>GUARULHOS</v>
      </c>
      <c r="AK359" s="69" t="s">
        <v>4</v>
      </c>
    </row>
    <row r="360" spans="1:37" ht="30" customHeight="1" x14ac:dyDescent="0.2">
      <c r="A360" s="82" t="s">
        <v>101</v>
      </c>
      <c r="B360" s="82">
        <v>2617147042</v>
      </c>
      <c r="C360" s="82" t="s">
        <v>51</v>
      </c>
      <c r="D360" s="82" t="s">
        <v>29</v>
      </c>
      <c r="E360" s="82" t="s">
        <v>102</v>
      </c>
      <c r="F360" s="82" t="s">
        <v>1270</v>
      </c>
      <c r="G360" s="82">
        <v>211</v>
      </c>
      <c r="H360" s="82" t="s">
        <v>1271</v>
      </c>
      <c r="I360" s="82" t="s">
        <v>134</v>
      </c>
      <c r="J360" s="82" t="s">
        <v>159</v>
      </c>
      <c r="K360" s="82"/>
      <c r="L360" s="82" t="s">
        <v>1253</v>
      </c>
      <c r="M360" s="82" t="s">
        <v>1272</v>
      </c>
      <c r="N360" s="82" t="s">
        <v>144</v>
      </c>
      <c r="O360" s="36" t="s">
        <v>108</v>
      </c>
      <c r="P360" s="18"/>
      <c r="Q360" s="28" t="s">
        <v>108</v>
      </c>
      <c r="R360" s="18"/>
      <c r="S360" s="28" t="s">
        <v>108</v>
      </c>
      <c r="T360" s="18"/>
      <c r="U360" s="28" t="s">
        <v>108</v>
      </c>
      <c r="V360" s="18"/>
      <c r="W360" s="28" t="s">
        <v>108</v>
      </c>
      <c r="X360" s="18"/>
      <c r="Y360" s="28" t="s">
        <v>14</v>
      </c>
      <c r="Z360" s="18"/>
      <c r="AA360" s="28" t="s">
        <v>108</v>
      </c>
      <c r="AB360" s="18"/>
      <c r="AC360" s="28" t="s">
        <v>108</v>
      </c>
      <c r="AD360" s="18"/>
      <c r="AE360" s="28" t="s">
        <v>108</v>
      </c>
      <c r="AF360" s="47" t="str">
        <f t="shared" si="43"/>
        <v>C</v>
      </c>
      <c r="AG360" s="8" t="str">
        <f t="shared" si="46"/>
        <v>UTILIZOU O PDA CORRETAMENTE</v>
      </c>
      <c r="AH360" s="26" t="s">
        <v>108</v>
      </c>
      <c r="AI360" s="66" t="s">
        <v>1</v>
      </c>
      <c r="AJ360" s="22" t="str">
        <f t="shared" si="44"/>
        <v>GUARULHOS</v>
      </c>
      <c r="AK360" s="69" t="s">
        <v>4</v>
      </c>
    </row>
    <row r="361" spans="1:37" ht="30" customHeight="1" x14ac:dyDescent="0.2">
      <c r="A361" s="82" t="s">
        <v>101</v>
      </c>
      <c r="B361" s="82">
        <v>2691408628</v>
      </c>
      <c r="C361" s="82" t="s">
        <v>51</v>
      </c>
      <c r="D361" s="82" t="s">
        <v>29</v>
      </c>
      <c r="E361" s="82" t="s">
        <v>102</v>
      </c>
      <c r="F361" s="82" t="s">
        <v>1273</v>
      </c>
      <c r="G361" s="82">
        <v>305</v>
      </c>
      <c r="H361" s="82" t="s">
        <v>1274</v>
      </c>
      <c r="I361" s="82" t="s">
        <v>1167</v>
      </c>
      <c r="J361" s="82" t="s">
        <v>159</v>
      </c>
      <c r="K361" s="82" t="s">
        <v>117</v>
      </c>
      <c r="L361" s="82" t="s">
        <v>1253</v>
      </c>
      <c r="M361" s="82" t="s">
        <v>1275</v>
      </c>
      <c r="N361" s="82" t="s">
        <v>144</v>
      </c>
      <c r="O361" s="36" t="s">
        <v>108</v>
      </c>
      <c r="P361" s="18"/>
      <c r="Q361" s="28" t="s">
        <v>108</v>
      </c>
      <c r="R361" s="18"/>
      <c r="S361" s="28" t="s">
        <v>108</v>
      </c>
      <c r="T361" s="18"/>
      <c r="U361" s="28" t="s">
        <v>108</v>
      </c>
      <c r="V361" s="18"/>
      <c r="W361" s="28" t="s">
        <v>108</v>
      </c>
      <c r="X361" s="18"/>
      <c r="Y361" s="28" t="s">
        <v>14</v>
      </c>
      <c r="Z361" s="18"/>
      <c r="AA361" s="28" t="s">
        <v>108</v>
      </c>
      <c r="AB361" s="18"/>
      <c r="AC361" s="28" t="s">
        <v>108</v>
      </c>
      <c r="AD361" s="18"/>
      <c r="AE361" s="28" t="s">
        <v>108</v>
      </c>
      <c r="AF361" s="47" t="str">
        <f t="shared" si="43"/>
        <v>C</v>
      </c>
      <c r="AG361" s="8" t="str">
        <f t="shared" si="46"/>
        <v>UTILIZOU O PDA CORRETAMENTE</v>
      </c>
      <c r="AH361" s="26" t="s">
        <v>108</v>
      </c>
      <c r="AI361" s="66" t="s">
        <v>1</v>
      </c>
      <c r="AJ361" s="22" t="str">
        <f t="shared" si="44"/>
        <v>GUARULHOS</v>
      </c>
      <c r="AK361" s="69" t="s">
        <v>4</v>
      </c>
    </row>
    <row r="362" spans="1:37" ht="30" customHeight="1" x14ac:dyDescent="0.2">
      <c r="A362" s="82" t="s">
        <v>101</v>
      </c>
      <c r="B362" s="82">
        <v>2616875206</v>
      </c>
      <c r="C362" s="82" t="s">
        <v>34</v>
      </c>
      <c r="D362" s="82" t="s">
        <v>28</v>
      </c>
      <c r="E362" s="82" t="s">
        <v>102</v>
      </c>
      <c r="F362" s="82" t="s">
        <v>1280</v>
      </c>
      <c r="G362" s="82">
        <v>130</v>
      </c>
      <c r="H362" s="82" t="s">
        <v>153</v>
      </c>
      <c r="I362" s="82" t="s">
        <v>473</v>
      </c>
      <c r="J362" s="82" t="s">
        <v>368</v>
      </c>
      <c r="K362" s="82" t="s">
        <v>1281</v>
      </c>
      <c r="L362" s="82" t="s">
        <v>1253</v>
      </c>
      <c r="M362" s="82" t="s">
        <v>1282</v>
      </c>
      <c r="N362" s="82" t="s">
        <v>772</v>
      </c>
      <c r="O362" s="36" t="s">
        <v>14</v>
      </c>
      <c r="P362" s="18"/>
      <c r="Q362" s="28" t="s">
        <v>14</v>
      </c>
      <c r="R362" s="18"/>
      <c r="S362" s="28" t="s">
        <v>14</v>
      </c>
      <c r="T362" s="18"/>
      <c r="U362" s="28" t="s">
        <v>14</v>
      </c>
      <c r="V362" s="18"/>
      <c r="W362" s="28" t="s">
        <v>14</v>
      </c>
      <c r="X362" s="18"/>
      <c r="Y362" s="28" t="s">
        <v>14</v>
      </c>
      <c r="Z362" s="18"/>
      <c r="AA362" s="28" t="s">
        <v>14</v>
      </c>
      <c r="AB362" s="18"/>
      <c r="AC362" s="28" t="s">
        <v>14</v>
      </c>
      <c r="AD362" s="18"/>
      <c r="AE362" s="28" t="s">
        <v>14</v>
      </c>
      <c r="AF362" s="47" t="str">
        <f t="shared" ref="AF362:AF395" si="47">IF(AND(O362="",Q362="",S362="",U362="",W362="",Y362="",AA362="",AC362=""),"",IF(OR(AND(O362&lt;&gt;"NA",O362&lt;&gt;"C",O362&lt;&gt;"NC",O362&lt;&gt;"SF",O362&lt;&gt;""),AND(Q362&lt;&gt;"NA",Q362&lt;&gt;"C",Q362&lt;&gt;"NC",Q362&lt;&gt;"SF",Q362&lt;&gt;""),AND(S362&lt;&gt;"NA",S362&lt;&gt;"C",S362&lt;&gt;"NC",S362&lt;&gt;"SF",S362&lt;&gt;""),AND(U362&lt;&gt;"NA",U362&lt;&gt;"C",U362&lt;&gt;"NC",U362&lt;&gt;"SF",U362&lt;&gt;""),AND(W362&lt;&gt;"NA",W362&lt;&gt;"C",W362&lt;&gt;"NC",W362&lt;&gt;"SF",W362&lt;&gt;""),AND(Y362&lt;&gt;"NA",Y362&lt;&gt;"C",Y362&lt;&gt;"NC",Y362&lt;&gt;"SF",Y362&lt;&gt;""),AND(AA362&lt;&gt;"NA",AA362&lt;&gt;"C",AA362&lt;&gt;"NC",AA362&lt;&gt;"SF",AA362&lt;&gt;""),AND(AC362&lt;&gt;"NA",AC362&lt;&gt;"C",AC362&lt;&gt;"NC",AC362&lt;&gt;"SF",AC362&lt;&gt;"")),"FALSO",IF(AND(O362="NA",Q362="NA",S362="NA",U362="NA",W362="NA",Y362="NA",AA362="NA",AC362="NA"),"NA",IF(OR(O362="NC",Q362="NC",S362="NC",U362="NC",W362="NC",Y362="NC",AA362="NC",AC362="NC",O362="SF",Q362="SF",S362="SF",U362="SF",W362="SF",Y362="SF",AA362="SF",AC362="SF"),"NC",IF(OR(O362="C",Q362="C",S362="C",U362="C",W362="C",Y362="C",AA362="C",AC362="C"),"C","")))))</f>
        <v>NA</v>
      </c>
      <c r="AG362" s="8" t="s">
        <v>1283</v>
      </c>
      <c r="AH362" s="28" t="s">
        <v>108</v>
      </c>
      <c r="AI362" s="66" t="s">
        <v>1</v>
      </c>
      <c r="AJ362" s="22" t="str">
        <f t="shared" ref="AJ362:AJ395" si="48">E362</f>
        <v>GUARULHOS</v>
      </c>
      <c r="AK362" s="69" t="s">
        <v>4</v>
      </c>
    </row>
    <row r="363" spans="1:37" ht="30" customHeight="1" x14ac:dyDescent="0.2">
      <c r="A363" s="82" t="s">
        <v>101</v>
      </c>
      <c r="B363" s="82">
        <v>2616875627</v>
      </c>
      <c r="C363" s="82" t="s">
        <v>508</v>
      </c>
      <c r="D363" s="82" t="s">
        <v>28</v>
      </c>
      <c r="E363" s="82" t="s">
        <v>102</v>
      </c>
      <c r="F363" s="82" t="s">
        <v>1087</v>
      </c>
      <c r="G363" s="82">
        <v>97</v>
      </c>
      <c r="H363" s="82" t="s">
        <v>1284</v>
      </c>
      <c r="I363" s="82" t="s">
        <v>713</v>
      </c>
      <c r="J363" s="82" t="s">
        <v>510</v>
      </c>
      <c r="K363" s="82" t="s">
        <v>775</v>
      </c>
      <c r="L363" s="82" t="s">
        <v>1285</v>
      </c>
      <c r="M363" s="82" t="s">
        <v>1286</v>
      </c>
      <c r="N363" s="82" t="s">
        <v>772</v>
      </c>
      <c r="O363" s="36" t="s">
        <v>14</v>
      </c>
      <c r="P363" s="18"/>
      <c r="Q363" s="28" t="s">
        <v>14</v>
      </c>
      <c r="R363" s="18"/>
      <c r="S363" s="28" t="s">
        <v>14</v>
      </c>
      <c r="T363" s="18"/>
      <c r="U363" s="28" t="s">
        <v>14</v>
      </c>
      <c r="V363" s="18"/>
      <c r="W363" s="28" t="s">
        <v>14</v>
      </c>
      <c r="X363" s="18"/>
      <c r="Y363" s="28" t="s">
        <v>14</v>
      </c>
      <c r="Z363" s="18"/>
      <c r="AA363" s="28" t="s">
        <v>14</v>
      </c>
      <c r="AB363" s="18"/>
      <c r="AC363" s="28" t="s">
        <v>14</v>
      </c>
      <c r="AD363" s="18"/>
      <c r="AE363" s="28" t="s">
        <v>14</v>
      </c>
      <c r="AF363" s="47" t="str">
        <f t="shared" si="47"/>
        <v>NA</v>
      </c>
      <c r="AG363" s="8" t="s">
        <v>1287</v>
      </c>
      <c r="AH363" s="28" t="s">
        <v>108</v>
      </c>
      <c r="AI363" s="66" t="s">
        <v>1</v>
      </c>
      <c r="AJ363" s="22" t="str">
        <f t="shared" si="48"/>
        <v>GUARULHOS</v>
      </c>
      <c r="AK363" s="69" t="s">
        <v>4</v>
      </c>
    </row>
    <row r="364" spans="1:37" ht="30" customHeight="1" x14ac:dyDescent="0.2">
      <c r="A364" s="82" t="s">
        <v>101</v>
      </c>
      <c r="B364" s="82">
        <v>2616888359</v>
      </c>
      <c r="C364" s="82" t="s">
        <v>508</v>
      </c>
      <c r="D364" s="82" t="s">
        <v>28</v>
      </c>
      <c r="E364" s="82" t="s">
        <v>102</v>
      </c>
      <c r="F364" s="82" t="s">
        <v>1288</v>
      </c>
      <c r="G364" s="82">
        <v>50</v>
      </c>
      <c r="H364" s="82"/>
      <c r="I364" s="82" t="s">
        <v>1289</v>
      </c>
      <c r="J364" s="82" t="s">
        <v>510</v>
      </c>
      <c r="K364" s="82" t="s">
        <v>775</v>
      </c>
      <c r="L364" s="82" t="s">
        <v>1285</v>
      </c>
      <c r="M364" s="82" t="s">
        <v>1290</v>
      </c>
      <c r="N364" s="82" t="s">
        <v>772</v>
      </c>
      <c r="O364" s="36" t="s">
        <v>14</v>
      </c>
      <c r="P364" s="18"/>
      <c r="Q364" s="28" t="s">
        <v>14</v>
      </c>
      <c r="R364" s="18"/>
      <c r="S364" s="28" t="s">
        <v>14</v>
      </c>
      <c r="T364" s="18"/>
      <c r="U364" s="28" t="s">
        <v>14</v>
      </c>
      <c r="V364" s="18"/>
      <c r="W364" s="28" t="s">
        <v>14</v>
      </c>
      <c r="X364" s="18"/>
      <c r="Y364" s="28" t="s">
        <v>14</v>
      </c>
      <c r="Z364" s="18"/>
      <c r="AA364" s="28" t="s">
        <v>14</v>
      </c>
      <c r="AB364" s="18"/>
      <c r="AC364" s="28" t="s">
        <v>14</v>
      </c>
      <c r="AD364" s="18"/>
      <c r="AE364" s="28" t="s">
        <v>14</v>
      </c>
      <c r="AF364" s="47" t="str">
        <f t="shared" si="47"/>
        <v>NA</v>
      </c>
      <c r="AG364" s="8" t="s">
        <v>1287</v>
      </c>
      <c r="AH364" s="28" t="s">
        <v>108</v>
      </c>
      <c r="AI364" s="66" t="s">
        <v>1</v>
      </c>
      <c r="AJ364" s="22" t="str">
        <f t="shared" si="48"/>
        <v>GUARULHOS</v>
      </c>
      <c r="AK364" s="69" t="s">
        <v>4</v>
      </c>
    </row>
    <row r="365" spans="1:37" ht="30" customHeight="1" x14ac:dyDescent="0.2">
      <c r="A365" s="82" t="s">
        <v>101</v>
      </c>
      <c r="B365" s="82">
        <v>2616886265</v>
      </c>
      <c r="C365" s="82" t="s">
        <v>32</v>
      </c>
      <c r="D365" s="82" t="s">
        <v>28</v>
      </c>
      <c r="E365" s="82" t="s">
        <v>102</v>
      </c>
      <c r="F365" s="82" t="s">
        <v>1288</v>
      </c>
      <c r="G365" s="82">
        <v>50</v>
      </c>
      <c r="H365" s="82" t="s">
        <v>117</v>
      </c>
      <c r="I365" s="82" t="s">
        <v>1289</v>
      </c>
      <c r="J365" s="82" t="s">
        <v>262</v>
      </c>
      <c r="K365" s="82" t="s">
        <v>775</v>
      </c>
      <c r="L365" s="82" t="s">
        <v>1285</v>
      </c>
      <c r="M365" s="82" t="s">
        <v>1291</v>
      </c>
      <c r="N365" s="82" t="s">
        <v>772</v>
      </c>
      <c r="O365" s="36" t="s">
        <v>14</v>
      </c>
      <c r="P365" s="18"/>
      <c r="Q365" s="28" t="s">
        <v>14</v>
      </c>
      <c r="R365" s="18"/>
      <c r="S365" s="28" t="s">
        <v>14</v>
      </c>
      <c r="T365" s="18"/>
      <c r="U365" s="28" t="s">
        <v>14</v>
      </c>
      <c r="V365" s="18"/>
      <c r="W365" s="28" t="s">
        <v>14</v>
      </c>
      <c r="X365" s="18"/>
      <c r="Y365" s="28" t="s">
        <v>14</v>
      </c>
      <c r="Z365" s="18"/>
      <c r="AA365" s="28" t="s">
        <v>14</v>
      </c>
      <c r="AB365" s="18"/>
      <c r="AC365" s="28" t="s">
        <v>14</v>
      </c>
      <c r="AD365" s="18"/>
      <c r="AE365" s="28" t="s">
        <v>14</v>
      </c>
      <c r="AF365" s="47" t="str">
        <f t="shared" si="47"/>
        <v>NA</v>
      </c>
      <c r="AG365" s="8" t="s">
        <v>200</v>
      </c>
      <c r="AH365" s="28" t="s">
        <v>108</v>
      </c>
      <c r="AI365" s="66" t="s">
        <v>1</v>
      </c>
      <c r="AJ365" s="22" t="str">
        <f t="shared" si="48"/>
        <v>GUARULHOS</v>
      </c>
      <c r="AK365" s="69" t="s">
        <v>4</v>
      </c>
    </row>
    <row r="366" spans="1:37" ht="30" customHeight="1" x14ac:dyDescent="0.2">
      <c r="A366" s="82" t="s">
        <v>101</v>
      </c>
      <c r="B366" s="82">
        <v>2616891154</v>
      </c>
      <c r="C366" s="82" t="s">
        <v>41</v>
      </c>
      <c r="D366" s="82" t="s">
        <v>25</v>
      </c>
      <c r="E366" s="82" t="s">
        <v>102</v>
      </c>
      <c r="F366" s="82" t="s">
        <v>1295</v>
      </c>
      <c r="G366" s="82">
        <v>142</v>
      </c>
      <c r="H366" s="82" t="s">
        <v>1296</v>
      </c>
      <c r="I366" s="82" t="s">
        <v>264</v>
      </c>
      <c r="J366" s="82" t="s">
        <v>41</v>
      </c>
      <c r="K366" s="82" t="s">
        <v>1297</v>
      </c>
      <c r="L366" s="82" t="s">
        <v>1253</v>
      </c>
      <c r="M366" s="82" t="s">
        <v>1298</v>
      </c>
      <c r="N366" s="82" t="s">
        <v>274</v>
      </c>
      <c r="O366" s="36" t="s">
        <v>108</v>
      </c>
      <c r="P366" s="18"/>
      <c r="Q366" s="28" t="s">
        <v>14</v>
      </c>
      <c r="R366" s="18"/>
      <c r="S366" s="28" t="s">
        <v>14</v>
      </c>
      <c r="T366" s="18"/>
      <c r="U366" s="28" t="s">
        <v>14</v>
      </c>
      <c r="V366" s="18"/>
      <c r="W366" s="28" t="s">
        <v>14</v>
      </c>
      <c r="X366" s="18"/>
      <c r="Y366" s="28" t="s">
        <v>14</v>
      </c>
      <c r="Z366" s="18"/>
      <c r="AA366" s="28" t="s">
        <v>108</v>
      </c>
      <c r="AB366" s="18"/>
      <c r="AC366" s="28" t="s">
        <v>108</v>
      </c>
      <c r="AD366" s="18"/>
      <c r="AE366" s="28" t="s">
        <v>108</v>
      </c>
      <c r="AF366" s="47" t="str">
        <f t="shared" si="47"/>
        <v>C</v>
      </c>
      <c r="AG366" s="8" t="str">
        <f t="shared" ref="AG366" si="49">IF(AND(AE366="C",AF366="C"),"UTILIZOU O PDA CORRETAMENTE",IF(AND(AE366="C",AF366="NC"),"UTILIZOU O PDA CORRETAMENTE. NÃO HÁ FOTOS DE TODAS AS ETAPAS",IF(AND(AE366="NC",AF366="NC"),"NÃO UTILIZOU O PDA",IF(AND(AE366="NA",AF366="NA"),"NÃO AVALIADO POR FALHA DE SINCRONISMO"))))</f>
        <v>UTILIZOU O PDA CORRETAMENTE</v>
      </c>
      <c r="AH366" s="28" t="s">
        <v>108</v>
      </c>
      <c r="AI366" s="66" t="s">
        <v>1</v>
      </c>
      <c r="AJ366" s="22" t="str">
        <f t="shared" si="48"/>
        <v>GUARULHOS</v>
      </c>
      <c r="AK366" s="69" t="s">
        <v>4</v>
      </c>
    </row>
    <row r="367" spans="1:37" ht="30" customHeight="1" x14ac:dyDescent="0.2">
      <c r="A367" s="82" t="s">
        <v>101</v>
      </c>
      <c r="B367" s="82">
        <v>2617163724</v>
      </c>
      <c r="C367" s="82" t="s">
        <v>375</v>
      </c>
      <c r="D367" s="82" t="s">
        <v>28</v>
      </c>
      <c r="E367" s="82" t="s">
        <v>102</v>
      </c>
      <c r="F367" s="82" t="s">
        <v>1302</v>
      </c>
      <c r="G367" s="82">
        <v>392</v>
      </c>
      <c r="H367" s="82" t="s">
        <v>1303</v>
      </c>
      <c r="I367" s="82" t="s">
        <v>809</v>
      </c>
      <c r="J367" s="82" t="s">
        <v>376</v>
      </c>
      <c r="K367" s="82" t="s">
        <v>1304</v>
      </c>
      <c r="L367" s="82" t="s">
        <v>1253</v>
      </c>
      <c r="M367" s="82" t="s">
        <v>1305</v>
      </c>
      <c r="N367" s="82" t="s">
        <v>772</v>
      </c>
      <c r="O367" s="36" t="s">
        <v>14</v>
      </c>
      <c r="P367" s="18"/>
      <c r="Q367" s="28" t="s">
        <v>14</v>
      </c>
      <c r="R367" s="18"/>
      <c r="S367" s="28" t="s">
        <v>14</v>
      </c>
      <c r="T367" s="18"/>
      <c r="U367" s="28" t="s">
        <v>14</v>
      </c>
      <c r="V367" s="18"/>
      <c r="W367" s="28" t="s">
        <v>14</v>
      </c>
      <c r="X367" s="18"/>
      <c r="Y367" s="28" t="s">
        <v>14</v>
      </c>
      <c r="Z367" s="18"/>
      <c r="AA367" s="28" t="s">
        <v>14</v>
      </c>
      <c r="AB367" s="18"/>
      <c r="AC367" s="28" t="s">
        <v>14</v>
      </c>
      <c r="AD367" s="18"/>
      <c r="AE367" s="28" t="s">
        <v>14</v>
      </c>
      <c r="AF367" s="47" t="str">
        <f t="shared" si="47"/>
        <v>NA</v>
      </c>
      <c r="AG367" s="8" t="s">
        <v>200</v>
      </c>
      <c r="AH367" s="28" t="s">
        <v>108</v>
      </c>
      <c r="AI367" s="66" t="s">
        <v>1</v>
      </c>
      <c r="AJ367" s="22" t="str">
        <f t="shared" si="48"/>
        <v>GUARULHOS</v>
      </c>
      <c r="AK367" s="69" t="s">
        <v>4</v>
      </c>
    </row>
    <row r="368" spans="1:37" ht="30" customHeight="1" x14ac:dyDescent="0.2">
      <c r="A368" s="82" t="s">
        <v>101</v>
      </c>
      <c r="B368" s="82">
        <v>2616891243</v>
      </c>
      <c r="C368" s="82" t="s">
        <v>1186</v>
      </c>
      <c r="D368" s="82" t="s">
        <v>27</v>
      </c>
      <c r="E368" s="82" t="s">
        <v>102</v>
      </c>
      <c r="F368" s="82" t="s">
        <v>614</v>
      </c>
      <c r="G368" s="82">
        <v>197</v>
      </c>
      <c r="H368" s="82" t="s">
        <v>615</v>
      </c>
      <c r="I368" s="82" t="s">
        <v>191</v>
      </c>
      <c r="J368" s="82" t="s">
        <v>1188</v>
      </c>
      <c r="K368" s="82" t="s">
        <v>1299</v>
      </c>
      <c r="L368" s="82" t="s">
        <v>1253</v>
      </c>
      <c r="M368" s="82" t="s">
        <v>1306</v>
      </c>
      <c r="N368" s="82" t="s">
        <v>205</v>
      </c>
      <c r="O368" s="36" t="s">
        <v>14</v>
      </c>
      <c r="P368" s="18"/>
      <c r="Q368" s="28" t="s">
        <v>14</v>
      </c>
      <c r="R368" s="18"/>
      <c r="S368" s="28" t="s">
        <v>14</v>
      </c>
      <c r="T368" s="18"/>
      <c r="U368" s="28" t="s">
        <v>14</v>
      </c>
      <c r="V368" s="18"/>
      <c r="W368" s="28" t="s">
        <v>14</v>
      </c>
      <c r="X368" s="18"/>
      <c r="Y368" s="28" t="s">
        <v>14</v>
      </c>
      <c r="Z368" s="18"/>
      <c r="AA368" s="28" t="s">
        <v>14</v>
      </c>
      <c r="AB368" s="18"/>
      <c r="AC368" s="28" t="s">
        <v>14</v>
      </c>
      <c r="AD368" s="18"/>
      <c r="AE368" s="28" t="s">
        <v>14</v>
      </c>
      <c r="AF368" s="47" t="str">
        <f t="shared" si="47"/>
        <v>NA</v>
      </c>
      <c r="AG368" s="8" t="s">
        <v>200</v>
      </c>
      <c r="AH368" s="28" t="s">
        <v>108</v>
      </c>
      <c r="AI368" s="66" t="s">
        <v>1</v>
      </c>
      <c r="AJ368" s="22" t="str">
        <f t="shared" si="48"/>
        <v>GUARULHOS</v>
      </c>
      <c r="AK368" s="69" t="s">
        <v>4</v>
      </c>
    </row>
    <row r="369" spans="1:37" ht="30" customHeight="1" x14ac:dyDescent="0.2">
      <c r="A369" s="82" t="s">
        <v>101</v>
      </c>
      <c r="B369" s="82">
        <v>2616895732</v>
      </c>
      <c r="C369" s="82" t="s">
        <v>31</v>
      </c>
      <c r="D369" s="82" t="s">
        <v>25</v>
      </c>
      <c r="E369" s="82" t="s">
        <v>102</v>
      </c>
      <c r="F369" s="82" t="s">
        <v>1058</v>
      </c>
      <c r="G369" s="82">
        <v>308</v>
      </c>
      <c r="H369" s="82" t="s">
        <v>121</v>
      </c>
      <c r="I369" s="82" t="s">
        <v>1073</v>
      </c>
      <c r="J369" s="82" t="s">
        <v>123</v>
      </c>
      <c r="K369" s="82"/>
      <c r="L369" s="82" t="s">
        <v>1253</v>
      </c>
      <c r="M369" s="82" t="s">
        <v>1307</v>
      </c>
      <c r="N369" s="82" t="s">
        <v>107</v>
      </c>
      <c r="O369" s="36" t="s">
        <v>108</v>
      </c>
      <c r="P369" s="18"/>
      <c r="Q369" s="28" t="s">
        <v>14</v>
      </c>
      <c r="R369" s="18"/>
      <c r="S369" s="28" t="s">
        <v>14</v>
      </c>
      <c r="T369" s="18"/>
      <c r="U369" s="28" t="s">
        <v>14</v>
      </c>
      <c r="V369" s="18"/>
      <c r="W369" s="28" t="s">
        <v>14</v>
      </c>
      <c r="X369" s="18"/>
      <c r="Y369" s="28" t="s">
        <v>14</v>
      </c>
      <c r="Z369" s="18"/>
      <c r="AA369" s="28" t="s">
        <v>14</v>
      </c>
      <c r="AB369" s="18"/>
      <c r="AC369" s="28" t="s">
        <v>108</v>
      </c>
      <c r="AD369" s="18"/>
      <c r="AE369" s="28" t="s">
        <v>108</v>
      </c>
      <c r="AF369" s="47" t="str">
        <f t="shared" si="47"/>
        <v>C</v>
      </c>
      <c r="AG369" s="8" t="str">
        <f t="shared" ref="AG369:AG392" si="50">IF(AND(AE369="C",AF369="C"),"UTILIZOU O PDA CORRETAMENTE",IF(AND(AE369="C",AF369="NC"),"UTILIZOU O PDA CORRETAMENTE. NÃO HÁ FOTOS DE TODAS AS ETAPAS",IF(AND(AE369="NC",AF369="NC"),"NÃO UTILIZOU O PDA",IF(AND(AE369="NA",AF369="NA"),"NÃO AVALIADO POR FALHA DE SINCRONISMO"))))</f>
        <v>UTILIZOU O PDA CORRETAMENTE</v>
      </c>
      <c r="AH369" s="28" t="s">
        <v>108</v>
      </c>
      <c r="AI369" s="66" t="s">
        <v>1</v>
      </c>
      <c r="AJ369" s="22" t="str">
        <f t="shared" si="48"/>
        <v>GUARULHOS</v>
      </c>
      <c r="AK369" s="69" t="s">
        <v>4</v>
      </c>
    </row>
    <row r="370" spans="1:37" ht="30" customHeight="1" x14ac:dyDescent="0.2">
      <c r="A370" s="82" t="s">
        <v>101</v>
      </c>
      <c r="B370" s="82">
        <v>2616896418</v>
      </c>
      <c r="C370" s="82" t="s">
        <v>31</v>
      </c>
      <c r="D370" s="82" t="s">
        <v>25</v>
      </c>
      <c r="E370" s="82" t="s">
        <v>102</v>
      </c>
      <c r="F370" s="82" t="s">
        <v>1058</v>
      </c>
      <c r="G370" s="82">
        <v>308</v>
      </c>
      <c r="H370" s="82" t="s">
        <v>322</v>
      </c>
      <c r="I370" s="82" t="s">
        <v>1073</v>
      </c>
      <c r="J370" s="82" t="s">
        <v>123</v>
      </c>
      <c r="K370" s="82" t="s">
        <v>117</v>
      </c>
      <c r="L370" s="82" t="s">
        <v>1253</v>
      </c>
      <c r="M370" s="82" t="s">
        <v>1308</v>
      </c>
      <c r="N370" s="82" t="s">
        <v>107</v>
      </c>
      <c r="O370" s="36" t="s">
        <v>108</v>
      </c>
      <c r="P370" s="18"/>
      <c r="Q370" s="28" t="s">
        <v>14</v>
      </c>
      <c r="R370" s="18"/>
      <c r="S370" s="28" t="s">
        <v>14</v>
      </c>
      <c r="T370" s="18"/>
      <c r="U370" s="28" t="s">
        <v>14</v>
      </c>
      <c r="V370" s="18"/>
      <c r="W370" s="28" t="s">
        <v>14</v>
      </c>
      <c r="X370" s="18"/>
      <c r="Y370" s="28" t="s">
        <v>14</v>
      </c>
      <c r="Z370" s="18"/>
      <c r="AA370" s="28" t="s">
        <v>14</v>
      </c>
      <c r="AB370" s="18"/>
      <c r="AC370" s="28" t="s">
        <v>108</v>
      </c>
      <c r="AD370" s="18"/>
      <c r="AE370" s="28" t="s">
        <v>108</v>
      </c>
      <c r="AF370" s="47" t="str">
        <f t="shared" si="47"/>
        <v>C</v>
      </c>
      <c r="AG370" s="8" t="str">
        <f t="shared" si="50"/>
        <v>UTILIZOU O PDA CORRETAMENTE</v>
      </c>
      <c r="AH370" s="28" t="s">
        <v>108</v>
      </c>
      <c r="AI370" s="66" t="s">
        <v>1</v>
      </c>
      <c r="AJ370" s="22" t="str">
        <f t="shared" si="48"/>
        <v>GUARULHOS</v>
      </c>
      <c r="AK370" s="69" t="s">
        <v>4</v>
      </c>
    </row>
    <row r="371" spans="1:37" ht="30" customHeight="1" x14ac:dyDescent="0.2">
      <c r="A371" s="82" t="s">
        <v>101</v>
      </c>
      <c r="B371" s="82">
        <v>2616874489</v>
      </c>
      <c r="C371" s="82" t="s">
        <v>33</v>
      </c>
      <c r="D371" s="82" t="s">
        <v>25</v>
      </c>
      <c r="E371" s="82" t="s">
        <v>102</v>
      </c>
      <c r="F371" s="82" t="s">
        <v>1310</v>
      </c>
      <c r="G371" s="82">
        <v>100</v>
      </c>
      <c r="H371" s="82" t="s">
        <v>117</v>
      </c>
      <c r="I371" s="82" t="s">
        <v>111</v>
      </c>
      <c r="J371" s="82" t="s">
        <v>33</v>
      </c>
      <c r="K371" s="82" t="s">
        <v>1311</v>
      </c>
      <c r="L371" s="82" t="s">
        <v>1253</v>
      </c>
      <c r="M371" s="82" t="s">
        <v>1312</v>
      </c>
      <c r="N371" s="82" t="s">
        <v>107</v>
      </c>
      <c r="O371" s="36" t="s">
        <v>108</v>
      </c>
      <c r="P371" s="18"/>
      <c r="Q371" s="28" t="s">
        <v>108</v>
      </c>
      <c r="R371" s="18"/>
      <c r="S371" s="28" t="s">
        <v>108</v>
      </c>
      <c r="T371" s="18"/>
      <c r="U371" s="28" t="s">
        <v>108</v>
      </c>
      <c r="V371" s="18"/>
      <c r="W371" s="28" t="s">
        <v>108</v>
      </c>
      <c r="X371" s="18"/>
      <c r="Y371" s="28" t="s">
        <v>14</v>
      </c>
      <c r="Z371" s="18"/>
      <c r="AA371" s="28" t="s">
        <v>108</v>
      </c>
      <c r="AB371" s="18"/>
      <c r="AC371" s="28" t="s">
        <v>108</v>
      </c>
      <c r="AD371" s="18"/>
      <c r="AE371" s="28" t="s">
        <v>108</v>
      </c>
      <c r="AF371" s="47" t="str">
        <f t="shared" si="47"/>
        <v>C</v>
      </c>
      <c r="AG371" s="8" t="str">
        <f t="shared" si="50"/>
        <v>UTILIZOU O PDA CORRETAMENTE</v>
      </c>
      <c r="AH371" s="28" t="s">
        <v>108</v>
      </c>
      <c r="AI371" s="66" t="s">
        <v>1</v>
      </c>
      <c r="AJ371" s="22" t="str">
        <f t="shared" si="48"/>
        <v>GUARULHOS</v>
      </c>
      <c r="AK371" s="69" t="s">
        <v>4</v>
      </c>
    </row>
    <row r="372" spans="1:37" ht="30" customHeight="1" x14ac:dyDescent="0.2">
      <c r="A372" s="82" t="s">
        <v>101</v>
      </c>
      <c r="B372" s="82">
        <v>2617178649</v>
      </c>
      <c r="C372" s="82" t="s">
        <v>33</v>
      </c>
      <c r="D372" s="82" t="s">
        <v>25</v>
      </c>
      <c r="E372" s="82" t="s">
        <v>102</v>
      </c>
      <c r="F372" s="82" t="s">
        <v>537</v>
      </c>
      <c r="G372" s="82">
        <v>382</v>
      </c>
      <c r="H372" s="82"/>
      <c r="I372" s="82" t="s">
        <v>531</v>
      </c>
      <c r="J372" s="82" t="s">
        <v>33</v>
      </c>
      <c r="K372" s="82" t="s">
        <v>1313</v>
      </c>
      <c r="L372" s="82" t="s">
        <v>1253</v>
      </c>
      <c r="M372" s="82" t="s">
        <v>1314</v>
      </c>
      <c r="N372" s="82" t="s">
        <v>113</v>
      </c>
      <c r="O372" s="36" t="s">
        <v>108</v>
      </c>
      <c r="P372" s="18"/>
      <c r="Q372" s="28" t="s">
        <v>108</v>
      </c>
      <c r="R372" s="18"/>
      <c r="S372" s="28" t="s">
        <v>108</v>
      </c>
      <c r="T372" s="18"/>
      <c r="U372" s="28" t="s">
        <v>108</v>
      </c>
      <c r="V372" s="18"/>
      <c r="W372" s="28" t="s">
        <v>108</v>
      </c>
      <c r="X372" s="18"/>
      <c r="Y372" s="28" t="s">
        <v>14</v>
      </c>
      <c r="Z372" s="18"/>
      <c r="AA372" s="28" t="s">
        <v>114</v>
      </c>
      <c r="AB372" s="18" t="s">
        <v>455</v>
      </c>
      <c r="AC372" s="28" t="s">
        <v>108</v>
      </c>
      <c r="AD372" s="18"/>
      <c r="AE372" s="28" t="s">
        <v>108</v>
      </c>
      <c r="AF372" s="47" t="str">
        <f t="shared" si="47"/>
        <v>NC</v>
      </c>
      <c r="AG372" s="8" t="str">
        <f t="shared" si="50"/>
        <v>UTILIZOU O PDA CORRETAMENTE. NÃO HÁ FOTOS DE TODAS AS ETAPAS</v>
      </c>
      <c r="AH372" s="28" t="s">
        <v>108</v>
      </c>
      <c r="AI372" s="66" t="s">
        <v>1</v>
      </c>
      <c r="AJ372" s="22" t="str">
        <f t="shared" si="48"/>
        <v>GUARULHOS</v>
      </c>
      <c r="AK372" s="69" t="s">
        <v>4</v>
      </c>
    </row>
    <row r="373" spans="1:37" ht="30" customHeight="1" x14ac:dyDescent="0.2">
      <c r="A373" s="82" t="s">
        <v>101</v>
      </c>
      <c r="B373" s="82">
        <v>2613831015</v>
      </c>
      <c r="C373" s="82" t="s">
        <v>254</v>
      </c>
      <c r="D373" s="82" t="s">
        <v>28</v>
      </c>
      <c r="E373" s="82" t="s">
        <v>102</v>
      </c>
      <c r="F373" s="82" t="s">
        <v>1187</v>
      </c>
      <c r="G373" s="82">
        <v>85</v>
      </c>
      <c r="H373" s="82"/>
      <c r="I373" s="82" t="s">
        <v>191</v>
      </c>
      <c r="J373" s="82" t="s">
        <v>256</v>
      </c>
      <c r="K373" s="82" t="s">
        <v>1315</v>
      </c>
      <c r="L373" s="82" t="s">
        <v>1253</v>
      </c>
      <c r="M373" s="82" t="s">
        <v>1316</v>
      </c>
      <c r="N373" s="82" t="s">
        <v>772</v>
      </c>
      <c r="O373" s="36" t="s">
        <v>14</v>
      </c>
      <c r="P373" s="18"/>
      <c r="Q373" s="28" t="s">
        <v>14</v>
      </c>
      <c r="R373" s="18"/>
      <c r="S373" s="28" t="s">
        <v>14</v>
      </c>
      <c r="T373" s="18"/>
      <c r="U373" s="28" t="s">
        <v>14</v>
      </c>
      <c r="V373" s="18"/>
      <c r="W373" s="28" t="s">
        <v>14</v>
      </c>
      <c r="X373" s="18"/>
      <c r="Y373" s="28" t="s">
        <v>14</v>
      </c>
      <c r="Z373" s="18"/>
      <c r="AA373" s="28" t="s">
        <v>14</v>
      </c>
      <c r="AB373" s="18"/>
      <c r="AC373" s="28" t="s">
        <v>14</v>
      </c>
      <c r="AD373" s="18"/>
      <c r="AE373" s="28" t="s">
        <v>14</v>
      </c>
      <c r="AF373" s="47" t="str">
        <f t="shared" si="47"/>
        <v>NA</v>
      </c>
      <c r="AG373" s="8" t="str">
        <f t="shared" si="50"/>
        <v>NÃO AVALIADO POR FALHA DE SINCRONISMO</v>
      </c>
      <c r="AH373" s="28" t="s">
        <v>108</v>
      </c>
      <c r="AI373" s="66" t="s">
        <v>1</v>
      </c>
      <c r="AJ373" s="22" t="str">
        <f t="shared" si="48"/>
        <v>GUARULHOS</v>
      </c>
      <c r="AK373" s="69" t="s">
        <v>4</v>
      </c>
    </row>
    <row r="374" spans="1:37" ht="30" customHeight="1" x14ac:dyDescent="0.2">
      <c r="A374" s="82" t="s">
        <v>101</v>
      </c>
      <c r="B374" s="82">
        <v>2614471690</v>
      </c>
      <c r="C374" s="82" t="s">
        <v>35</v>
      </c>
      <c r="D374" s="82" t="s">
        <v>28</v>
      </c>
      <c r="E374" s="82" t="s">
        <v>102</v>
      </c>
      <c r="F374" s="82" t="s">
        <v>1318</v>
      </c>
      <c r="G374" s="82">
        <v>169</v>
      </c>
      <c r="H374" s="82" t="s">
        <v>1319</v>
      </c>
      <c r="I374" s="82" t="s">
        <v>382</v>
      </c>
      <c r="J374" s="82" t="s">
        <v>1293</v>
      </c>
      <c r="K374" s="82" t="s">
        <v>1320</v>
      </c>
      <c r="L374" s="82" t="s">
        <v>1253</v>
      </c>
      <c r="M374" s="82" t="s">
        <v>1321</v>
      </c>
      <c r="N374" s="82" t="s">
        <v>772</v>
      </c>
      <c r="O374" s="36" t="s">
        <v>14</v>
      </c>
      <c r="P374" s="18"/>
      <c r="Q374" s="28" t="s">
        <v>14</v>
      </c>
      <c r="R374" s="18"/>
      <c r="S374" s="28" t="s">
        <v>14</v>
      </c>
      <c r="T374" s="18"/>
      <c r="U374" s="28" t="s">
        <v>14</v>
      </c>
      <c r="V374" s="18"/>
      <c r="W374" s="28" t="s">
        <v>14</v>
      </c>
      <c r="X374" s="18"/>
      <c r="Y374" s="28" t="s">
        <v>14</v>
      </c>
      <c r="Z374" s="18"/>
      <c r="AA374" s="28" t="s">
        <v>14</v>
      </c>
      <c r="AB374" s="18"/>
      <c r="AC374" s="28" t="s">
        <v>14</v>
      </c>
      <c r="AD374" s="18"/>
      <c r="AE374" s="28" t="s">
        <v>14</v>
      </c>
      <c r="AF374" s="47" t="str">
        <f t="shared" si="47"/>
        <v>NA</v>
      </c>
      <c r="AG374" s="8" t="str">
        <f t="shared" si="50"/>
        <v>NÃO AVALIADO POR FALHA DE SINCRONISMO</v>
      </c>
      <c r="AH374" s="28" t="s">
        <v>108</v>
      </c>
      <c r="AI374" s="66" t="s">
        <v>1</v>
      </c>
      <c r="AJ374" s="22" t="str">
        <f t="shared" si="48"/>
        <v>GUARULHOS</v>
      </c>
      <c r="AK374" s="69" t="s">
        <v>4</v>
      </c>
    </row>
    <row r="375" spans="1:37" ht="30" customHeight="1" x14ac:dyDescent="0.2">
      <c r="A375" s="82" t="s">
        <v>101</v>
      </c>
      <c r="B375" s="82">
        <v>2617140535</v>
      </c>
      <c r="C375" s="82" t="s">
        <v>1186</v>
      </c>
      <c r="D375" s="82" t="s">
        <v>27</v>
      </c>
      <c r="E375" s="82" t="s">
        <v>102</v>
      </c>
      <c r="F375" s="82" t="s">
        <v>402</v>
      </c>
      <c r="G375" s="82">
        <v>75</v>
      </c>
      <c r="H375" s="82" t="s">
        <v>1322</v>
      </c>
      <c r="I375" s="82" t="s">
        <v>403</v>
      </c>
      <c r="J375" s="82" t="s">
        <v>1188</v>
      </c>
      <c r="K375" s="82" t="s">
        <v>1299</v>
      </c>
      <c r="L375" s="82" t="s">
        <v>1253</v>
      </c>
      <c r="M375" s="82" t="s">
        <v>1323</v>
      </c>
      <c r="N375" s="82" t="s">
        <v>205</v>
      </c>
      <c r="O375" s="36" t="s">
        <v>14</v>
      </c>
      <c r="P375" s="18"/>
      <c r="Q375" s="28" t="s">
        <v>14</v>
      </c>
      <c r="R375" s="18"/>
      <c r="S375" s="28" t="s">
        <v>14</v>
      </c>
      <c r="T375" s="18"/>
      <c r="U375" s="28" t="s">
        <v>14</v>
      </c>
      <c r="V375" s="18"/>
      <c r="W375" s="28" t="s">
        <v>14</v>
      </c>
      <c r="X375" s="18"/>
      <c r="Y375" s="28" t="s">
        <v>14</v>
      </c>
      <c r="Z375" s="18"/>
      <c r="AA375" s="28" t="s">
        <v>14</v>
      </c>
      <c r="AB375" s="18"/>
      <c r="AC375" s="28" t="s">
        <v>14</v>
      </c>
      <c r="AD375" s="18"/>
      <c r="AE375" s="28" t="s">
        <v>14</v>
      </c>
      <c r="AF375" s="47" t="str">
        <f t="shared" si="47"/>
        <v>NA</v>
      </c>
      <c r="AG375" s="8" t="str">
        <f t="shared" si="50"/>
        <v>NÃO AVALIADO POR FALHA DE SINCRONISMO</v>
      </c>
      <c r="AH375" s="28" t="s">
        <v>108</v>
      </c>
      <c r="AI375" s="66" t="s">
        <v>1</v>
      </c>
      <c r="AJ375" s="22" t="str">
        <f t="shared" si="48"/>
        <v>GUARULHOS</v>
      </c>
      <c r="AK375" s="69" t="s">
        <v>4</v>
      </c>
    </row>
    <row r="376" spans="1:37" ht="30" customHeight="1" x14ac:dyDescent="0.2">
      <c r="A376" s="82" t="s">
        <v>101</v>
      </c>
      <c r="B376" s="82">
        <v>2616194514</v>
      </c>
      <c r="C376" s="82" t="s">
        <v>1186</v>
      </c>
      <c r="D376" s="82" t="s">
        <v>27</v>
      </c>
      <c r="E376" s="82" t="s">
        <v>102</v>
      </c>
      <c r="F376" s="82" t="s">
        <v>402</v>
      </c>
      <c r="G376" s="82">
        <v>61</v>
      </c>
      <c r="H376" s="82" t="s">
        <v>174</v>
      </c>
      <c r="I376" s="82" t="s">
        <v>403</v>
      </c>
      <c r="J376" s="82" t="s">
        <v>1188</v>
      </c>
      <c r="K376" s="82" t="s">
        <v>1299</v>
      </c>
      <c r="L376" s="82" t="s">
        <v>1253</v>
      </c>
      <c r="M376" s="82" t="s">
        <v>1324</v>
      </c>
      <c r="N376" s="82" t="s">
        <v>205</v>
      </c>
      <c r="O376" s="36" t="s">
        <v>14</v>
      </c>
      <c r="P376" s="18"/>
      <c r="Q376" s="28" t="s">
        <v>14</v>
      </c>
      <c r="R376" s="18"/>
      <c r="S376" s="28" t="s">
        <v>14</v>
      </c>
      <c r="T376" s="18"/>
      <c r="U376" s="28" t="s">
        <v>14</v>
      </c>
      <c r="V376" s="18"/>
      <c r="W376" s="28" t="s">
        <v>14</v>
      </c>
      <c r="X376" s="18"/>
      <c r="Y376" s="28" t="s">
        <v>14</v>
      </c>
      <c r="Z376" s="18"/>
      <c r="AA376" s="28" t="s">
        <v>14</v>
      </c>
      <c r="AB376" s="18"/>
      <c r="AC376" s="28" t="s">
        <v>14</v>
      </c>
      <c r="AD376" s="18"/>
      <c r="AE376" s="28" t="s">
        <v>14</v>
      </c>
      <c r="AF376" s="47" t="str">
        <f t="shared" si="47"/>
        <v>NA</v>
      </c>
      <c r="AG376" s="8" t="str">
        <f t="shared" si="50"/>
        <v>NÃO AVALIADO POR FALHA DE SINCRONISMO</v>
      </c>
      <c r="AH376" s="28" t="s">
        <v>108</v>
      </c>
      <c r="AI376" s="66" t="s">
        <v>1</v>
      </c>
      <c r="AJ376" s="22" t="str">
        <f t="shared" si="48"/>
        <v>GUARULHOS</v>
      </c>
      <c r="AK376" s="69" t="s">
        <v>4</v>
      </c>
    </row>
    <row r="377" spans="1:37" ht="30" customHeight="1" x14ac:dyDescent="0.2">
      <c r="A377" s="82" t="s">
        <v>101</v>
      </c>
      <c r="B377" s="82">
        <v>2617139878</v>
      </c>
      <c r="C377" s="82" t="s">
        <v>1186</v>
      </c>
      <c r="D377" s="82" t="s">
        <v>27</v>
      </c>
      <c r="E377" s="82" t="s">
        <v>102</v>
      </c>
      <c r="F377" s="82" t="s">
        <v>614</v>
      </c>
      <c r="G377" s="82">
        <v>95</v>
      </c>
      <c r="H377" s="82"/>
      <c r="I377" s="82" t="s">
        <v>191</v>
      </c>
      <c r="J377" s="82" t="s">
        <v>1188</v>
      </c>
      <c r="K377" s="82" t="s">
        <v>1326</v>
      </c>
      <c r="L377" s="82" t="s">
        <v>1253</v>
      </c>
      <c r="M377" s="82" t="s">
        <v>1327</v>
      </c>
      <c r="N377" s="82" t="s">
        <v>205</v>
      </c>
      <c r="O377" s="36" t="s">
        <v>14</v>
      </c>
      <c r="P377" s="18"/>
      <c r="Q377" s="28" t="s">
        <v>14</v>
      </c>
      <c r="R377" s="18"/>
      <c r="S377" s="28" t="s">
        <v>14</v>
      </c>
      <c r="T377" s="18"/>
      <c r="U377" s="28" t="s">
        <v>14</v>
      </c>
      <c r="V377" s="18"/>
      <c r="W377" s="28" t="s">
        <v>14</v>
      </c>
      <c r="X377" s="18"/>
      <c r="Y377" s="28" t="s">
        <v>14</v>
      </c>
      <c r="Z377" s="18"/>
      <c r="AA377" s="28" t="s">
        <v>14</v>
      </c>
      <c r="AB377" s="18"/>
      <c r="AC377" s="28" t="s">
        <v>14</v>
      </c>
      <c r="AD377" s="18"/>
      <c r="AE377" s="28" t="s">
        <v>14</v>
      </c>
      <c r="AF377" s="47" t="str">
        <f t="shared" si="47"/>
        <v>NA</v>
      </c>
      <c r="AG377" s="8" t="str">
        <f t="shared" si="50"/>
        <v>NÃO AVALIADO POR FALHA DE SINCRONISMO</v>
      </c>
      <c r="AH377" s="28" t="s">
        <v>108</v>
      </c>
      <c r="AI377" s="66" t="s">
        <v>1</v>
      </c>
      <c r="AJ377" s="22" t="str">
        <f t="shared" si="48"/>
        <v>GUARULHOS</v>
      </c>
      <c r="AK377" s="69" t="s">
        <v>4</v>
      </c>
    </row>
    <row r="378" spans="1:37" ht="30" customHeight="1" x14ac:dyDescent="0.2">
      <c r="A378" s="82" t="s">
        <v>101</v>
      </c>
      <c r="B378" s="82">
        <v>2616219614</v>
      </c>
      <c r="C378" s="82" t="s">
        <v>1186</v>
      </c>
      <c r="D378" s="82" t="s">
        <v>27</v>
      </c>
      <c r="E378" s="82" t="s">
        <v>102</v>
      </c>
      <c r="F378" s="82" t="s">
        <v>791</v>
      </c>
      <c r="G378" s="82">
        <v>81</v>
      </c>
      <c r="H378" s="82" t="s">
        <v>117</v>
      </c>
      <c r="I378" s="82" t="s">
        <v>793</v>
      </c>
      <c r="J378" s="82" t="s">
        <v>1188</v>
      </c>
      <c r="K378" s="82" t="s">
        <v>1299</v>
      </c>
      <c r="L378" s="82" t="s">
        <v>1253</v>
      </c>
      <c r="M378" s="82" t="s">
        <v>1331</v>
      </c>
      <c r="N378" s="82" t="s">
        <v>205</v>
      </c>
      <c r="O378" s="36" t="s">
        <v>14</v>
      </c>
      <c r="P378" s="18"/>
      <c r="Q378" s="28" t="s">
        <v>14</v>
      </c>
      <c r="R378" s="18"/>
      <c r="S378" s="28" t="s">
        <v>14</v>
      </c>
      <c r="T378" s="18"/>
      <c r="U378" s="28" t="s">
        <v>14</v>
      </c>
      <c r="V378" s="18"/>
      <c r="W378" s="28" t="s">
        <v>14</v>
      </c>
      <c r="X378" s="18"/>
      <c r="Y378" s="28" t="s">
        <v>14</v>
      </c>
      <c r="Z378" s="18"/>
      <c r="AA378" s="28" t="s">
        <v>14</v>
      </c>
      <c r="AB378" s="18"/>
      <c r="AC378" s="28" t="s">
        <v>14</v>
      </c>
      <c r="AD378" s="18"/>
      <c r="AE378" s="28" t="s">
        <v>14</v>
      </c>
      <c r="AF378" s="47" t="str">
        <f t="shared" si="47"/>
        <v>NA</v>
      </c>
      <c r="AG378" s="8" t="str">
        <f t="shared" si="50"/>
        <v>NÃO AVALIADO POR FALHA DE SINCRONISMO</v>
      </c>
      <c r="AH378" s="28" t="s">
        <v>108</v>
      </c>
      <c r="AI378" s="66" t="s">
        <v>1</v>
      </c>
      <c r="AJ378" s="22" t="str">
        <f t="shared" si="48"/>
        <v>GUARULHOS</v>
      </c>
      <c r="AK378" s="69" t="s">
        <v>4</v>
      </c>
    </row>
    <row r="379" spans="1:37" ht="30" customHeight="1" x14ac:dyDescent="0.2">
      <c r="A379" s="82" t="s">
        <v>101</v>
      </c>
      <c r="B379" s="82">
        <v>2616219754</v>
      </c>
      <c r="C379" s="82" t="s">
        <v>1186</v>
      </c>
      <c r="D379" s="82" t="s">
        <v>27</v>
      </c>
      <c r="E379" s="82" t="s">
        <v>102</v>
      </c>
      <c r="F379" s="82" t="s">
        <v>791</v>
      </c>
      <c r="G379" s="82">
        <v>73</v>
      </c>
      <c r="H379" s="82"/>
      <c r="I379" s="82" t="s">
        <v>793</v>
      </c>
      <c r="J379" s="82" t="s">
        <v>1188</v>
      </c>
      <c r="K379" s="82" t="s">
        <v>1299</v>
      </c>
      <c r="L379" s="82" t="s">
        <v>1253</v>
      </c>
      <c r="M379" s="82" t="s">
        <v>1332</v>
      </c>
      <c r="N379" s="82" t="s">
        <v>205</v>
      </c>
      <c r="O379" s="36" t="s">
        <v>14</v>
      </c>
      <c r="P379" s="18"/>
      <c r="Q379" s="28" t="s">
        <v>14</v>
      </c>
      <c r="R379" s="18"/>
      <c r="S379" s="28" t="s">
        <v>14</v>
      </c>
      <c r="T379" s="18"/>
      <c r="U379" s="28" t="s">
        <v>14</v>
      </c>
      <c r="V379" s="18"/>
      <c r="W379" s="28" t="s">
        <v>14</v>
      </c>
      <c r="X379" s="18"/>
      <c r="Y379" s="28" t="s">
        <v>14</v>
      </c>
      <c r="Z379" s="18"/>
      <c r="AA379" s="28" t="s">
        <v>14</v>
      </c>
      <c r="AB379" s="18"/>
      <c r="AC379" s="28" t="s">
        <v>14</v>
      </c>
      <c r="AD379" s="18"/>
      <c r="AE379" s="28" t="s">
        <v>14</v>
      </c>
      <c r="AF379" s="47" t="str">
        <f t="shared" si="47"/>
        <v>NA</v>
      </c>
      <c r="AG379" s="8" t="str">
        <f t="shared" si="50"/>
        <v>NÃO AVALIADO POR FALHA DE SINCRONISMO</v>
      </c>
      <c r="AH379" s="28" t="s">
        <v>108</v>
      </c>
      <c r="AI379" s="66" t="s">
        <v>1</v>
      </c>
      <c r="AJ379" s="22" t="str">
        <f t="shared" si="48"/>
        <v>GUARULHOS</v>
      </c>
      <c r="AK379" s="69" t="s">
        <v>4</v>
      </c>
    </row>
    <row r="380" spans="1:37" ht="30" customHeight="1" x14ac:dyDescent="0.2">
      <c r="A380" s="82" t="s">
        <v>101</v>
      </c>
      <c r="B380" s="82">
        <v>2617139724</v>
      </c>
      <c r="C380" s="82" t="s">
        <v>1186</v>
      </c>
      <c r="D380" s="82" t="s">
        <v>27</v>
      </c>
      <c r="E380" s="82" t="s">
        <v>102</v>
      </c>
      <c r="F380" s="82" t="s">
        <v>614</v>
      </c>
      <c r="G380" s="82">
        <v>225</v>
      </c>
      <c r="H380" s="82" t="s">
        <v>117</v>
      </c>
      <c r="I380" s="82" t="s">
        <v>191</v>
      </c>
      <c r="J380" s="82" t="s">
        <v>1188</v>
      </c>
      <c r="K380" s="82" t="s">
        <v>1299</v>
      </c>
      <c r="L380" s="82" t="s">
        <v>1253</v>
      </c>
      <c r="M380" s="82" t="s">
        <v>1333</v>
      </c>
      <c r="N380" s="82" t="s">
        <v>205</v>
      </c>
      <c r="O380" s="36" t="s">
        <v>14</v>
      </c>
      <c r="P380" s="18"/>
      <c r="Q380" s="28" t="s">
        <v>14</v>
      </c>
      <c r="R380" s="18"/>
      <c r="S380" s="28" t="s">
        <v>14</v>
      </c>
      <c r="T380" s="18"/>
      <c r="U380" s="28" t="s">
        <v>14</v>
      </c>
      <c r="V380" s="18"/>
      <c r="W380" s="28" t="s">
        <v>14</v>
      </c>
      <c r="X380" s="18"/>
      <c r="Y380" s="28" t="s">
        <v>14</v>
      </c>
      <c r="Z380" s="18"/>
      <c r="AA380" s="28" t="s">
        <v>14</v>
      </c>
      <c r="AB380" s="18"/>
      <c r="AC380" s="28" t="s">
        <v>14</v>
      </c>
      <c r="AD380" s="18"/>
      <c r="AE380" s="28" t="s">
        <v>14</v>
      </c>
      <c r="AF380" s="47" t="str">
        <f t="shared" si="47"/>
        <v>NA</v>
      </c>
      <c r="AG380" s="8" t="str">
        <f t="shared" si="50"/>
        <v>NÃO AVALIADO POR FALHA DE SINCRONISMO</v>
      </c>
      <c r="AH380" s="28" t="s">
        <v>108</v>
      </c>
      <c r="AI380" s="66" t="s">
        <v>1</v>
      </c>
      <c r="AJ380" s="22" t="str">
        <f t="shared" si="48"/>
        <v>GUARULHOS</v>
      </c>
      <c r="AK380" s="69" t="s">
        <v>4</v>
      </c>
    </row>
    <row r="381" spans="1:37" ht="30" customHeight="1" x14ac:dyDescent="0.2">
      <c r="A381" s="82" t="s">
        <v>101</v>
      </c>
      <c r="B381" s="82">
        <v>2616243665</v>
      </c>
      <c r="C381" s="82" t="s">
        <v>1186</v>
      </c>
      <c r="D381" s="82" t="s">
        <v>27</v>
      </c>
      <c r="E381" s="82" t="s">
        <v>102</v>
      </c>
      <c r="F381" s="82" t="s">
        <v>1187</v>
      </c>
      <c r="G381" s="82">
        <v>49</v>
      </c>
      <c r="H381" s="82" t="s">
        <v>1334</v>
      </c>
      <c r="I381" s="82" t="s">
        <v>191</v>
      </c>
      <c r="J381" s="82" t="s">
        <v>1188</v>
      </c>
      <c r="K381" s="82" t="s">
        <v>1335</v>
      </c>
      <c r="L381" s="82" t="s">
        <v>1253</v>
      </c>
      <c r="M381" s="82" t="s">
        <v>1336</v>
      </c>
      <c r="N381" s="82" t="s">
        <v>205</v>
      </c>
      <c r="O381" s="36" t="s">
        <v>14</v>
      </c>
      <c r="P381" s="18"/>
      <c r="Q381" s="28" t="s">
        <v>14</v>
      </c>
      <c r="R381" s="18"/>
      <c r="S381" s="28" t="s">
        <v>14</v>
      </c>
      <c r="T381" s="18"/>
      <c r="U381" s="28" t="s">
        <v>14</v>
      </c>
      <c r="V381" s="18"/>
      <c r="W381" s="28" t="s">
        <v>14</v>
      </c>
      <c r="X381" s="18"/>
      <c r="Y381" s="28" t="s">
        <v>14</v>
      </c>
      <c r="Z381" s="18"/>
      <c r="AA381" s="28" t="s">
        <v>14</v>
      </c>
      <c r="AB381" s="18"/>
      <c r="AC381" s="28" t="s">
        <v>14</v>
      </c>
      <c r="AD381" s="18"/>
      <c r="AE381" s="28" t="s">
        <v>14</v>
      </c>
      <c r="AF381" s="47" t="str">
        <f t="shared" si="47"/>
        <v>NA</v>
      </c>
      <c r="AG381" s="8" t="str">
        <f t="shared" si="50"/>
        <v>NÃO AVALIADO POR FALHA DE SINCRONISMO</v>
      </c>
      <c r="AH381" s="28" t="s">
        <v>108</v>
      </c>
      <c r="AI381" s="66" t="s">
        <v>1</v>
      </c>
      <c r="AJ381" s="22" t="str">
        <f t="shared" si="48"/>
        <v>GUARULHOS</v>
      </c>
      <c r="AK381" s="69" t="s">
        <v>4</v>
      </c>
    </row>
    <row r="382" spans="1:37" ht="30" customHeight="1" x14ac:dyDescent="0.2">
      <c r="A382" s="82" t="s">
        <v>101</v>
      </c>
      <c r="B382" s="82">
        <v>2617139398</v>
      </c>
      <c r="C382" s="82" t="s">
        <v>1186</v>
      </c>
      <c r="D382" s="82" t="s">
        <v>27</v>
      </c>
      <c r="E382" s="82" t="s">
        <v>102</v>
      </c>
      <c r="F382" s="82" t="s">
        <v>402</v>
      </c>
      <c r="G382" s="82">
        <v>75</v>
      </c>
      <c r="H382" s="82" t="s">
        <v>1337</v>
      </c>
      <c r="I382" s="82" t="s">
        <v>403</v>
      </c>
      <c r="J382" s="82" t="s">
        <v>1188</v>
      </c>
      <c r="K382" s="82" t="s">
        <v>1326</v>
      </c>
      <c r="L382" s="82" t="s">
        <v>1253</v>
      </c>
      <c r="M382" s="82" t="s">
        <v>1338</v>
      </c>
      <c r="N382" s="82" t="s">
        <v>205</v>
      </c>
      <c r="O382" s="36" t="s">
        <v>14</v>
      </c>
      <c r="P382" s="18"/>
      <c r="Q382" s="28" t="s">
        <v>14</v>
      </c>
      <c r="R382" s="18"/>
      <c r="S382" s="28" t="s">
        <v>14</v>
      </c>
      <c r="T382" s="18"/>
      <c r="U382" s="28" t="s">
        <v>14</v>
      </c>
      <c r="V382" s="18"/>
      <c r="W382" s="28" t="s">
        <v>14</v>
      </c>
      <c r="X382" s="18"/>
      <c r="Y382" s="28" t="s">
        <v>14</v>
      </c>
      <c r="Z382" s="18"/>
      <c r="AA382" s="28" t="s">
        <v>14</v>
      </c>
      <c r="AB382" s="18"/>
      <c r="AC382" s="28" t="s">
        <v>14</v>
      </c>
      <c r="AD382" s="18"/>
      <c r="AE382" s="28" t="s">
        <v>14</v>
      </c>
      <c r="AF382" s="47" t="str">
        <f t="shared" si="47"/>
        <v>NA</v>
      </c>
      <c r="AG382" s="8" t="str">
        <f t="shared" si="50"/>
        <v>NÃO AVALIADO POR FALHA DE SINCRONISMO</v>
      </c>
      <c r="AH382" s="28" t="s">
        <v>108</v>
      </c>
      <c r="AI382" s="66" t="s">
        <v>1</v>
      </c>
      <c r="AJ382" s="22" t="str">
        <f t="shared" si="48"/>
        <v>GUARULHOS</v>
      </c>
      <c r="AK382" s="69" t="s">
        <v>4</v>
      </c>
    </row>
    <row r="383" spans="1:37" ht="30" customHeight="1" x14ac:dyDescent="0.2">
      <c r="A383" s="82" t="s">
        <v>101</v>
      </c>
      <c r="B383" s="82">
        <v>2617139520</v>
      </c>
      <c r="C383" s="82" t="s">
        <v>1186</v>
      </c>
      <c r="D383" s="82" t="s">
        <v>27</v>
      </c>
      <c r="E383" s="82" t="s">
        <v>102</v>
      </c>
      <c r="F383" s="82" t="s">
        <v>800</v>
      </c>
      <c r="G383" s="82">
        <v>10</v>
      </c>
      <c r="H383" s="82" t="s">
        <v>174</v>
      </c>
      <c r="I383" s="82" t="s">
        <v>793</v>
      </c>
      <c r="J383" s="82" t="s">
        <v>1188</v>
      </c>
      <c r="K383" s="82" t="s">
        <v>1299</v>
      </c>
      <c r="L383" s="82" t="s">
        <v>1253</v>
      </c>
      <c r="M383" s="82" t="s">
        <v>1339</v>
      </c>
      <c r="N383" s="82" t="s">
        <v>205</v>
      </c>
      <c r="O383" s="36" t="s">
        <v>14</v>
      </c>
      <c r="P383" s="18"/>
      <c r="Q383" s="28" t="s">
        <v>14</v>
      </c>
      <c r="R383" s="18"/>
      <c r="S383" s="28" t="s">
        <v>14</v>
      </c>
      <c r="T383" s="18"/>
      <c r="U383" s="28" t="s">
        <v>14</v>
      </c>
      <c r="V383" s="18"/>
      <c r="W383" s="28" t="s">
        <v>14</v>
      </c>
      <c r="X383" s="18"/>
      <c r="Y383" s="28" t="s">
        <v>14</v>
      </c>
      <c r="Z383" s="18"/>
      <c r="AA383" s="28" t="s">
        <v>14</v>
      </c>
      <c r="AB383" s="18"/>
      <c r="AC383" s="28" t="s">
        <v>14</v>
      </c>
      <c r="AD383" s="18"/>
      <c r="AE383" s="28" t="s">
        <v>14</v>
      </c>
      <c r="AF383" s="47" t="str">
        <f t="shared" si="47"/>
        <v>NA</v>
      </c>
      <c r="AG383" s="8" t="str">
        <f t="shared" si="50"/>
        <v>NÃO AVALIADO POR FALHA DE SINCRONISMO</v>
      </c>
      <c r="AH383" s="28" t="s">
        <v>108</v>
      </c>
      <c r="AI383" s="66" t="s">
        <v>1</v>
      </c>
      <c r="AJ383" s="22" t="str">
        <f t="shared" si="48"/>
        <v>GUARULHOS</v>
      </c>
      <c r="AK383" s="69" t="s">
        <v>4</v>
      </c>
    </row>
    <row r="384" spans="1:37" ht="30" customHeight="1" x14ac:dyDescent="0.2">
      <c r="A384" s="82" t="s">
        <v>101</v>
      </c>
      <c r="B384" s="82">
        <v>2617177687</v>
      </c>
      <c r="C384" s="82" t="s">
        <v>50</v>
      </c>
      <c r="D384" s="82" t="s">
        <v>29</v>
      </c>
      <c r="E384" s="82" t="s">
        <v>102</v>
      </c>
      <c r="F384" s="82" t="s">
        <v>791</v>
      </c>
      <c r="G384" s="82">
        <v>67</v>
      </c>
      <c r="H384" s="82" t="s">
        <v>1342</v>
      </c>
      <c r="I384" s="82" t="s">
        <v>793</v>
      </c>
      <c r="J384" s="82" t="s">
        <v>130</v>
      </c>
      <c r="K384" s="82" t="s">
        <v>1325</v>
      </c>
      <c r="L384" s="82" t="s">
        <v>1253</v>
      </c>
      <c r="M384" s="82" t="s">
        <v>1343</v>
      </c>
      <c r="N384" s="82" t="s">
        <v>205</v>
      </c>
      <c r="O384" s="36" t="s">
        <v>14</v>
      </c>
      <c r="P384" s="18"/>
      <c r="Q384" s="28" t="s">
        <v>14</v>
      </c>
      <c r="R384" s="18"/>
      <c r="S384" s="28" t="s">
        <v>14</v>
      </c>
      <c r="T384" s="18"/>
      <c r="U384" s="28" t="s">
        <v>14</v>
      </c>
      <c r="V384" s="18"/>
      <c r="W384" s="28" t="s">
        <v>14</v>
      </c>
      <c r="X384" s="18"/>
      <c r="Y384" s="28" t="s">
        <v>14</v>
      </c>
      <c r="Z384" s="18"/>
      <c r="AA384" s="28" t="s">
        <v>14</v>
      </c>
      <c r="AB384" s="18"/>
      <c r="AC384" s="28" t="s">
        <v>14</v>
      </c>
      <c r="AD384" s="18"/>
      <c r="AE384" s="28" t="s">
        <v>14</v>
      </c>
      <c r="AF384" s="47" t="str">
        <f t="shared" si="47"/>
        <v>NA</v>
      </c>
      <c r="AG384" s="8" t="str">
        <f t="shared" si="50"/>
        <v>NÃO AVALIADO POR FALHA DE SINCRONISMO</v>
      </c>
      <c r="AH384" s="28" t="s">
        <v>108</v>
      </c>
      <c r="AI384" s="66" t="s">
        <v>1</v>
      </c>
      <c r="AJ384" s="22" t="str">
        <f t="shared" si="48"/>
        <v>GUARULHOS</v>
      </c>
      <c r="AK384" s="69" t="s">
        <v>4</v>
      </c>
    </row>
    <row r="385" spans="1:37" ht="30" customHeight="1" x14ac:dyDescent="0.2">
      <c r="A385" s="82" t="s">
        <v>101</v>
      </c>
      <c r="B385" s="82">
        <v>2617118452</v>
      </c>
      <c r="C385" s="82" t="s">
        <v>44</v>
      </c>
      <c r="D385" s="82" t="s">
        <v>29</v>
      </c>
      <c r="E385" s="82" t="s">
        <v>102</v>
      </c>
      <c r="F385" s="82" t="s">
        <v>555</v>
      </c>
      <c r="G385" s="82">
        <v>983</v>
      </c>
      <c r="H385" s="82"/>
      <c r="I385" s="82" t="s">
        <v>1345</v>
      </c>
      <c r="J385" s="82" t="s">
        <v>194</v>
      </c>
      <c r="K385" s="82"/>
      <c r="L385" s="82" t="s">
        <v>1253</v>
      </c>
      <c r="M385" s="82" t="s">
        <v>1346</v>
      </c>
      <c r="N385" s="82" t="s">
        <v>163</v>
      </c>
      <c r="O385" s="35" t="s">
        <v>108</v>
      </c>
      <c r="P385" s="25"/>
      <c r="Q385" s="26" t="s">
        <v>108</v>
      </c>
      <c r="R385" s="25"/>
      <c r="S385" s="26" t="s">
        <v>108</v>
      </c>
      <c r="T385" s="25"/>
      <c r="U385" s="26" t="s">
        <v>108</v>
      </c>
      <c r="V385" s="25"/>
      <c r="W385" s="26" t="s">
        <v>108</v>
      </c>
      <c r="X385" s="25"/>
      <c r="Y385" s="26" t="s">
        <v>108</v>
      </c>
      <c r="Z385" s="25"/>
      <c r="AA385" s="26" t="s">
        <v>108</v>
      </c>
      <c r="AB385" s="25"/>
      <c r="AC385" s="26" t="s">
        <v>108</v>
      </c>
      <c r="AD385" s="10"/>
      <c r="AE385" s="26" t="s">
        <v>108</v>
      </c>
      <c r="AF385" s="47" t="str">
        <f t="shared" si="47"/>
        <v>C</v>
      </c>
      <c r="AG385" s="8" t="str">
        <f t="shared" si="50"/>
        <v>UTILIZOU O PDA CORRETAMENTE</v>
      </c>
      <c r="AH385" s="26" t="s">
        <v>108</v>
      </c>
      <c r="AI385" s="66" t="s">
        <v>1</v>
      </c>
      <c r="AJ385" s="22" t="str">
        <f t="shared" si="48"/>
        <v>GUARULHOS</v>
      </c>
      <c r="AK385" s="69" t="s">
        <v>4</v>
      </c>
    </row>
    <row r="386" spans="1:37" ht="30" customHeight="1" x14ac:dyDescent="0.2">
      <c r="A386" s="82" t="s">
        <v>101</v>
      </c>
      <c r="B386" s="82">
        <v>2617125387</v>
      </c>
      <c r="C386" s="82" t="s">
        <v>47</v>
      </c>
      <c r="D386" s="82" t="s">
        <v>29</v>
      </c>
      <c r="E386" s="82" t="s">
        <v>102</v>
      </c>
      <c r="F386" s="82" t="s">
        <v>1347</v>
      </c>
      <c r="G386" s="82">
        <v>126</v>
      </c>
      <c r="H386" s="82" t="s">
        <v>117</v>
      </c>
      <c r="I386" s="82" t="s">
        <v>581</v>
      </c>
      <c r="J386" s="82" t="s">
        <v>159</v>
      </c>
      <c r="K386" s="82" t="s">
        <v>739</v>
      </c>
      <c r="L386" s="82" t="s">
        <v>1253</v>
      </c>
      <c r="M386" s="82" t="s">
        <v>1348</v>
      </c>
      <c r="N386" s="82" t="s">
        <v>297</v>
      </c>
      <c r="O386" s="36" t="s">
        <v>108</v>
      </c>
      <c r="P386" s="18"/>
      <c r="Q386" s="28" t="s">
        <v>108</v>
      </c>
      <c r="R386" s="18"/>
      <c r="S386" s="28" t="s">
        <v>108</v>
      </c>
      <c r="T386" s="18"/>
      <c r="U386" s="28" t="s">
        <v>108</v>
      </c>
      <c r="V386" s="18"/>
      <c r="W386" s="28" t="s">
        <v>108</v>
      </c>
      <c r="X386" s="18"/>
      <c r="Y386" s="28" t="s">
        <v>14</v>
      </c>
      <c r="Z386" s="18"/>
      <c r="AA386" s="28" t="s">
        <v>108</v>
      </c>
      <c r="AB386" s="18"/>
      <c r="AC386" s="28" t="s">
        <v>108</v>
      </c>
      <c r="AD386" s="18"/>
      <c r="AE386" s="28" t="s">
        <v>108</v>
      </c>
      <c r="AF386" s="47" t="str">
        <f t="shared" si="47"/>
        <v>C</v>
      </c>
      <c r="AG386" s="8" t="str">
        <f t="shared" si="50"/>
        <v>UTILIZOU O PDA CORRETAMENTE</v>
      </c>
      <c r="AH386" s="26" t="s">
        <v>108</v>
      </c>
      <c r="AI386" s="66" t="s">
        <v>1</v>
      </c>
      <c r="AJ386" s="22" t="str">
        <f t="shared" si="48"/>
        <v>GUARULHOS</v>
      </c>
      <c r="AK386" s="69" t="s">
        <v>4</v>
      </c>
    </row>
    <row r="387" spans="1:37" ht="30" customHeight="1" x14ac:dyDescent="0.2">
      <c r="A387" s="82" t="s">
        <v>101</v>
      </c>
      <c r="B387" s="82">
        <v>2617297982</v>
      </c>
      <c r="C387" s="82" t="s">
        <v>45</v>
      </c>
      <c r="D387" s="82" t="s">
        <v>27</v>
      </c>
      <c r="E387" s="82" t="s">
        <v>102</v>
      </c>
      <c r="F387" s="82" t="s">
        <v>515</v>
      </c>
      <c r="G387" s="82">
        <v>128</v>
      </c>
      <c r="H387" s="82" t="s">
        <v>1350</v>
      </c>
      <c r="I387" s="82" t="s">
        <v>261</v>
      </c>
      <c r="J387" s="82" t="s">
        <v>150</v>
      </c>
      <c r="K387" s="82" t="s">
        <v>1351</v>
      </c>
      <c r="L387" s="82" t="s">
        <v>1253</v>
      </c>
      <c r="M387" s="82" t="s">
        <v>1321</v>
      </c>
      <c r="N387" s="82" t="s">
        <v>274</v>
      </c>
      <c r="O387" s="35" t="s">
        <v>108</v>
      </c>
      <c r="P387" s="25"/>
      <c r="Q387" s="26" t="s">
        <v>108</v>
      </c>
      <c r="R387" s="25"/>
      <c r="S387" s="26" t="s">
        <v>108</v>
      </c>
      <c r="T387" s="25"/>
      <c r="U387" s="26" t="s">
        <v>108</v>
      </c>
      <c r="V387" s="25"/>
      <c r="W387" s="26" t="s">
        <v>108</v>
      </c>
      <c r="X387" s="25"/>
      <c r="Y387" s="26" t="s">
        <v>108</v>
      </c>
      <c r="Z387" s="25"/>
      <c r="AA387" s="26" t="s">
        <v>108</v>
      </c>
      <c r="AB387" s="25"/>
      <c r="AC387" s="26" t="s">
        <v>108</v>
      </c>
      <c r="AD387" s="10"/>
      <c r="AE387" s="26" t="s">
        <v>108</v>
      </c>
      <c r="AF387" s="47" t="str">
        <f t="shared" si="47"/>
        <v>C</v>
      </c>
      <c r="AG387" s="8" t="str">
        <f t="shared" si="50"/>
        <v>UTILIZOU O PDA CORRETAMENTE</v>
      </c>
      <c r="AH387" s="26" t="s">
        <v>108</v>
      </c>
      <c r="AI387" s="66" t="s">
        <v>1</v>
      </c>
      <c r="AJ387" s="22" t="str">
        <f t="shared" si="48"/>
        <v>GUARULHOS</v>
      </c>
      <c r="AK387" s="69" t="s">
        <v>4</v>
      </c>
    </row>
    <row r="388" spans="1:37" ht="30" customHeight="1" x14ac:dyDescent="0.2">
      <c r="A388" s="82" t="s">
        <v>101</v>
      </c>
      <c r="B388" s="82">
        <v>2617295397</v>
      </c>
      <c r="C388" s="82" t="s">
        <v>48</v>
      </c>
      <c r="D388" s="82" t="s">
        <v>29</v>
      </c>
      <c r="E388" s="82" t="s">
        <v>102</v>
      </c>
      <c r="F388" s="82" t="s">
        <v>1352</v>
      </c>
      <c r="G388" s="82">
        <v>225</v>
      </c>
      <c r="H388" s="82" t="s">
        <v>1353</v>
      </c>
      <c r="I388" s="82" t="s">
        <v>568</v>
      </c>
      <c r="J388" s="82" t="s">
        <v>170</v>
      </c>
      <c r="K388" s="88" t="s">
        <v>1354</v>
      </c>
      <c r="L388" s="82" t="s">
        <v>1253</v>
      </c>
      <c r="M388" s="82" t="s">
        <v>1355</v>
      </c>
      <c r="N388" s="82" t="s">
        <v>192</v>
      </c>
      <c r="O388" s="36" t="s">
        <v>108</v>
      </c>
      <c r="P388" s="18"/>
      <c r="Q388" s="28" t="s">
        <v>108</v>
      </c>
      <c r="R388" s="18"/>
      <c r="S388" s="28" t="s">
        <v>108</v>
      </c>
      <c r="T388" s="18"/>
      <c r="U388" s="28" t="s">
        <v>108</v>
      </c>
      <c r="V388" s="18"/>
      <c r="W388" s="28" t="s">
        <v>108</v>
      </c>
      <c r="X388" s="18"/>
      <c r="Y388" s="28" t="s">
        <v>14</v>
      </c>
      <c r="Z388" s="18"/>
      <c r="AA388" s="28" t="s">
        <v>108</v>
      </c>
      <c r="AB388" s="18"/>
      <c r="AC388" s="28" t="s">
        <v>108</v>
      </c>
      <c r="AD388" s="18"/>
      <c r="AE388" s="28" t="s">
        <v>108</v>
      </c>
      <c r="AF388" s="47" t="str">
        <f t="shared" si="47"/>
        <v>C</v>
      </c>
      <c r="AG388" s="8" t="str">
        <f t="shared" si="50"/>
        <v>UTILIZOU O PDA CORRETAMENTE</v>
      </c>
      <c r="AH388" s="26" t="s">
        <v>108</v>
      </c>
      <c r="AI388" s="66" t="s">
        <v>1</v>
      </c>
      <c r="AJ388" s="22" t="str">
        <f t="shared" si="48"/>
        <v>GUARULHOS</v>
      </c>
      <c r="AK388" s="69" t="s">
        <v>4</v>
      </c>
    </row>
    <row r="389" spans="1:37" ht="30" customHeight="1" x14ac:dyDescent="0.2">
      <c r="A389" s="82" t="s">
        <v>101</v>
      </c>
      <c r="B389" s="82">
        <v>2691385610</v>
      </c>
      <c r="C389" s="82" t="s">
        <v>36</v>
      </c>
      <c r="D389" s="82" t="s">
        <v>26</v>
      </c>
      <c r="E389" s="82" t="s">
        <v>102</v>
      </c>
      <c r="F389" s="82" t="s">
        <v>525</v>
      </c>
      <c r="G389" s="82">
        <v>171</v>
      </c>
      <c r="H389" s="82" t="s">
        <v>1356</v>
      </c>
      <c r="I389" s="82" t="s">
        <v>204</v>
      </c>
      <c r="J389" s="82" t="s">
        <v>269</v>
      </c>
      <c r="K389" s="82" t="s">
        <v>607</v>
      </c>
      <c r="L389" s="82" t="s">
        <v>1253</v>
      </c>
      <c r="M389" s="82" t="s">
        <v>1261</v>
      </c>
      <c r="N389" s="82" t="s">
        <v>231</v>
      </c>
      <c r="O389" s="36" t="s">
        <v>108</v>
      </c>
      <c r="P389" s="28"/>
      <c r="Q389" s="28" t="s">
        <v>108</v>
      </c>
      <c r="R389" s="65"/>
      <c r="S389" s="28" t="s">
        <v>108</v>
      </c>
      <c r="T389" s="28"/>
      <c r="U389" s="28" t="s">
        <v>108</v>
      </c>
      <c r="V389" s="28"/>
      <c r="W389" s="28" t="s">
        <v>108</v>
      </c>
      <c r="X389" s="28"/>
      <c r="Y389" s="28" t="s">
        <v>14</v>
      </c>
      <c r="Z389" s="28"/>
      <c r="AA389" s="28" t="s">
        <v>108</v>
      </c>
      <c r="AB389" s="28"/>
      <c r="AC389" s="28" t="s">
        <v>108</v>
      </c>
      <c r="AD389" s="28"/>
      <c r="AE389" s="28" t="s">
        <v>108</v>
      </c>
      <c r="AF389" s="47" t="str">
        <f t="shared" si="47"/>
        <v>C</v>
      </c>
      <c r="AG389" s="8" t="str">
        <f t="shared" si="50"/>
        <v>UTILIZOU O PDA CORRETAMENTE</v>
      </c>
      <c r="AH389" s="28"/>
      <c r="AI389" s="66" t="s">
        <v>1</v>
      </c>
      <c r="AJ389" s="22" t="str">
        <f t="shared" si="48"/>
        <v>GUARULHOS</v>
      </c>
      <c r="AK389" s="69" t="s">
        <v>4</v>
      </c>
    </row>
    <row r="390" spans="1:37" ht="30" customHeight="1" x14ac:dyDescent="0.2">
      <c r="A390" s="82" t="s">
        <v>101</v>
      </c>
      <c r="B390" s="82">
        <v>2691368752</v>
      </c>
      <c r="C390" s="82" t="s">
        <v>37</v>
      </c>
      <c r="D390" s="82" t="s">
        <v>26</v>
      </c>
      <c r="E390" s="82" t="s">
        <v>102</v>
      </c>
      <c r="F390" s="82" t="s">
        <v>655</v>
      </c>
      <c r="G390" s="82">
        <v>4086</v>
      </c>
      <c r="H390" s="82" t="s">
        <v>1357</v>
      </c>
      <c r="I390" s="82" t="s">
        <v>367</v>
      </c>
      <c r="J390" s="82" t="s">
        <v>230</v>
      </c>
      <c r="K390" s="82" t="s">
        <v>1358</v>
      </c>
      <c r="L390" s="82" t="s">
        <v>1253</v>
      </c>
      <c r="M390" s="82" t="s">
        <v>1359</v>
      </c>
      <c r="N390" s="82" t="s">
        <v>171</v>
      </c>
      <c r="O390" s="36" t="s">
        <v>108</v>
      </c>
      <c r="P390" s="28"/>
      <c r="Q390" s="28" t="s">
        <v>108</v>
      </c>
      <c r="R390" s="65"/>
      <c r="S390" s="28" t="s">
        <v>108</v>
      </c>
      <c r="T390" s="28"/>
      <c r="U390" s="28" t="s">
        <v>108</v>
      </c>
      <c r="V390" s="28"/>
      <c r="W390" s="28" t="s">
        <v>108</v>
      </c>
      <c r="X390" s="28"/>
      <c r="Y390" s="28" t="s">
        <v>14</v>
      </c>
      <c r="Z390" s="28"/>
      <c r="AA390" s="28" t="s">
        <v>108</v>
      </c>
      <c r="AB390" s="28"/>
      <c r="AC390" s="28" t="s">
        <v>108</v>
      </c>
      <c r="AD390" s="28"/>
      <c r="AE390" s="28" t="s">
        <v>108</v>
      </c>
      <c r="AF390" s="47" t="str">
        <f t="shared" si="47"/>
        <v>C</v>
      </c>
      <c r="AG390" s="8" t="str">
        <f t="shared" si="50"/>
        <v>UTILIZOU O PDA CORRETAMENTE</v>
      </c>
      <c r="AH390" s="28"/>
      <c r="AI390" s="66" t="s">
        <v>1</v>
      </c>
      <c r="AJ390" s="22" t="str">
        <f t="shared" si="48"/>
        <v>GUARULHOS</v>
      </c>
      <c r="AK390" s="69" t="s">
        <v>4</v>
      </c>
    </row>
    <row r="391" spans="1:37" ht="30" customHeight="1" x14ac:dyDescent="0.2">
      <c r="A391" s="82" t="s">
        <v>101</v>
      </c>
      <c r="B391" s="82">
        <v>2691368752</v>
      </c>
      <c r="C391" s="82" t="s">
        <v>43</v>
      </c>
      <c r="D391" s="82" t="s">
        <v>29</v>
      </c>
      <c r="E391" s="82" t="s">
        <v>102</v>
      </c>
      <c r="F391" s="82" t="s">
        <v>655</v>
      </c>
      <c r="G391" s="82">
        <v>4086</v>
      </c>
      <c r="H391" s="82" t="s">
        <v>1357</v>
      </c>
      <c r="I391" s="82" t="s">
        <v>367</v>
      </c>
      <c r="J391" s="82" t="s">
        <v>188</v>
      </c>
      <c r="K391" s="82" t="s">
        <v>1360</v>
      </c>
      <c r="L391" s="82" t="s">
        <v>1253</v>
      </c>
      <c r="M391" s="82" t="s">
        <v>1361</v>
      </c>
      <c r="N391" s="82" t="s">
        <v>171</v>
      </c>
      <c r="O391" s="35" t="s">
        <v>108</v>
      </c>
      <c r="P391" s="25"/>
      <c r="Q391" s="26" t="s">
        <v>108</v>
      </c>
      <c r="R391" s="25"/>
      <c r="S391" s="26" t="s">
        <v>108</v>
      </c>
      <c r="T391" s="25"/>
      <c r="U391" s="26" t="s">
        <v>108</v>
      </c>
      <c r="V391" s="25"/>
      <c r="W391" s="26" t="s">
        <v>108</v>
      </c>
      <c r="X391" s="25"/>
      <c r="Y391" s="26" t="s">
        <v>108</v>
      </c>
      <c r="Z391" s="25"/>
      <c r="AA391" s="26" t="s">
        <v>108</v>
      </c>
      <c r="AB391" s="25"/>
      <c r="AC391" s="26" t="s">
        <v>108</v>
      </c>
      <c r="AD391" s="10"/>
      <c r="AE391" s="26" t="s">
        <v>108</v>
      </c>
      <c r="AF391" s="47" t="str">
        <f t="shared" si="47"/>
        <v>C</v>
      </c>
      <c r="AG391" s="8" t="str">
        <f t="shared" si="50"/>
        <v>UTILIZOU O PDA CORRETAMENTE</v>
      </c>
      <c r="AH391" s="26" t="s">
        <v>108</v>
      </c>
      <c r="AI391" s="66" t="s">
        <v>1</v>
      </c>
      <c r="AJ391" s="22" t="str">
        <f t="shared" si="48"/>
        <v>GUARULHOS</v>
      </c>
      <c r="AK391" s="69" t="s">
        <v>4</v>
      </c>
    </row>
    <row r="392" spans="1:37" ht="30" customHeight="1" x14ac:dyDescent="0.2">
      <c r="A392" s="82" t="s">
        <v>101</v>
      </c>
      <c r="B392" s="82">
        <v>2617314887</v>
      </c>
      <c r="C392" s="82" t="s">
        <v>37</v>
      </c>
      <c r="D392" s="82" t="s">
        <v>26</v>
      </c>
      <c r="E392" s="82" t="s">
        <v>102</v>
      </c>
      <c r="F392" s="82" t="s">
        <v>1362</v>
      </c>
      <c r="G392" s="82">
        <v>442</v>
      </c>
      <c r="H392" s="82" t="s">
        <v>464</v>
      </c>
      <c r="I392" s="82" t="s">
        <v>314</v>
      </c>
      <c r="J392" s="82" t="s">
        <v>230</v>
      </c>
      <c r="K392" s="82" t="s">
        <v>1304</v>
      </c>
      <c r="L392" s="82" t="s">
        <v>1253</v>
      </c>
      <c r="M392" s="82" t="s">
        <v>1363</v>
      </c>
      <c r="N392" s="82" t="s">
        <v>772</v>
      </c>
      <c r="O392" s="36" t="s">
        <v>108</v>
      </c>
      <c r="P392" s="28"/>
      <c r="Q392" s="28" t="s">
        <v>108</v>
      </c>
      <c r="R392" s="65"/>
      <c r="S392" s="28" t="s">
        <v>108</v>
      </c>
      <c r="T392" s="28"/>
      <c r="U392" s="28" t="s">
        <v>108</v>
      </c>
      <c r="V392" s="28"/>
      <c r="W392" s="28" t="s">
        <v>108</v>
      </c>
      <c r="X392" s="28"/>
      <c r="Y392" s="28" t="s">
        <v>14</v>
      </c>
      <c r="Z392" s="28"/>
      <c r="AA392" s="28" t="s">
        <v>108</v>
      </c>
      <c r="AB392" s="28"/>
      <c r="AC392" s="28" t="s">
        <v>108</v>
      </c>
      <c r="AD392" s="28"/>
      <c r="AE392" s="28" t="s">
        <v>108</v>
      </c>
      <c r="AF392" s="47" t="str">
        <f t="shared" si="47"/>
        <v>C</v>
      </c>
      <c r="AG392" s="8" t="str">
        <f t="shared" si="50"/>
        <v>UTILIZOU O PDA CORRETAMENTE</v>
      </c>
      <c r="AH392" s="28"/>
      <c r="AI392" s="66" t="s">
        <v>1</v>
      </c>
      <c r="AJ392" s="22" t="str">
        <f t="shared" si="48"/>
        <v>GUARULHOS</v>
      </c>
      <c r="AK392" s="69" t="s">
        <v>4</v>
      </c>
    </row>
    <row r="393" spans="1:37" ht="30" customHeight="1" x14ac:dyDescent="0.2">
      <c r="A393" s="82" t="s">
        <v>101</v>
      </c>
      <c r="B393" s="82">
        <v>2617319060</v>
      </c>
      <c r="C393" s="82" t="s">
        <v>32</v>
      </c>
      <c r="D393" s="82" t="s">
        <v>28</v>
      </c>
      <c r="E393" s="82" t="s">
        <v>102</v>
      </c>
      <c r="F393" s="82" t="s">
        <v>791</v>
      </c>
      <c r="G393" s="82">
        <v>93</v>
      </c>
      <c r="H393" s="82" t="s">
        <v>117</v>
      </c>
      <c r="I393" s="82" t="s">
        <v>793</v>
      </c>
      <c r="J393" s="82" t="s">
        <v>262</v>
      </c>
      <c r="K393" s="82" t="s">
        <v>1365</v>
      </c>
      <c r="L393" s="82" t="s">
        <v>1285</v>
      </c>
      <c r="M393" s="82" t="s">
        <v>1366</v>
      </c>
      <c r="N393" s="82" t="s">
        <v>772</v>
      </c>
      <c r="O393" s="36" t="s">
        <v>14</v>
      </c>
      <c r="P393" s="18"/>
      <c r="Q393" s="28" t="s">
        <v>14</v>
      </c>
      <c r="R393" s="18"/>
      <c r="S393" s="28" t="s">
        <v>14</v>
      </c>
      <c r="T393" s="18"/>
      <c r="U393" s="28" t="s">
        <v>14</v>
      </c>
      <c r="V393" s="18"/>
      <c r="W393" s="28" t="s">
        <v>14</v>
      </c>
      <c r="X393" s="18"/>
      <c r="Y393" s="28" t="s">
        <v>14</v>
      </c>
      <c r="Z393" s="18"/>
      <c r="AA393" s="28" t="s">
        <v>14</v>
      </c>
      <c r="AB393" s="18"/>
      <c r="AC393" s="28" t="s">
        <v>14</v>
      </c>
      <c r="AD393" s="18"/>
      <c r="AE393" s="28" t="s">
        <v>14</v>
      </c>
      <c r="AF393" s="47" t="str">
        <f t="shared" si="47"/>
        <v>NA</v>
      </c>
      <c r="AG393" s="8" t="s">
        <v>200</v>
      </c>
      <c r="AH393" s="28" t="s">
        <v>108</v>
      </c>
      <c r="AI393" s="66" t="s">
        <v>1</v>
      </c>
      <c r="AJ393" s="22" t="str">
        <f t="shared" si="48"/>
        <v>GUARULHOS</v>
      </c>
      <c r="AK393" s="69" t="s">
        <v>4</v>
      </c>
    </row>
    <row r="394" spans="1:37" ht="30" customHeight="1" x14ac:dyDescent="0.2">
      <c r="A394" s="82" t="s">
        <v>101</v>
      </c>
      <c r="B394" s="82">
        <v>2617319444</v>
      </c>
      <c r="C394" s="82" t="s">
        <v>32</v>
      </c>
      <c r="D394" s="82" t="s">
        <v>28</v>
      </c>
      <c r="E394" s="82" t="s">
        <v>102</v>
      </c>
      <c r="F394" s="82" t="s">
        <v>402</v>
      </c>
      <c r="G394" s="82">
        <v>174</v>
      </c>
      <c r="H394" s="82" t="s">
        <v>1367</v>
      </c>
      <c r="I394" s="82" t="s">
        <v>403</v>
      </c>
      <c r="J394" s="82" t="s">
        <v>262</v>
      </c>
      <c r="K394" s="82" t="s">
        <v>775</v>
      </c>
      <c r="L394" s="82" t="s">
        <v>1285</v>
      </c>
      <c r="M394" s="82" t="s">
        <v>1368</v>
      </c>
      <c r="N394" s="82" t="s">
        <v>772</v>
      </c>
      <c r="O394" s="36" t="s">
        <v>14</v>
      </c>
      <c r="P394" s="18"/>
      <c r="Q394" s="28" t="s">
        <v>14</v>
      </c>
      <c r="R394" s="18"/>
      <c r="S394" s="28" t="s">
        <v>14</v>
      </c>
      <c r="T394" s="18"/>
      <c r="U394" s="28" t="s">
        <v>14</v>
      </c>
      <c r="V394" s="18"/>
      <c r="W394" s="28" t="s">
        <v>14</v>
      </c>
      <c r="X394" s="18"/>
      <c r="Y394" s="28" t="s">
        <v>14</v>
      </c>
      <c r="Z394" s="18"/>
      <c r="AA394" s="28" t="s">
        <v>14</v>
      </c>
      <c r="AB394" s="18"/>
      <c r="AC394" s="28" t="s">
        <v>14</v>
      </c>
      <c r="AD394" s="18"/>
      <c r="AE394" s="28" t="s">
        <v>14</v>
      </c>
      <c r="AF394" s="47" t="str">
        <f t="shared" si="47"/>
        <v>NA</v>
      </c>
      <c r="AG394" s="8" t="s">
        <v>200</v>
      </c>
      <c r="AH394" s="28" t="s">
        <v>108</v>
      </c>
      <c r="AI394" s="66" t="s">
        <v>1</v>
      </c>
      <c r="AJ394" s="22" t="str">
        <f t="shared" si="48"/>
        <v>GUARULHOS</v>
      </c>
      <c r="AK394" s="69" t="s">
        <v>4</v>
      </c>
    </row>
    <row r="395" spans="1:37" ht="30" customHeight="1" x14ac:dyDescent="0.2">
      <c r="A395" s="82" t="s">
        <v>101</v>
      </c>
      <c r="B395" s="82">
        <v>2616850519</v>
      </c>
      <c r="C395" s="82" t="s">
        <v>31</v>
      </c>
      <c r="D395" s="82" t="s">
        <v>25</v>
      </c>
      <c r="E395" s="82" t="s">
        <v>102</v>
      </c>
      <c r="F395" s="82" t="s">
        <v>1371</v>
      </c>
      <c r="G395" s="82">
        <v>239</v>
      </c>
      <c r="H395" s="82" t="s">
        <v>321</v>
      </c>
      <c r="I395" s="82" t="s">
        <v>277</v>
      </c>
      <c r="J395" s="82" t="s">
        <v>123</v>
      </c>
      <c r="K395" s="82" t="s">
        <v>1372</v>
      </c>
      <c r="L395" s="82" t="s">
        <v>1370</v>
      </c>
      <c r="M395" s="82" t="s">
        <v>1373</v>
      </c>
      <c r="N395" s="82" t="s">
        <v>274</v>
      </c>
      <c r="O395" s="36" t="s">
        <v>108</v>
      </c>
      <c r="P395" s="18"/>
      <c r="Q395" s="28" t="s">
        <v>108</v>
      </c>
      <c r="R395" s="18"/>
      <c r="S395" s="28" t="s">
        <v>108</v>
      </c>
      <c r="T395" s="18"/>
      <c r="U395" s="28" t="s">
        <v>108</v>
      </c>
      <c r="V395" s="18"/>
      <c r="W395" s="28" t="s">
        <v>108</v>
      </c>
      <c r="X395" s="18"/>
      <c r="Y395" s="28" t="s">
        <v>114</v>
      </c>
      <c r="Z395" s="18" t="s">
        <v>1374</v>
      </c>
      <c r="AA395" s="28" t="s">
        <v>114</v>
      </c>
      <c r="AB395" s="18" t="s">
        <v>455</v>
      </c>
      <c r="AC395" s="28" t="s">
        <v>108</v>
      </c>
      <c r="AD395" s="18"/>
      <c r="AE395" s="28" t="s">
        <v>108</v>
      </c>
      <c r="AF395" s="47" t="str">
        <f t="shared" si="47"/>
        <v>NC</v>
      </c>
      <c r="AG395" s="8" t="str">
        <f t="shared" ref="AG395:AG409" si="51">IF(AND(AE395="C",AF395="C"),"UTILIZOU O PDA CORRETAMENTE",IF(AND(AE395="C",AF395="NC"),"UTILIZOU O PDA CORRETAMENTE. NÃO HÁ FOTOS DE TODAS AS ETAPAS",IF(AND(AE395="NC",AF395="NC"),"NÃO UTILIZOU O PDA",IF(AND(AE395="NA",AF395="NA"),"NÃO AVALIADO POR FALHA DE SINCRONISMO"))))</f>
        <v>UTILIZOU O PDA CORRETAMENTE. NÃO HÁ FOTOS DE TODAS AS ETAPAS</v>
      </c>
      <c r="AH395" s="28" t="s">
        <v>108</v>
      </c>
      <c r="AI395" s="66" t="s">
        <v>1</v>
      </c>
      <c r="AJ395" s="22" t="str">
        <f t="shared" si="48"/>
        <v>GUARULHOS</v>
      </c>
      <c r="AK395" s="69" t="s">
        <v>4</v>
      </c>
    </row>
    <row r="396" spans="1:37" ht="30" customHeight="1" x14ac:dyDescent="0.2">
      <c r="A396" s="82" t="s">
        <v>101</v>
      </c>
      <c r="B396" s="82">
        <v>2616848812</v>
      </c>
      <c r="C396" s="82" t="s">
        <v>31</v>
      </c>
      <c r="D396" s="82" t="s">
        <v>25</v>
      </c>
      <c r="E396" s="82" t="s">
        <v>102</v>
      </c>
      <c r="F396" s="82" t="s">
        <v>1371</v>
      </c>
      <c r="G396" s="82">
        <v>239</v>
      </c>
      <c r="H396" s="82" t="s">
        <v>322</v>
      </c>
      <c r="I396" s="82" t="s">
        <v>277</v>
      </c>
      <c r="J396" s="82" t="s">
        <v>123</v>
      </c>
      <c r="K396" s="82" t="s">
        <v>1375</v>
      </c>
      <c r="L396" s="82" t="s">
        <v>1370</v>
      </c>
      <c r="M396" s="82" t="s">
        <v>1376</v>
      </c>
      <c r="N396" s="82" t="s">
        <v>274</v>
      </c>
      <c r="O396" s="36" t="s">
        <v>108</v>
      </c>
      <c r="P396" s="18"/>
      <c r="Q396" s="28" t="s">
        <v>108</v>
      </c>
      <c r="R396" s="18"/>
      <c r="S396" s="28" t="s">
        <v>108</v>
      </c>
      <c r="T396" s="18"/>
      <c r="U396" s="28" t="s">
        <v>108</v>
      </c>
      <c r="V396" s="18"/>
      <c r="W396" s="28" t="s">
        <v>108</v>
      </c>
      <c r="X396" s="18"/>
      <c r="Y396" s="28" t="s">
        <v>114</v>
      </c>
      <c r="Z396" s="18" t="s">
        <v>1374</v>
      </c>
      <c r="AA396" s="28" t="s">
        <v>114</v>
      </c>
      <c r="AB396" s="18" t="s">
        <v>455</v>
      </c>
      <c r="AC396" s="28" t="s">
        <v>108</v>
      </c>
      <c r="AD396" s="18"/>
      <c r="AE396" s="28" t="s">
        <v>108</v>
      </c>
      <c r="AF396" s="47" t="str">
        <f t="shared" ref="AF396:AF428" si="52">IF(AND(O396="",Q396="",S396="",U396="",W396="",Y396="",AA396="",AC396=""),"",IF(OR(AND(O396&lt;&gt;"NA",O396&lt;&gt;"C",O396&lt;&gt;"NC",O396&lt;&gt;"SF",O396&lt;&gt;""),AND(Q396&lt;&gt;"NA",Q396&lt;&gt;"C",Q396&lt;&gt;"NC",Q396&lt;&gt;"SF",Q396&lt;&gt;""),AND(S396&lt;&gt;"NA",S396&lt;&gt;"C",S396&lt;&gt;"NC",S396&lt;&gt;"SF",S396&lt;&gt;""),AND(U396&lt;&gt;"NA",U396&lt;&gt;"C",U396&lt;&gt;"NC",U396&lt;&gt;"SF",U396&lt;&gt;""),AND(W396&lt;&gt;"NA",W396&lt;&gt;"C",W396&lt;&gt;"NC",W396&lt;&gt;"SF",W396&lt;&gt;""),AND(Y396&lt;&gt;"NA",Y396&lt;&gt;"C",Y396&lt;&gt;"NC",Y396&lt;&gt;"SF",Y396&lt;&gt;""),AND(AA396&lt;&gt;"NA",AA396&lt;&gt;"C",AA396&lt;&gt;"NC",AA396&lt;&gt;"SF",AA396&lt;&gt;""),AND(AC396&lt;&gt;"NA",AC396&lt;&gt;"C",AC396&lt;&gt;"NC",AC396&lt;&gt;"SF",AC396&lt;&gt;"")),"FALSO",IF(AND(O396="NA",Q396="NA",S396="NA",U396="NA",W396="NA",Y396="NA",AA396="NA",AC396="NA"),"NA",IF(OR(O396="NC",Q396="NC",S396="NC",U396="NC",W396="NC",Y396="NC",AA396="NC",AC396="NC",O396="SF",Q396="SF",S396="SF",U396="SF",W396="SF",Y396="SF",AA396="SF",AC396="SF"),"NC",IF(OR(O396="C",Q396="C",S396="C",U396="C",W396="C",Y396="C",AA396="C",AC396="C"),"C","")))))</f>
        <v>NC</v>
      </c>
      <c r="AG396" s="8" t="str">
        <f t="shared" si="51"/>
        <v>UTILIZOU O PDA CORRETAMENTE. NÃO HÁ FOTOS DE TODAS AS ETAPAS</v>
      </c>
      <c r="AH396" s="28" t="s">
        <v>108</v>
      </c>
      <c r="AI396" s="66" t="s">
        <v>1</v>
      </c>
      <c r="AJ396" s="22" t="str">
        <f t="shared" ref="AJ396:AJ428" si="53">E396</f>
        <v>GUARULHOS</v>
      </c>
      <c r="AK396" s="69" t="s">
        <v>4</v>
      </c>
    </row>
    <row r="397" spans="1:37" ht="30" customHeight="1" x14ac:dyDescent="0.2">
      <c r="A397" s="82" t="s">
        <v>101</v>
      </c>
      <c r="B397" s="82">
        <v>2616899097</v>
      </c>
      <c r="C397" s="82" t="s">
        <v>39</v>
      </c>
      <c r="D397" s="82" t="s">
        <v>25</v>
      </c>
      <c r="E397" s="82" t="s">
        <v>102</v>
      </c>
      <c r="F397" s="82" t="s">
        <v>1340</v>
      </c>
      <c r="G397" s="82">
        <v>1389</v>
      </c>
      <c r="H397" s="82" t="s">
        <v>110</v>
      </c>
      <c r="I397" s="82" t="s">
        <v>307</v>
      </c>
      <c r="J397" s="82" t="s">
        <v>39</v>
      </c>
      <c r="K397" s="82" t="s">
        <v>1378</v>
      </c>
      <c r="L397" s="82" t="s">
        <v>1370</v>
      </c>
      <c r="M397" s="82" t="s">
        <v>1379</v>
      </c>
      <c r="N397" s="82" t="s">
        <v>274</v>
      </c>
      <c r="O397" s="36" t="s">
        <v>108</v>
      </c>
      <c r="P397" s="18"/>
      <c r="Q397" s="28" t="s">
        <v>14</v>
      </c>
      <c r="R397" s="18"/>
      <c r="S397" s="28" t="s">
        <v>14</v>
      </c>
      <c r="T397" s="18"/>
      <c r="U397" s="28" t="s">
        <v>14</v>
      </c>
      <c r="V397" s="18"/>
      <c r="W397" s="28" t="s">
        <v>14</v>
      </c>
      <c r="X397" s="18"/>
      <c r="Y397" s="28" t="s">
        <v>14</v>
      </c>
      <c r="Z397" s="18"/>
      <c r="AA397" s="28" t="s">
        <v>14</v>
      </c>
      <c r="AB397" s="18"/>
      <c r="AC397" s="28" t="s">
        <v>108</v>
      </c>
      <c r="AD397" s="18"/>
      <c r="AE397" s="28" t="s">
        <v>108</v>
      </c>
      <c r="AF397" s="47" t="str">
        <f t="shared" si="52"/>
        <v>C</v>
      </c>
      <c r="AG397" s="8" t="str">
        <f t="shared" si="51"/>
        <v>UTILIZOU O PDA CORRETAMENTE</v>
      </c>
      <c r="AH397" s="28" t="s">
        <v>108</v>
      </c>
      <c r="AI397" s="66" t="s">
        <v>1</v>
      </c>
      <c r="AJ397" s="22" t="str">
        <f t="shared" si="53"/>
        <v>GUARULHOS</v>
      </c>
      <c r="AK397" s="69" t="s">
        <v>4</v>
      </c>
    </row>
    <row r="398" spans="1:37" ht="30" customHeight="1" x14ac:dyDescent="0.2">
      <c r="A398" s="82" t="s">
        <v>101</v>
      </c>
      <c r="B398" s="82">
        <v>2616899104</v>
      </c>
      <c r="C398" s="82" t="s">
        <v>41</v>
      </c>
      <c r="D398" s="82" t="s">
        <v>25</v>
      </c>
      <c r="E398" s="82" t="s">
        <v>102</v>
      </c>
      <c r="F398" s="82" t="s">
        <v>1340</v>
      </c>
      <c r="G398" s="82">
        <v>1389</v>
      </c>
      <c r="H398" s="82" t="s">
        <v>121</v>
      </c>
      <c r="I398" s="82" t="s">
        <v>307</v>
      </c>
      <c r="J398" s="82" t="s">
        <v>41</v>
      </c>
      <c r="K398" s="82" t="s">
        <v>1380</v>
      </c>
      <c r="L398" s="82" t="s">
        <v>1370</v>
      </c>
      <c r="M398" s="82" t="s">
        <v>1381</v>
      </c>
      <c r="N398" s="82" t="s">
        <v>274</v>
      </c>
      <c r="O398" s="36" t="s">
        <v>108</v>
      </c>
      <c r="P398" s="18"/>
      <c r="Q398" s="28" t="s">
        <v>14</v>
      </c>
      <c r="R398" s="18"/>
      <c r="S398" s="28" t="s">
        <v>14</v>
      </c>
      <c r="T398" s="18"/>
      <c r="U398" s="28" t="s">
        <v>14</v>
      </c>
      <c r="V398" s="18"/>
      <c r="W398" s="28" t="s">
        <v>14</v>
      </c>
      <c r="X398" s="18"/>
      <c r="Y398" s="28" t="s">
        <v>14</v>
      </c>
      <c r="Z398" s="18"/>
      <c r="AA398" s="28" t="s">
        <v>14</v>
      </c>
      <c r="AB398" s="18"/>
      <c r="AC398" s="28" t="s">
        <v>108</v>
      </c>
      <c r="AD398" s="18"/>
      <c r="AE398" s="28" t="s">
        <v>108</v>
      </c>
      <c r="AF398" s="47" t="str">
        <f t="shared" si="52"/>
        <v>C</v>
      </c>
      <c r="AG398" s="8" t="str">
        <f t="shared" si="51"/>
        <v>UTILIZOU O PDA CORRETAMENTE</v>
      </c>
      <c r="AH398" s="28" t="s">
        <v>108</v>
      </c>
      <c r="AI398" s="66" t="s">
        <v>1</v>
      </c>
      <c r="AJ398" s="22" t="str">
        <f t="shared" si="53"/>
        <v>GUARULHOS</v>
      </c>
      <c r="AK398" s="69" t="s">
        <v>4</v>
      </c>
    </row>
    <row r="399" spans="1:37" ht="30" customHeight="1" x14ac:dyDescent="0.2">
      <c r="A399" s="82" t="s">
        <v>101</v>
      </c>
      <c r="B399" s="82">
        <v>2616899102</v>
      </c>
      <c r="C399" s="82" t="s">
        <v>41</v>
      </c>
      <c r="D399" s="82" t="s">
        <v>25</v>
      </c>
      <c r="E399" s="82" t="s">
        <v>102</v>
      </c>
      <c r="F399" s="82" t="s">
        <v>1340</v>
      </c>
      <c r="G399" s="82">
        <v>1389</v>
      </c>
      <c r="H399" s="82" t="s">
        <v>115</v>
      </c>
      <c r="I399" s="82" t="s">
        <v>307</v>
      </c>
      <c r="J399" s="82" t="s">
        <v>41</v>
      </c>
      <c r="K399" s="82" t="s">
        <v>1380</v>
      </c>
      <c r="L399" s="82" t="s">
        <v>1370</v>
      </c>
      <c r="M399" s="82" t="s">
        <v>1382</v>
      </c>
      <c r="N399" s="82" t="s">
        <v>274</v>
      </c>
      <c r="O399" s="36" t="s">
        <v>108</v>
      </c>
      <c r="P399" s="18"/>
      <c r="Q399" s="28" t="s">
        <v>14</v>
      </c>
      <c r="R399" s="18"/>
      <c r="S399" s="28" t="s">
        <v>14</v>
      </c>
      <c r="T399" s="18"/>
      <c r="U399" s="28" t="s">
        <v>14</v>
      </c>
      <c r="V399" s="18"/>
      <c r="W399" s="28" t="s">
        <v>14</v>
      </c>
      <c r="X399" s="18"/>
      <c r="Y399" s="28" t="s">
        <v>14</v>
      </c>
      <c r="Z399" s="18"/>
      <c r="AA399" s="28" t="s">
        <v>14</v>
      </c>
      <c r="AB399" s="18"/>
      <c r="AC399" s="28" t="s">
        <v>108</v>
      </c>
      <c r="AD399" s="18"/>
      <c r="AE399" s="28" t="s">
        <v>108</v>
      </c>
      <c r="AF399" s="47" t="str">
        <f t="shared" si="52"/>
        <v>C</v>
      </c>
      <c r="AG399" s="8" t="str">
        <f t="shared" si="51"/>
        <v>UTILIZOU O PDA CORRETAMENTE</v>
      </c>
      <c r="AH399" s="28" t="s">
        <v>108</v>
      </c>
      <c r="AI399" s="66" t="s">
        <v>1</v>
      </c>
      <c r="AJ399" s="22" t="str">
        <f t="shared" si="53"/>
        <v>GUARULHOS</v>
      </c>
      <c r="AK399" s="69" t="s">
        <v>4</v>
      </c>
    </row>
    <row r="400" spans="1:37" ht="30" customHeight="1" x14ac:dyDescent="0.2">
      <c r="A400" s="82" t="s">
        <v>101</v>
      </c>
      <c r="B400" s="82">
        <v>2617118224</v>
      </c>
      <c r="C400" s="82" t="s">
        <v>636</v>
      </c>
      <c r="D400" s="82" t="s">
        <v>29</v>
      </c>
      <c r="E400" s="82" t="s">
        <v>102</v>
      </c>
      <c r="F400" s="82" t="s">
        <v>555</v>
      </c>
      <c r="G400" s="82">
        <v>747</v>
      </c>
      <c r="H400" s="82" t="s">
        <v>138</v>
      </c>
      <c r="I400" s="82" t="s">
        <v>556</v>
      </c>
      <c r="J400" s="82" t="s">
        <v>637</v>
      </c>
      <c r="K400" s="82" t="s">
        <v>117</v>
      </c>
      <c r="L400" s="82" t="s">
        <v>1253</v>
      </c>
      <c r="M400" s="82" t="s">
        <v>1383</v>
      </c>
      <c r="N400" s="82" t="s">
        <v>163</v>
      </c>
      <c r="O400" s="36" t="s">
        <v>108</v>
      </c>
      <c r="P400" s="18"/>
      <c r="Q400" s="28" t="s">
        <v>108</v>
      </c>
      <c r="R400" s="18"/>
      <c r="S400" s="28" t="s">
        <v>108</v>
      </c>
      <c r="T400" s="18"/>
      <c r="U400" s="28" t="s">
        <v>108</v>
      </c>
      <c r="V400" s="18"/>
      <c r="W400" s="28" t="s">
        <v>108</v>
      </c>
      <c r="X400" s="18"/>
      <c r="Y400" s="28" t="s">
        <v>14</v>
      </c>
      <c r="Z400" s="18"/>
      <c r="AA400" s="28" t="s">
        <v>108</v>
      </c>
      <c r="AB400" s="18"/>
      <c r="AC400" s="28" t="s">
        <v>108</v>
      </c>
      <c r="AD400" s="18"/>
      <c r="AE400" s="28" t="s">
        <v>108</v>
      </c>
      <c r="AF400" s="47" t="str">
        <f t="shared" si="52"/>
        <v>C</v>
      </c>
      <c r="AG400" s="8" t="str">
        <f t="shared" si="51"/>
        <v>UTILIZOU O PDA CORRETAMENTE</v>
      </c>
      <c r="AH400" s="26" t="s">
        <v>108</v>
      </c>
      <c r="AI400" s="66" t="s">
        <v>1</v>
      </c>
      <c r="AJ400" s="22" t="str">
        <f t="shared" si="53"/>
        <v>GUARULHOS</v>
      </c>
      <c r="AK400" s="69" t="s">
        <v>4</v>
      </c>
    </row>
    <row r="401" spans="1:37" ht="30" customHeight="1" x14ac:dyDescent="0.2">
      <c r="A401" s="82" t="s">
        <v>101</v>
      </c>
      <c r="B401" s="82">
        <v>2617362850</v>
      </c>
      <c r="C401" s="82" t="s">
        <v>47</v>
      </c>
      <c r="D401" s="82" t="s">
        <v>29</v>
      </c>
      <c r="E401" s="82" t="s">
        <v>102</v>
      </c>
      <c r="F401" s="82" t="s">
        <v>806</v>
      </c>
      <c r="G401" s="82">
        <v>543</v>
      </c>
      <c r="H401" s="82" t="s">
        <v>1386</v>
      </c>
      <c r="I401" s="82" t="s">
        <v>647</v>
      </c>
      <c r="J401" s="82" t="s">
        <v>159</v>
      </c>
      <c r="K401" s="82" t="s">
        <v>117</v>
      </c>
      <c r="L401" s="82" t="s">
        <v>1370</v>
      </c>
      <c r="M401" s="82" t="s">
        <v>1387</v>
      </c>
      <c r="N401" s="82" t="s">
        <v>772</v>
      </c>
      <c r="O401" s="36" t="s">
        <v>108</v>
      </c>
      <c r="P401" s="18"/>
      <c r="Q401" s="28" t="s">
        <v>108</v>
      </c>
      <c r="R401" s="18"/>
      <c r="S401" s="28" t="s">
        <v>108</v>
      </c>
      <c r="T401" s="18"/>
      <c r="U401" s="28" t="s">
        <v>108</v>
      </c>
      <c r="V401" s="18"/>
      <c r="W401" s="28" t="s">
        <v>108</v>
      </c>
      <c r="X401" s="18"/>
      <c r="Y401" s="28" t="s">
        <v>14</v>
      </c>
      <c r="Z401" s="18"/>
      <c r="AA401" s="28" t="s">
        <v>108</v>
      </c>
      <c r="AB401" s="18"/>
      <c r="AC401" s="28" t="s">
        <v>108</v>
      </c>
      <c r="AD401" s="18"/>
      <c r="AE401" s="28" t="s">
        <v>108</v>
      </c>
      <c r="AF401" s="47" t="str">
        <f t="shared" si="52"/>
        <v>C</v>
      </c>
      <c r="AG401" s="8" t="str">
        <f t="shared" si="51"/>
        <v>UTILIZOU O PDA CORRETAMENTE</v>
      </c>
      <c r="AH401" s="26" t="s">
        <v>108</v>
      </c>
      <c r="AI401" s="66" t="s">
        <v>1</v>
      </c>
      <c r="AJ401" s="22" t="str">
        <f t="shared" si="53"/>
        <v>GUARULHOS</v>
      </c>
      <c r="AK401" s="69" t="s">
        <v>4</v>
      </c>
    </row>
    <row r="402" spans="1:37" ht="30" customHeight="1" x14ac:dyDescent="0.2">
      <c r="A402" s="82" t="s">
        <v>101</v>
      </c>
      <c r="B402" s="82">
        <v>2691515653</v>
      </c>
      <c r="C402" s="82" t="s">
        <v>47</v>
      </c>
      <c r="D402" s="82" t="s">
        <v>29</v>
      </c>
      <c r="E402" s="82" t="s">
        <v>102</v>
      </c>
      <c r="F402" s="82" t="s">
        <v>697</v>
      </c>
      <c r="G402" s="82">
        <v>911</v>
      </c>
      <c r="H402" s="82" t="s">
        <v>1388</v>
      </c>
      <c r="I402" s="82" t="s">
        <v>430</v>
      </c>
      <c r="J402" s="82" t="s">
        <v>170</v>
      </c>
      <c r="K402" s="82"/>
      <c r="L402" s="82" t="s">
        <v>1370</v>
      </c>
      <c r="M402" s="82" t="s">
        <v>1389</v>
      </c>
      <c r="N402" s="82" t="s">
        <v>151</v>
      </c>
      <c r="O402" s="36" t="s">
        <v>108</v>
      </c>
      <c r="P402" s="18"/>
      <c r="Q402" s="28" t="s">
        <v>108</v>
      </c>
      <c r="R402" s="18"/>
      <c r="S402" s="28" t="s">
        <v>108</v>
      </c>
      <c r="T402" s="18"/>
      <c r="U402" s="28" t="s">
        <v>108</v>
      </c>
      <c r="V402" s="18"/>
      <c r="W402" s="28" t="s">
        <v>108</v>
      </c>
      <c r="X402" s="18"/>
      <c r="Y402" s="28" t="s">
        <v>14</v>
      </c>
      <c r="Z402" s="18"/>
      <c r="AA402" s="28" t="s">
        <v>108</v>
      </c>
      <c r="AB402" s="18"/>
      <c r="AC402" s="28" t="s">
        <v>108</v>
      </c>
      <c r="AD402" s="18"/>
      <c r="AE402" s="28" t="s">
        <v>108</v>
      </c>
      <c r="AF402" s="47" t="str">
        <f t="shared" si="52"/>
        <v>C</v>
      </c>
      <c r="AG402" s="8" t="str">
        <f t="shared" si="51"/>
        <v>UTILIZOU O PDA CORRETAMENTE</v>
      </c>
      <c r="AH402" s="26" t="s">
        <v>108</v>
      </c>
      <c r="AI402" s="66" t="s">
        <v>1</v>
      </c>
      <c r="AJ402" s="22" t="str">
        <f t="shared" si="53"/>
        <v>GUARULHOS</v>
      </c>
      <c r="AK402" s="69" t="s">
        <v>4</v>
      </c>
    </row>
    <row r="403" spans="1:37" ht="30" customHeight="1" x14ac:dyDescent="0.2">
      <c r="A403" s="82" t="s">
        <v>101</v>
      </c>
      <c r="B403" s="82">
        <v>2691484887</v>
      </c>
      <c r="C403" s="82" t="s">
        <v>51</v>
      </c>
      <c r="D403" s="82" t="s">
        <v>29</v>
      </c>
      <c r="E403" s="82" t="s">
        <v>102</v>
      </c>
      <c r="F403" s="82" t="s">
        <v>329</v>
      </c>
      <c r="G403" s="82">
        <v>195</v>
      </c>
      <c r="H403" s="82" t="s">
        <v>115</v>
      </c>
      <c r="I403" s="82" t="s">
        <v>1390</v>
      </c>
      <c r="J403" s="82" t="s">
        <v>159</v>
      </c>
      <c r="K403" s="82" t="s">
        <v>980</v>
      </c>
      <c r="L403" s="82" t="s">
        <v>1370</v>
      </c>
      <c r="M403" s="82" t="s">
        <v>1391</v>
      </c>
      <c r="N403" s="82" t="s">
        <v>151</v>
      </c>
      <c r="O403" s="36" t="s">
        <v>108</v>
      </c>
      <c r="P403" s="18"/>
      <c r="Q403" s="28" t="s">
        <v>108</v>
      </c>
      <c r="R403" s="18"/>
      <c r="S403" s="28" t="s">
        <v>108</v>
      </c>
      <c r="T403" s="18"/>
      <c r="U403" s="28" t="s">
        <v>108</v>
      </c>
      <c r="V403" s="18"/>
      <c r="W403" s="28" t="s">
        <v>108</v>
      </c>
      <c r="X403" s="18"/>
      <c r="Y403" s="28" t="s">
        <v>14</v>
      </c>
      <c r="Z403" s="18"/>
      <c r="AA403" s="28" t="s">
        <v>108</v>
      </c>
      <c r="AB403" s="18"/>
      <c r="AC403" s="28" t="s">
        <v>108</v>
      </c>
      <c r="AD403" s="18"/>
      <c r="AE403" s="28" t="s">
        <v>108</v>
      </c>
      <c r="AF403" s="47" t="str">
        <f t="shared" si="52"/>
        <v>C</v>
      </c>
      <c r="AG403" s="8" t="str">
        <f t="shared" si="51"/>
        <v>UTILIZOU O PDA CORRETAMENTE</v>
      </c>
      <c r="AH403" s="26" t="s">
        <v>108</v>
      </c>
      <c r="AI403" s="66" t="s">
        <v>1</v>
      </c>
      <c r="AJ403" s="22" t="str">
        <f t="shared" si="53"/>
        <v>GUARULHOS</v>
      </c>
      <c r="AK403" s="69" t="s">
        <v>4</v>
      </c>
    </row>
    <row r="404" spans="1:37" ht="30" customHeight="1" x14ac:dyDescent="0.2">
      <c r="A404" s="82" t="s">
        <v>101</v>
      </c>
      <c r="B404" s="82">
        <v>2617308286</v>
      </c>
      <c r="C404" s="82" t="s">
        <v>45</v>
      </c>
      <c r="D404" s="82" t="s">
        <v>27</v>
      </c>
      <c r="E404" s="82" t="s">
        <v>102</v>
      </c>
      <c r="F404" s="82" t="s">
        <v>1392</v>
      </c>
      <c r="G404" s="82">
        <v>13</v>
      </c>
      <c r="H404" s="82"/>
      <c r="I404" s="82" t="s">
        <v>237</v>
      </c>
      <c r="J404" s="82" t="s">
        <v>150</v>
      </c>
      <c r="K404" s="82"/>
      <c r="L404" s="82" t="s">
        <v>1370</v>
      </c>
      <c r="M404" s="82" t="s">
        <v>1393</v>
      </c>
      <c r="N404" s="82" t="s">
        <v>131</v>
      </c>
      <c r="O404" s="35" t="s">
        <v>108</v>
      </c>
      <c r="P404" s="25"/>
      <c r="Q404" s="26" t="s">
        <v>108</v>
      </c>
      <c r="R404" s="25"/>
      <c r="S404" s="26" t="s">
        <v>108</v>
      </c>
      <c r="T404" s="25"/>
      <c r="U404" s="26" t="s">
        <v>108</v>
      </c>
      <c r="V404" s="25"/>
      <c r="W404" s="26" t="s">
        <v>108</v>
      </c>
      <c r="X404" s="25"/>
      <c r="Y404" s="26" t="s">
        <v>108</v>
      </c>
      <c r="Z404" s="25"/>
      <c r="AA404" s="26" t="s">
        <v>108</v>
      </c>
      <c r="AB404" s="25"/>
      <c r="AC404" s="26" t="s">
        <v>108</v>
      </c>
      <c r="AD404" s="10"/>
      <c r="AE404" s="26" t="s">
        <v>108</v>
      </c>
      <c r="AF404" s="47" t="str">
        <f t="shared" si="52"/>
        <v>C</v>
      </c>
      <c r="AG404" s="8" t="str">
        <f t="shared" si="51"/>
        <v>UTILIZOU O PDA CORRETAMENTE</v>
      </c>
      <c r="AH404" s="26" t="s">
        <v>108</v>
      </c>
      <c r="AI404" s="66" t="s">
        <v>1</v>
      </c>
      <c r="AJ404" s="22" t="str">
        <f t="shared" si="53"/>
        <v>GUARULHOS</v>
      </c>
      <c r="AK404" s="69" t="s">
        <v>4</v>
      </c>
    </row>
    <row r="405" spans="1:37" ht="30" customHeight="1" x14ac:dyDescent="0.2">
      <c r="A405" s="82" t="s">
        <v>101</v>
      </c>
      <c r="B405" s="82">
        <v>2617307754</v>
      </c>
      <c r="C405" s="82" t="s">
        <v>37</v>
      </c>
      <c r="D405" s="82" t="s">
        <v>26</v>
      </c>
      <c r="E405" s="82" t="s">
        <v>102</v>
      </c>
      <c r="F405" s="82" t="s">
        <v>737</v>
      </c>
      <c r="G405" s="82">
        <v>378</v>
      </c>
      <c r="H405" s="82" t="s">
        <v>174</v>
      </c>
      <c r="I405" s="82" t="s">
        <v>738</v>
      </c>
      <c r="J405" s="82" t="s">
        <v>230</v>
      </c>
      <c r="K405" s="82" t="s">
        <v>1400</v>
      </c>
      <c r="L405" s="82" t="s">
        <v>1370</v>
      </c>
      <c r="M405" s="82" t="s">
        <v>1401</v>
      </c>
      <c r="N405" s="82" t="s">
        <v>231</v>
      </c>
      <c r="O405" s="36" t="s">
        <v>108</v>
      </c>
      <c r="P405" s="28"/>
      <c r="Q405" s="28" t="s">
        <v>108</v>
      </c>
      <c r="R405" s="65"/>
      <c r="S405" s="28" t="s">
        <v>108</v>
      </c>
      <c r="T405" s="28"/>
      <c r="U405" s="28" t="s">
        <v>108</v>
      </c>
      <c r="V405" s="28"/>
      <c r="W405" s="28" t="s">
        <v>108</v>
      </c>
      <c r="X405" s="28"/>
      <c r="Y405" s="28" t="s">
        <v>14</v>
      </c>
      <c r="Z405" s="28"/>
      <c r="AA405" s="28" t="s">
        <v>108</v>
      </c>
      <c r="AB405" s="28"/>
      <c r="AC405" s="28" t="s">
        <v>108</v>
      </c>
      <c r="AD405" s="28"/>
      <c r="AE405" s="28" t="s">
        <v>108</v>
      </c>
      <c r="AF405" s="47" t="str">
        <f t="shared" si="52"/>
        <v>C</v>
      </c>
      <c r="AG405" s="8" t="str">
        <f t="shared" si="51"/>
        <v>UTILIZOU O PDA CORRETAMENTE</v>
      </c>
      <c r="AH405" s="28"/>
      <c r="AI405" s="66" t="s">
        <v>1</v>
      </c>
      <c r="AJ405" s="22" t="str">
        <f t="shared" si="53"/>
        <v>GUARULHOS</v>
      </c>
      <c r="AK405" s="69" t="s">
        <v>4</v>
      </c>
    </row>
    <row r="406" spans="1:37" ht="30" customHeight="1" x14ac:dyDescent="0.2">
      <c r="A406" s="82" t="s">
        <v>101</v>
      </c>
      <c r="B406" s="82">
        <v>2691481239</v>
      </c>
      <c r="C406" s="82" t="s">
        <v>47</v>
      </c>
      <c r="D406" s="82" t="s">
        <v>29</v>
      </c>
      <c r="E406" s="82" t="s">
        <v>102</v>
      </c>
      <c r="F406" s="82" t="s">
        <v>1340</v>
      </c>
      <c r="G406" s="82">
        <v>267</v>
      </c>
      <c r="H406" s="82" t="s">
        <v>117</v>
      </c>
      <c r="I406" s="82" t="s">
        <v>307</v>
      </c>
      <c r="J406" s="82" t="s">
        <v>188</v>
      </c>
      <c r="K406" s="82" t="s">
        <v>117</v>
      </c>
      <c r="L406" s="82" t="s">
        <v>1370</v>
      </c>
      <c r="M406" s="82" t="s">
        <v>1402</v>
      </c>
      <c r="N406" s="82" t="s">
        <v>253</v>
      </c>
      <c r="O406" s="36" t="s">
        <v>108</v>
      </c>
      <c r="P406" s="18"/>
      <c r="Q406" s="28" t="s">
        <v>14</v>
      </c>
      <c r="R406" s="18"/>
      <c r="S406" s="28" t="s">
        <v>14</v>
      </c>
      <c r="T406" s="18"/>
      <c r="U406" s="28" t="s">
        <v>14</v>
      </c>
      <c r="V406" s="18"/>
      <c r="W406" s="28" t="s">
        <v>14</v>
      </c>
      <c r="X406" s="18"/>
      <c r="Y406" s="28" t="s">
        <v>14</v>
      </c>
      <c r="Z406" s="18"/>
      <c r="AA406" s="28" t="s">
        <v>14</v>
      </c>
      <c r="AB406" s="18"/>
      <c r="AC406" s="28" t="s">
        <v>108</v>
      </c>
      <c r="AD406" s="18"/>
      <c r="AE406" s="28" t="s">
        <v>108</v>
      </c>
      <c r="AF406" s="47" t="str">
        <f t="shared" si="52"/>
        <v>C</v>
      </c>
      <c r="AG406" s="8" t="str">
        <f t="shared" si="51"/>
        <v>UTILIZOU O PDA CORRETAMENTE</v>
      </c>
      <c r="AH406" s="28" t="s">
        <v>108</v>
      </c>
      <c r="AI406" s="66" t="s">
        <v>1</v>
      </c>
      <c r="AJ406" s="22" t="str">
        <f t="shared" si="53"/>
        <v>GUARULHOS</v>
      </c>
      <c r="AK406" s="69" t="s">
        <v>4</v>
      </c>
    </row>
    <row r="407" spans="1:37" ht="30" customHeight="1" x14ac:dyDescent="0.2">
      <c r="A407" s="82" t="s">
        <v>101</v>
      </c>
      <c r="B407" s="82">
        <v>2617458273</v>
      </c>
      <c r="C407" s="82" t="s">
        <v>50</v>
      </c>
      <c r="D407" s="82" t="s">
        <v>29</v>
      </c>
      <c r="E407" s="82" t="s">
        <v>102</v>
      </c>
      <c r="F407" s="82" t="s">
        <v>1403</v>
      </c>
      <c r="G407" s="82">
        <v>47</v>
      </c>
      <c r="H407" s="82" t="s">
        <v>1404</v>
      </c>
      <c r="I407" s="82" t="s">
        <v>1125</v>
      </c>
      <c r="J407" s="82" t="s">
        <v>130</v>
      </c>
      <c r="K407" s="82"/>
      <c r="L407" s="82" t="s">
        <v>1370</v>
      </c>
      <c r="M407" s="82" t="s">
        <v>1405</v>
      </c>
      <c r="N407" s="82" t="s">
        <v>131</v>
      </c>
      <c r="O407" s="36" t="s">
        <v>108</v>
      </c>
      <c r="P407" s="18"/>
      <c r="Q407" s="28" t="s">
        <v>108</v>
      </c>
      <c r="R407" s="18"/>
      <c r="S407" s="28" t="s">
        <v>108</v>
      </c>
      <c r="T407" s="18"/>
      <c r="U407" s="28" t="s">
        <v>108</v>
      </c>
      <c r="V407" s="18"/>
      <c r="W407" s="28" t="s">
        <v>108</v>
      </c>
      <c r="X407" s="18"/>
      <c r="Y407" s="28" t="s">
        <v>14</v>
      </c>
      <c r="Z407" s="18"/>
      <c r="AA407" s="28" t="s">
        <v>108</v>
      </c>
      <c r="AB407" s="18"/>
      <c r="AC407" s="28" t="s">
        <v>108</v>
      </c>
      <c r="AD407" s="18"/>
      <c r="AE407" s="28" t="s">
        <v>108</v>
      </c>
      <c r="AF407" s="47" t="str">
        <f t="shared" si="52"/>
        <v>C</v>
      </c>
      <c r="AG407" s="8" t="str">
        <f t="shared" si="51"/>
        <v>UTILIZOU O PDA CORRETAMENTE</v>
      </c>
      <c r="AH407" s="26" t="s">
        <v>108</v>
      </c>
      <c r="AI407" s="66" t="s">
        <v>1</v>
      </c>
      <c r="AJ407" s="22" t="str">
        <f t="shared" si="53"/>
        <v>GUARULHOS</v>
      </c>
      <c r="AK407" s="69" t="s">
        <v>4</v>
      </c>
    </row>
    <row r="408" spans="1:37" ht="30" customHeight="1" x14ac:dyDescent="0.2">
      <c r="A408" s="82" t="s">
        <v>101</v>
      </c>
      <c r="B408" s="82">
        <v>2617298129</v>
      </c>
      <c r="C408" s="82" t="s">
        <v>37</v>
      </c>
      <c r="D408" s="82" t="s">
        <v>26</v>
      </c>
      <c r="E408" s="82" t="s">
        <v>102</v>
      </c>
      <c r="F408" s="82" t="s">
        <v>1406</v>
      </c>
      <c r="G408" s="82">
        <v>191</v>
      </c>
      <c r="H408" s="82" t="s">
        <v>592</v>
      </c>
      <c r="I408" s="82" t="s">
        <v>1175</v>
      </c>
      <c r="J408" s="82" t="s">
        <v>230</v>
      </c>
      <c r="K408" s="88" t="s">
        <v>1407</v>
      </c>
      <c r="L408" s="82" t="s">
        <v>1370</v>
      </c>
      <c r="M408" s="82" t="s">
        <v>1408</v>
      </c>
      <c r="N408" s="82" t="s">
        <v>1409</v>
      </c>
      <c r="O408" s="36" t="s">
        <v>108</v>
      </c>
      <c r="P408" s="28"/>
      <c r="Q408" s="28" t="s">
        <v>108</v>
      </c>
      <c r="R408" s="65"/>
      <c r="S408" s="28" t="s">
        <v>108</v>
      </c>
      <c r="T408" s="28"/>
      <c r="U408" s="28" t="s">
        <v>108</v>
      </c>
      <c r="V408" s="28"/>
      <c r="W408" s="28" t="s">
        <v>108</v>
      </c>
      <c r="X408" s="28"/>
      <c r="Y408" s="28" t="s">
        <v>14</v>
      </c>
      <c r="Z408" s="28"/>
      <c r="AA408" s="28" t="s">
        <v>108</v>
      </c>
      <c r="AB408" s="28"/>
      <c r="AC408" s="28" t="s">
        <v>108</v>
      </c>
      <c r="AD408" s="28"/>
      <c r="AE408" s="28" t="s">
        <v>108</v>
      </c>
      <c r="AF408" s="47" t="str">
        <f t="shared" si="52"/>
        <v>C</v>
      </c>
      <c r="AG408" s="8" t="str">
        <f t="shared" si="51"/>
        <v>UTILIZOU O PDA CORRETAMENTE</v>
      </c>
      <c r="AH408" s="28"/>
      <c r="AI408" s="66" t="s">
        <v>1</v>
      </c>
      <c r="AJ408" s="22" t="str">
        <f t="shared" si="53"/>
        <v>GUARULHOS</v>
      </c>
      <c r="AK408" s="69" t="s">
        <v>4</v>
      </c>
    </row>
    <row r="409" spans="1:37" ht="30" customHeight="1" x14ac:dyDescent="0.2">
      <c r="A409" s="82" t="s">
        <v>101</v>
      </c>
      <c r="B409" s="82">
        <v>2617459395</v>
      </c>
      <c r="C409" s="82" t="s">
        <v>47</v>
      </c>
      <c r="D409" s="82" t="s">
        <v>29</v>
      </c>
      <c r="E409" s="82" t="s">
        <v>102</v>
      </c>
      <c r="F409" s="82" t="s">
        <v>1410</v>
      </c>
      <c r="G409" s="82">
        <v>13</v>
      </c>
      <c r="H409" s="82"/>
      <c r="I409" s="82" t="s">
        <v>626</v>
      </c>
      <c r="J409" s="82" t="s">
        <v>170</v>
      </c>
      <c r="K409" s="82" t="s">
        <v>1411</v>
      </c>
      <c r="L409" s="82" t="s">
        <v>1285</v>
      </c>
      <c r="M409" s="82" t="s">
        <v>1412</v>
      </c>
      <c r="N409" s="82" t="s">
        <v>231</v>
      </c>
      <c r="O409" s="36" t="s">
        <v>108</v>
      </c>
      <c r="P409" s="18"/>
      <c r="Q409" s="28" t="s">
        <v>108</v>
      </c>
      <c r="R409" s="18"/>
      <c r="S409" s="28" t="s">
        <v>108</v>
      </c>
      <c r="T409" s="18"/>
      <c r="U409" s="28" t="s">
        <v>108</v>
      </c>
      <c r="V409" s="18"/>
      <c r="W409" s="28" t="s">
        <v>108</v>
      </c>
      <c r="X409" s="18"/>
      <c r="Y409" s="28" t="s">
        <v>14</v>
      </c>
      <c r="Z409" s="18"/>
      <c r="AA409" s="28" t="s">
        <v>108</v>
      </c>
      <c r="AB409" s="18"/>
      <c r="AC409" s="28" t="s">
        <v>108</v>
      </c>
      <c r="AD409" s="18"/>
      <c r="AE409" s="28" t="s">
        <v>108</v>
      </c>
      <c r="AF409" s="47" t="str">
        <f t="shared" si="52"/>
        <v>C</v>
      </c>
      <c r="AG409" s="8" t="str">
        <f t="shared" si="51"/>
        <v>UTILIZOU O PDA CORRETAMENTE</v>
      </c>
      <c r="AH409" s="26" t="s">
        <v>108</v>
      </c>
      <c r="AI409" s="66" t="s">
        <v>1</v>
      </c>
      <c r="AJ409" s="22" t="str">
        <f t="shared" si="53"/>
        <v>GUARULHOS</v>
      </c>
      <c r="AK409" s="69" t="s">
        <v>4</v>
      </c>
    </row>
    <row r="410" spans="1:37" ht="30" customHeight="1" x14ac:dyDescent="0.2">
      <c r="A410" s="82" t="s">
        <v>101</v>
      </c>
      <c r="B410" s="82">
        <v>2617460314</v>
      </c>
      <c r="C410" s="82" t="s">
        <v>36</v>
      </c>
      <c r="D410" s="82" t="s">
        <v>26</v>
      </c>
      <c r="E410" s="82" t="s">
        <v>102</v>
      </c>
      <c r="F410" s="82" t="s">
        <v>1413</v>
      </c>
      <c r="G410" s="82">
        <v>146</v>
      </c>
      <c r="H410" s="82" t="s">
        <v>1414</v>
      </c>
      <c r="I410" s="82" t="s">
        <v>940</v>
      </c>
      <c r="J410" s="82" t="s">
        <v>269</v>
      </c>
      <c r="K410" s="82" t="s">
        <v>208</v>
      </c>
      <c r="L410" s="82" t="s">
        <v>1285</v>
      </c>
      <c r="M410" s="82" t="s">
        <v>1364</v>
      </c>
      <c r="N410" s="82" t="s">
        <v>209</v>
      </c>
      <c r="O410" s="36" t="s">
        <v>108</v>
      </c>
      <c r="P410" s="28"/>
      <c r="Q410" s="28" t="s">
        <v>108</v>
      </c>
      <c r="R410" s="65"/>
      <c r="S410" s="28" t="s">
        <v>108</v>
      </c>
      <c r="T410" s="28"/>
      <c r="U410" s="28" t="s">
        <v>108</v>
      </c>
      <c r="V410" s="28"/>
      <c r="W410" s="28" t="s">
        <v>108</v>
      </c>
      <c r="X410" s="28"/>
      <c r="Y410" s="28" t="s">
        <v>14</v>
      </c>
      <c r="Z410" s="28"/>
      <c r="AA410" s="28" t="s">
        <v>108</v>
      </c>
      <c r="AB410" s="28"/>
      <c r="AC410" s="28" t="s">
        <v>108</v>
      </c>
      <c r="AD410" s="28"/>
      <c r="AE410" s="28" t="s">
        <v>108</v>
      </c>
      <c r="AF410" s="47" t="str">
        <f t="shared" si="52"/>
        <v>C</v>
      </c>
      <c r="AG410" s="8" t="str">
        <f t="shared" ref="AG410:AG426" si="54">IF(AND(AE410="C",AF410="C"),"UTILIZOU O PDA CORRETAMENTE",IF(AND(AE410="C",AF410="NC"),"UTILIZOU O PDA CORRETAMENTE. NÃO HÁ FOTOS DE TODAS AS ETAPAS",IF(AND(AE410="NC",AF410="NC"),"NÃO UTILIZOU O PDA",IF(AND(AE410="NA",AF410="NA"),"NÃO AVALIADO POR FALHA DE SINCRONISMO"))))</f>
        <v>UTILIZOU O PDA CORRETAMENTE</v>
      </c>
      <c r="AH410" s="28"/>
      <c r="AI410" s="66" t="s">
        <v>1</v>
      </c>
      <c r="AJ410" s="22" t="str">
        <f t="shared" si="53"/>
        <v>GUARULHOS</v>
      </c>
      <c r="AK410" s="69" t="s">
        <v>4</v>
      </c>
    </row>
    <row r="411" spans="1:37" ht="30" customHeight="1" x14ac:dyDescent="0.2">
      <c r="A411" s="82" t="s">
        <v>101</v>
      </c>
      <c r="B411" s="82">
        <v>2617460114</v>
      </c>
      <c r="C411" s="82" t="s">
        <v>36</v>
      </c>
      <c r="D411" s="82" t="s">
        <v>26</v>
      </c>
      <c r="E411" s="82" t="s">
        <v>102</v>
      </c>
      <c r="F411" s="82" t="s">
        <v>1415</v>
      </c>
      <c r="G411" s="82">
        <v>437</v>
      </c>
      <c r="H411" s="82" t="s">
        <v>1416</v>
      </c>
      <c r="I411" s="82" t="s">
        <v>314</v>
      </c>
      <c r="J411" s="82" t="s">
        <v>269</v>
      </c>
      <c r="K411" s="82"/>
      <c r="L411" s="82" t="s">
        <v>1285</v>
      </c>
      <c r="M411" s="82" t="s">
        <v>1417</v>
      </c>
      <c r="N411" s="82" t="s">
        <v>144</v>
      </c>
      <c r="O411" s="36" t="s">
        <v>108</v>
      </c>
      <c r="P411" s="28"/>
      <c r="Q411" s="28" t="s">
        <v>108</v>
      </c>
      <c r="R411" s="65"/>
      <c r="S411" s="28" t="s">
        <v>108</v>
      </c>
      <c r="T411" s="28"/>
      <c r="U411" s="28" t="s">
        <v>108</v>
      </c>
      <c r="V411" s="28"/>
      <c r="W411" s="28" t="s">
        <v>108</v>
      </c>
      <c r="X411" s="28"/>
      <c r="Y411" s="28" t="s">
        <v>14</v>
      </c>
      <c r="Z411" s="28"/>
      <c r="AA411" s="28" t="s">
        <v>108</v>
      </c>
      <c r="AB411" s="28"/>
      <c r="AC411" s="28" t="s">
        <v>108</v>
      </c>
      <c r="AD411" s="28"/>
      <c r="AE411" s="28" t="s">
        <v>108</v>
      </c>
      <c r="AF411" s="47" t="str">
        <f t="shared" si="52"/>
        <v>C</v>
      </c>
      <c r="AG411" s="8" t="str">
        <f t="shared" si="54"/>
        <v>UTILIZOU O PDA CORRETAMENTE</v>
      </c>
      <c r="AH411" s="28"/>
      <c r="AI411" s="66" t="s">
        <v>1</v>
      </c>
      <c r="AJ411" s="22" t="str">
        <f t="shared" si="53"/>
        <v>GUARULHOS</v>
      </c>
      <c r="AK411" s="69" t="s">
        <v>4</v>
      </c>
    </row>
    <row r="412" spans="1:37" ht="30" customHeight="1" x14ac:dyDescent="0.2">
      <c r="A412" s="82" t="s">
        <v>101</v>
      </c>
      <c r="B412" s="82">
        <v>2617121923</v>
      </c>
      <c r="C412" s="82" t="s">
        <v>49</v>
      </c>
      <c r="D412" s="82" t="s">
        <v>29</v>
      </c>
      <c r="E412" s="82" t="s">
        <v>102</v>
      </c>
      <c r="F412" s="82" t="s">
        <v>1418</v>
      </c>
      <c r="G412" s="82">
        <v>141</v>
      </c>
      <c r="H412" s="82" t="s">
        <v>1419</v>
      </c>
      <c r="I412" s="82" t="s">
        <v>1420</v>
      </c>
      <c r="J412" s="82" t="s">
        <v>328</v>
      </c>
      <c r="K412" s="82" t="s">
        <v>117</v>
      </c>
      <c r="L412" s="82" t="s">
        <v>1285</v>
      </c>
      <c r="M412" s="82" t="s">
        <v>1421</v>
      </c>
      <c r="N412" s="82" t="s">
        <v>772</v>
      </c>
      <c r="O412" s="36" t="s">
        <v>108</v>
      </c>
      <c r="P412" s="18"/>
      <c r="Q412" s="28" t="s">
        <v>108</v>
      </c>
      <c r="R412" s="18"/>
      <c r="S412" s="28" t="s">
        <v>108</v>
      </c>
      <c r="T412" s="18"/>
      <c r="U412" s="28" t="s">
        <v>108</v>
      </c>
      <c r="V412" s="18"/>
      <c r="W412" s="28" t="s">
        <v>108</v>
      </c>
      <c r="X412" s="18"/>
      <c r="Y412" s="28" t="s">
        <v>14</v>
      </c>
      <c r="Z412" s="18"/>
      <c r="AA412" s="28" t="s">
        <v>108</v>
      </c>
      <c r="AB412" s="18"/>
      <c r="AC412" s="28" t="s">
        <v>108</v>
      </c>
      <c r="AD412" s="18"/>
      <c r="AE412" s="28" t="s">
        <v>108</v>
      </c>
      <c r="AF412" s="47" t="str">
        <f t="shared" si="52"/>
        <v>C</v>
      </c>
      <c r="AG412" s="8" t="str">
        <f t="shared" si="54"/>
        <v>UTILIZOU O PDA CORRETAMENTE</v>
      </c>
      <c r="AH412" s="26" t="s">
        <v>108</v>
      </c>
      <c r="AI412" s="66" t="s">
        <v>1</v>
      </c>
      <c r="AJ412" s="22" t="str">
        <f t="shared" si="53"/>
        <v>GUARULHOS</v>
      </c>
      <c r="AK412" s="69" t="s">
        <v>4</v>
      </c>
    </row>
    <row r="413" spans="1:37" ht="30" customHeight="1" x14ac:dyDescent="0.2">
      <c r="A413" s="82" t="s">
        <v>101</v>
      </c>
      <c r="B413" s="82">
        <v>2691531894</v>
      </c>
      <c r="C413" s="82" t="s">
        <v>37</v>
      </c>
      <c r="D413" s="82" t="s">
        <v>26</v>
      </c>
      <c r="E413" s="82" t="s">
        <v>102</v>
      </c>
      <c r="F413" s="82" t="s">
        <v>1422</v>
      </c>
      <c r="G413" s="82">
        <v>111</v>
      </c>
      <c r="H413" s="82" t="s">
        <v>1423</v>
      </c>
      <c r="I413" s="82" t="s">
        <v>308</v>
      </c>
      <c r="J413" s="82" t="s">
        <v>230</v>
      </c>
      <c r="K413" s="82" t="s">
        <v>607</v>
      </c>
      <c r="L413" s="82" t="s">
        <v>1285</v>
      </c>
      <c r="M413" s="82" t="s">
        <v>1424</v>
      </c>
      <c r="N413" s="82" t="s">
        <v>231</v>
      </c>
      <c r="O413" s="36" t="s">
        <v>108</v>
      </c>
      <c r="P413" s="28"/>
      <c r="Q413" s="28" t="s">
        <v>108</v>
      </c>
      <c r="R413" s="65"/>
      <c r="S413" s="28" t="s">
        <v>108</v>
      </c>
      <c r="T413" s="28"/>
      <c r="U413" s="28" t="s">
        <v>108</v>
      </c>
      <c r="V413" s="28"/>
      <c r="W413" s="28" t="s">
        <v>108</v>
      </c>
      <c r="X413" s="28"/>
      <c r="Y413" s="28" t="s">
        <v>14</v>
      </c>
      <c r="Z413" s="28"/>
      <c r="AA413" s="28" t="s">
        <v>108</v>
      </c>
      <c r="AB413" s="28"/>
      <c r="AC413" s="28" t="s">
        <v>108</v>
      </c>
      <c r="AD413" s="28"/>
      <c r="AE413" s="28" t="s">
        <v>108</v>
      </c>
      <c r="AF413" s="47" t="str">
        <f t="shared" si="52"/>
        <v>C</v>
      </c>
      <c r="AG413" s="8" t="str">
        <f t="shared" si="54"/>
        <v>UTILIZOU O PDA CORRETAMENTE</v>
      </c>
      <c r="AH413" s="28"/>
      <c r="AI413" s="66" t="s">
        <v>1</v>
      </c>
      <c r="AJ413" s="22" t="str">
        <f t="shared" si="53"/>
        <v>GUARULHOS</v>
      </c>
      <c r="AK413" s="69" t="s">
        <v>4</v>
      </c>
    </row>
    <row r="414" spans="1:37" ht="30" customHeight="1" x14ac:dyDescent="0.2">
      <c r="A414" s="82" t="s">
        <v>101</v>
      </c>
      <c r="B414" s="82">
        <v>2691586072</v>
      </c>
      <c r="C414" s="82" t="s">
        <v>51</v>
      </c>
      <c r="D414" s="82" t="s">
        <v>29</v>
      </c>
      <c r="E414" s="82" t="s">
        <v>102</v>
      </c>
      <c r="F414" s="82" t="s">
        <v>1425</v>
      </c>
      <c r="G414" s="82">
        <v>114</v>
      </c>
      <c r="H414" s="82"/>
      <c r="I414" s="82" t="s">
        <v>667</v>
      </c>
      <c r="J414" s="82" t="s">
        <v>159</v>
      </c>
      <c r="K414" s="82"/>
      <c r="L414" s="82" t="s">
        <v>1426</v>
      </c>
      <c r="M414" s="82" t="s">
        <v>1427</v>
      </c>
      <c r="N414" s="82" t="s">
        <v>140</v>
      </c>
      <c r="O414" s="36" t="s">
        <v>108</v>
      </c>
      <c r="P414" s="18"/>
      <c r="Q414" s="28" t="s">
        <v>108</v>
      </c>
      <c r="R414" s="18"/>
      <c r="S414" s="28" t="s">
        <v>108</v>
      </c>
      <c r="T414" s="18"/>
      <c r="U414" s="28" t="s">
        <v>108</v>
      </c>
      <c r="V414" s="18"/>
      <c r="W414" s="28" t="s">
        <v>108</v>
      </c>
      <c r="X414" s="18"/>
      <c r="Y414" s="28" t="s">
        <v>14</v>
      </c>
      <c r="Z414" s="18"/>
      <c r="AA414" s="28" t="s">
        <v>108</v>
      </c>
      <c r="AB414" s="18"/>
      <c r="AC414" s="28" t="s">
        <v>108</v>
      </c>
      <c r="AD414" s="18"/>
      <c r="AE414" s="28" t="s">
        <v>108</v>
      </c>
      <c r="AF414" s="47" t="str">
        <f t="shared" si="52"/>
        <v>C</v>
      </c>
      <c r="AG414" s="8" t="str">
        <f t="shared" si="54"/>
        <v>UTILIZOU O PDA CORRETAMENTE</v>
      </c>
      <c r="AH414" s="26" t="s">
        <v>108</v>
      </c>
      <c r="AI414" s="66" t="s">
        <v>1</v>
      </c>
      <c r="AJ414" s="22" t="str">
        <f t="shared" si="53"/>
        <v>GUARULHOS</v>
      </c>
      <c r="AK414" s="69" t="s">
        <v>4</v>
      </c>
    </row>
    <row r="415" spans="1:37" ht="30" customHeight="1" x14ac:dyDescent="0.2">
      <c r="A415" s="82" t="s">
        <v>101</v>
      </c>
      <c r="B415" s="82">
        <v>2617537149</v>
      </c>
      <c r="C415" s="82" t="s">
        <v>51</v>
      </c>
      <c r="D415" s="82" t="s">
        <v>29</v>
      </c>
      <c r="E415" s="82" t="s">
        <v>102</v>
      </c>
      <c r="F415" s="82" t="s">
        <v>1428</v>
      </c>
      <c r="G415" s="82">
        <v>66</v>
      </c>
      <c r="H415" s="82" t="s">
        <v>1429</v>
      </c>
      <c r="I415" s="82" t="s">
        <v>1430</v>
      </c>
      <c r="J415" s="82" t="s">
        <v>159</v>
      </c>
      <c r="K415" s="82" t="s">
        <v>117</v>
      </c>
      <c r="L415" s="82" t="s">
        <v>1426</v>
      </c>
      <c r="M415" s="82" t="s">
        <v>1431</v>
      </c>
      <c r="N415" s="82" t="s">
        <v>253</v>
      </c>
      <c r="O415" s="36" t="s">
        <v>108</v>
      </c>
      <c r="P415" s="18"/>
      <c r="Q415" s="28" t="s">
        <v>108</v>
      </c>
      <c r="R415" s="18"/>
      <c r="S415" s="28" t="s">
        <v>108</v>
      </c>
      <c r="T415" s="18"/>
      <c r="U415" s="28" t="s">
        <v>108</v>
      </c>
      <c r="V415" s="18"/>
      <c r="W415" s="28" t="s">
        <v>108</v>
      </c>
      <c r="X415" s="18"/>
      <c r="Y415" s="28" t="s">
        <v>14</v>
      </c>
      <c r="Z415" s="18"/>
      <c r="AA415" s="28" t="s">
        <v>108</v>
      </c>
      <c r="AB415" s="18"/>
      <c r="AC415" s="28" t="s">
        <v>108</v>
      </c>
      <c r="AD415" s="18"/>
      <c r="AE415" s="28" t="s">
        <v>108</v>
      </c>
      <c r="AF415" s="47" t="str">
        <f t="shared" si="52"/>
        <v>C</v>
      </c>
      <c r="AG415" s="8" t="str">
        <f t="shared" si="54"/>
        <v>UTILIZOU O PDA CORRETAMENTE</v>
      </c>
      <c r="AH415" s="26" t="s">
        <v>108</v>
      </c>
      <c r="AI415" s="66" t="s">
        <v>1</v>
      </c>
      <c r="AJ415" s="22" t="str">
        <f t="shared" si="53"/>
        <v>GUARULHOS</v>
      </c>
      <c r="AK415" s="69" t="s">
        <v>4</v>
      </c>
    </row>
    <row r="416" spans="1:37" ht="30" customHeight="1" x14ac:dyDescent="0.2">
      <c r="A416" s="82" t="s">
        <v>101</v>
      </c>
      <c r="B416" s="82">
        <v>2616219227</v>
      </c>
      <c r="C416" s="82" t="s">
        <v>1186</v>
      </c>
      <c r="D416" s="82" t="s">
        <v>27</v>
      </c>
      <c r="E416" s="82" t="s">
        <v>102</v>
      </c>
      <c r="F416" s="82" t="s">
        <v>791</v>
      </c>
      <c r="G416" s="82">
        <v>93</v>
      </c>
      <c r="H416" s="82" t="s">
        <v>117</v>
      </c>
      <c r="I416" s="82" t="s">
        <v>793</v>
      </c>
      <c r="J416" s="82" t="s">
        <v>1188</v>
      </c>
      <c r="K416" s="82" t="s">
        <v>1299</v>
      </c>
      <c r="L416" s="82" t="s">
        <v>1426</v>
      </c>
      <c r="M416" s="82" t="s">
        <v>1432</v>
      </c>
      <c r="N416" s="82" t="s">
        <v>205</v>
      </c>
      <c r="O416" s="36" t="s">
        <v>14</v>
      </c>
      <c r="P416" s="18"/>
      <c r="Q416" s="28" t="s">
        <v>14</v>
      </c>
      <c r="R416" s="18"/>
      <c r="S416" s="28" t="s">
        <v>14</v>
      </c>
      <c r="T416" s="18"/>
      <c r="U416" s="28" t="s">
        <v>14</v>
      </c>
      <c r="V416" s="18"/>
      <c r="W416" s="28" t="s">
        <v>14</v>
      </c>
      <c r="X416" s="18"/>
      <c r="Y416" s="28" t="s">
        <v>14</v>
      </c>
      <c r="Z416" s="18"/>
      <c r="AA416" s="28" t="s">
        <v>14</v>
      </c>
      <c r="AB416" s="18"/>
      <c r="AC416" s="28" t="s">
        <v>14</v>
      </c>
      <c r="AD416" s="18"/>
      <c r="AE416" s="28" t="s">
        <v>14</v>
      </c>
      <c r="AF416" s="47" t="str">
        <f t="shared" si="52"/>
        <v>NA</v>
      </c>
      <c r="AG416" s="8" t="str">
        <f t="shared" si="54"/>
        <v>NÃO AVALIADO POR FALHA DE SINCRONISMO</v>
      </c>
      <c r="AH416" s="28" t="s">
        <v>108</v>
      </c>
      <c r="AI416" s="66" t="s">
        <v>1</v>
      </c>
      <c r="AJ416" s="22" t="str">
        <f t="shared" si="53"/>
        <v>GUARULHOS</v>
      </c>
      <c r="AK416" s="69" t="s">
        <v>4</v>
      </c>
    </row>
    <row r="417" spans="1:37" ht="30" customHeight="1" x14ac:dyDescent="0.2">
      <c r="A417" s="82" t="s">
        <v>101</v>
      </c>
      <c r="B417" s="82">
        <v>2691586072</v>
      </c>
      <c r="C417" s="82" t="s">
        <v>51</v>
      </c>
      <c r="D417" s="82" t="s">
        <v>29</v>
      </c>
      <c r="E417" s="82" t="s">
        <v>102</v>
      </c>
      <c r="F417" s="82" t="s">
        <v>1425</v>
      </c>
      <c r="G417" s="82">
        <v>114</v>
      </c>
      <c r="H417" s="82" t="s">
        <v>117</v>
      </c>
      <c r="I417" s="82" t="s">
        <v>667</v>
      </c>
      <c r="J417" s="82" t="s">
        <v>159</v>
      </c>
      <c r="K417" s="82" t="s">
        <v>117</v>
      </c>
      <c r="L417" s="82" t="s">
        <v>1426</v>
      </c>
      <c r="M417" s="82" t="s">
        <v>1427</v>
      </c>
      <c r="N417" s="82" t="s">
        <v>140</v>
      </c>
      <c r="O417" s="36" t="s">
        <v>108</v>
      </c>
      <c r="P417" s="18"/>
      <c r="Q417" s="28" t="s">
        <v>108</v>
      </c>
      <c r="R417" s="18"/>
      <c r="S417" s="28" t="s">
        <v>108</v>
      </c>
      <c r="T417" s="18"/>
      <c r="U417" s="28" t="s">
        <v>108</v>
      </c>
      <c r="V417" s="18"/>
      <c r="W417" s="28" t="s">
        <v>108</v>
      </c>
      <c r="X417" s="18"/>
      <c r="Y417" s="28" t="s">
        <v>14</v>
      </c>
      <c r="Z417" s="18"/>
      <c r="AA417" s="28" t="s">
        <v>108</v>
      </c>
      <c r="AB417" s="18"/>
      <c r="AC417" s="28" t="s">
        <v>108</v>
      </c>
      <c r="AD417" s="18"/>
      <c r="AE417" s="28" t="s">
        <v>108</v>
      </c>
      <c r="AF417" s="47" t="str">
        <f t="shared" si="52"/>
        <v>C</v>
      </c>
      <c r="AG417" s="8" t="str">
        <f t="shared" si="54"/>
        <v>UTILIZOU O PDA CORRETAMENTE</v>
      </c>
      <c r="AH417" s="26" t="s">
        <v>108</v>
      </c>
      <c r="AI417" s="66" t="s">
        <v>1</v>
      </c>
      <c r="AJ417" s="22" t="str">
        <f t="shared" si="53"/>
        <v>GUARULHOS</v>
      </c>
      <c r="AK417" s="69" t="s">
        <v>4</v>
      </c>
    </row>
    <row r="418" spans="1:37" ht="30" customHeight="1" x14ac:dyDescent="0.2">
      <c r="A418" s="82" t="s">
        <v>101</v>
      </c>
      <c r="B418" s="82">
        <v>2617291685</v>
      </c>
      <c r="C418" s="82" t="s">
        <v>50</v>
      </c>
      <c r="D418" s="82" t="s">
        <v>29</v>
      </c>
      <c r="E418" s="82" t="s">
        <v>102</v>
      </c>
      <c r="F418" s="82" t="s">
        <v>1433</v>
      </c>
      <c r="G418" s="82">
        <v>7</v>
      </c>
      <c r="H418" s="82" t="s">
        <v>117</v>
      </c>
      <c r="I418" s="82" t="s">
        <v>1125</v>
      </c>
      <c r="J418" s="82" t="s">
        <v>1434</v>
      </c>
      <c r="K418" s="82" t="s">
        <v>117</v>
      </c>
      <c r="L418" s="82" t="s">
        <v>1426</v>
      </c>
      <c r="M418" s="82" t="s">
        <v>1435</v>
      </c>
      <c r="N418" s="82" t="s">
        <v>146</v>
      </c>
      <c r="O418" s="36" t="s">
        <v>108</v>
      </c>
      <c r="P418" s="18"/>
      <c r="Q418" s="28" t="s">
        <v>108</v>
      </c>
      <c r="R418" s="18"/>
      <c r="S418" s="28" t="s">
        <v>108</v>
      </c>
      <c r="T418" s="18"/>
      <c r="U418" s="28" t="s">
        <v>108</v>
      </c>
      <c r="V418" s="18"/>
      <c r="W418" s="28" t="s">
        <v>108</v>
      </c>
      <c r="X418" s="18"/>
      <c r="Y418" s="28" t="s">
        <v>14</v>
      </c>
      <c r="Z418" s="18"/>
      <c r="AA418" s="28" t="s">
        <v>108</v>
      </c>
      <c r="AB418" s="18"/>
      <c r="AC418" s="28" t="s">
        <v>108</v>
      </c>
      <c r="AD418" s="18"/>
      <c r="AE418" s="28" t="s">
        <v>108</v>
      </c>
      <c r="AF418" s="47" t="str">
        <f t="shared" si="52"/>
        <v>C</v>
      </c>
      <c r="AG418" s="8" t="str">
        <f t="shared" si="54"/>
        <v>UTILIZOU O PDA CORRETAMENTE</v>
      </c>
      <c r="AH418" s="26" t="s">
        <v>108</v>
      </c>
      <c r="AI418" s="66" t="s">
        <v>1</v>
      </c>
      <c r="AJ418" s="22" t="str">
        <f t="shared" si="53"/>
        <v>GUARULHOS</v>
      </c>
      <c r="AK418" s="69" t="s">
        <v>4</v>
      </c>
    </row>
    <row r="419" spans="1:37" ht="30" customHeight="1" x14ac:dyDescent="0.2">
      <c r="A419" s="82" t="s">
        <v>101</v>
      </c>
      <c r="B419" s="82">
        <v>2617524246</v>
      </c>
      <c r="C419" s="82" t="s">
        <v>45</v>
      </c>
      <c r="D419" s="82" t="s">
        <v>27</v>
      </c>
      <c r="E419" s="82" t="s">
        <v>102</v>
      </c>
      <c r="F419" s="82" t="s">
        <v>572</v>
      </c>
      <c r="G419" s="82">
        <v>127</v>
      </c>
      <c r="H419" s="82" t="s">
        <v>1436</v>
      </c>
      <c r="I419" s="82" t="s">
        <v>162</v>
      </c>
      <c r="J419" s="82" t="s">
        <v>150</v>
      </c>
      <c r="K419" s="82" t="s">
        <v>1437</v>
      </c>
      <c r="L419" s="82" t="s">
        <v>1426</v>
      </c>
      <c r="M419" s="82" t="s">
        <v>1438</v>
      </c>
      <c r="N419" s="82" t="s">
        <v>160</v>
      </c>
      <c r="O419" s="36" t="s">
        <v>108</v>
      </c>
      <c r="P419" s="18"/>
      <c r="Q419" s="28" t="s">
        <v>108</v>
      </c>
      <c r="R419" s="18"/>
      <c r="S419" s="28" t="s">
        <v>108</v>
      </c>
      <c r="T419" s="18"/>
      <c r="U419" s="28" t="s">
        <v>108</v>
      </c>
      <c r="V419" s="18"/>
      <c r="W419" s="28" t="s">
        <v>108</v>
      </c>
      <c r="X419" s="18"/>
      <c r="Y419" s="28" t="s">
        <v>108</v>
      </c>
      <c r="Z419" s="18"/>
      <c r="AA419" s="28" t="s">
        <v>108</v>
      </c>
      <c r="AB419" s="18"/>
      <c r="AC419" s="28" t="s">
        <v>108</v>
      </c>
      <c r="AD419" s="18"/>
      <c r="AE419" s="28" t="s">
        <v>108</v>
      </c>
      <c r="AF419" s="47" t="str">
        <f t="shared" si="52"/>
        <v>C</v>
      </c>
      <c r="AG419" s="8" t="str">
        <f t="shared" si="54"/>
        <v>UTILIZOU O PDA CORRETAMENTE</v>
      </c>
      <c r="AH419" s="28" t="s">
        <v>108</v>
      </c>
      <c r="AI419" s="66" t="s">
        <v>1</v>
      </c>
      <c r="AJ419" s="22" t="str">
        <f t="shared" si="53"/>
        <v>GUARULHOS</v>
      </c>
      <c r="AK419" s="69" t="s">
        <v>4</v>
      </c>
    </row>
    <row r="420" spans="1:37" ht="30" customHeight="1" x14ac:dyDescent="0.2">
      <c r="A420" s="82" t="s">
        <v>101</v>
      </c>
      <c r="B420" s="82">
        <v>2617523579</v>
      </c>
      <c r="C420" s="82" t="s">
        <v>45</v>
      </c>
      <c r="D420" s="82" t="s">
        <v>27</v>
      </c>
      <c r="E420" s="82" t="s">
        <v>102</v>
      </c>
      <c r="F420" s="82" t="s">
        <v>572</v>
      </c>
      <c r="G420" s="82">
        <v>121</v>
      </c>
      <c r="H420" s="82" t="s">
        <v>117</v>
      </c>
      <c r="I420" s="82" t="s">
        <v>162</v>
      </c>
      <c r="J420" s="82" t="s">
        <v>150</v>
      </c>
      <c r="K420" s="82" t="s">
        <v>1439</v>
      </c>
      <c r="L420" s="82" t="s">
        <v>1426</v>
      </c>
      <c r="M420" s="82" t="s">
        <v>1440</v>
      </c>
      <c r="N420" s="82" t="s">
        <v>160</v>
      </c>
      <c r="O420" s="36" t="s">
        <v>108</v>
      </c>
      <c r="P420" s="18"/>
      <c r="Q420" s="28" t="s">
        <v>108</v>
      </c>
      <c r="R420" s="18"/>
      <c r="S420" s="28" t="s">
        <v>108</v>
      </c>
      <c r="T420" s="18"/>
      <c r="U420" s="28" t="s">
        <v>108</v>
      </c>
      <c r="V420" s="18"/>
      <c r="W420" s="28" t="s">
        <v>108</v>
      </c>
      <c r="X420" s="18"/>
      <c r="Y420" s="28" t="s">
        <v>108</v>
      </c>
      <c r="Z420" s="18"/>
      <c r="AA420" s="28" t="s">
        <v>108</v>
      </c>
      <c r="AB420" s="18"/>
      <c r="AC420" s="28" t="s">
        <v>108</v>
      </c>
      <c r="AD420" s="18"/>
      <c r="AE420" s="28" t="s">
        <v>108</v>
      </c>
      <c r="AF420" s="47" t="str">
        <f t="shared" si="52"/>
        <v>C</v>
      </c>
      <c r="AG420" s="8" t="str">
        <f t="shared" si="54"/>
        <v>UTILIZOU O PDA CORRETAMENTE</v>
      </c>
      <c r="AH420" s="28" t="s">
        <v>108</v>
      </c>
      <c r="AI420" s="66" t="s">
        <v>1</v>
      </c>
      <c r="AJ420" s="22" t="str">
        <f t="shared" si="53"/>
        <v>GUARULHOS</v>
      </c>
      <c r="AK420" s="69" t="s">
        <v>4</v>
      </c>
    </row>
    <row r="421" spans="1:37" ht="30" customHeight="1" x14ac:dyDescent="0.2">
      <c r="A421" s="82" t="s">
        <v>101</v>
      </c>
      <c r="B421" s="82">
        <v>2617525297</v>
      </c>
      <c r="C421" s="82" t="s">
        <v>45</v>
      </c>
      <c r="D421" s="82" t="s">
        <v>27</v>
      </c>
      <c r="E421" s="82" t="s">
        <v>102</v>
      </c>
      <c r="F421" s="82" t="s">
        <v>572</v>
      </c>
      <c r="G421" s="82">
        <v>85</v>
      </c>
      <c r="H421" s="82" t="s">
        <v>1442</v>
      </c>
      <c r="I421" s="82" t="s">
        <v>162</v>
      </c>
      <c r="J421" s="82" t="s">
        <v>150</v>
      </c>
      <c r="K421" s="82" t="s">
        <v>1443</v>
      </c>
      <c r="L421" s="82" t="s">
        <v>1426</v>
      </c>
      <c r="M421" s="82" t="s">
        <v>1444</v>
      </c>
      <c r="N421" s="82" t="s">
        <v>163</v>
      </c>
      <c r="O421" s="36" t="s">
        <v>108</v>
      </c>
      <c r="P421" s="18"/>
      <c r="Q421" s="28" t="s">
        <v>108</v>
      </c>
      <c r="R421" s="18"/>
      <c r="S421" s="28" t="s">
        <v>108</v>
      </c>
      <c r="T421" s="18"/>
      <c r="U421" s="28" t="s">
        <v>108</v>
      </c>
      <c r="V421" s="18"/>
      <c r="W421" s="28" t="s">
        <v>108</v>
      </c>
      <c r="X421" s="18"/>
      <c r="Y421" s="28" t="s">
        <v>108</v>
      </c>
      <c r="Z421" s="18"/>
      <c r="AA421" s="28" t="s">
        <v>108</v>
      </c>
      <c r="AB421" s="18"/>
      <c r="AC421" s="28" t="s">
        <v>108</v>
      </c>
      <c r="AD421" s="18"/>
      <c r="AE421" s="28" t="s">
        <v>108</v>
      </c>
      <c r="AF421" s="47" t="str">
        <f t="shared" si="52"/>
        <v>C</v>
      </c>
      <c r="AG421" s="8" t="str">
        <f t="shared" si="54"/>
        <v>UTILIZOU O PDA CORRETAMENTE</v>
      </c>
      <c r="AH421" s="28" t="s">
        <v>108</v>
      </c>
      <c r="AI421" s="66" t="s">
        <v>1</v>
      </c>
      <c r="AJ421" s="22" t="str">
        <f t="shared" si="53"/>
        <v>GUARULHOS</v>
      </c>
      <c r="AK421" s="69" t="s">
        <v>4</v>
      </c>
    </row>
    <row r="422" spans="1:37" ht="30" customHeight="1" x14ac:dyDescent="0.2">
      <c r="A422" s="82" t="s">
        <v>101</v>
      </c>
      <c r="B422" s="82">
        <v>2616898705</v>
      </c>
      <c r="C422" s="82" t="s">
        <v>42</v>
      </c>
      <c r="D422" s="82" t="s">
        <v>25</v>
      </c>
      <c r="E422" s="82" t="s">
        <v>102</v>
      </c>
      <c r="F422" s="82" t="s">
        <v>1445</v>
      </c>
      <c r="G422" s="82">
        <v>307</v>
      </c>
      <c r="H422" s="82" t="s">
        <v>115</v>
      </c>
      <c r="I422" s="82" t="s">
        <v>1446</v>
      </c>
      <c r="J422" s="82" t="s">
        <v>42</v>
      </c>
      <c r="K422" s="82">
        <v>2616898324</v>
      </c>
      <c r="L422" s="82" t="s">
        <v>1426</v>
      </c>
      <c r="M422" s="82" t="s">
        <v>1447</v>
      </c>
      <c r="N422" s="82" t="s">
        <v>113</v>
      </c>
      <c r="O422" s="36" t="s">
        <v>108</v>
      </c>
      <c r="P422" s="18"/>
      <c r="Q422" s="28" t="s">
        <v>108</v>
      </c>
      <c r="R422" s="18"/>
      <c r="S422" s="28" t="s">
        <v>108</v>
      </c>
      <c r="T422" s="18"/>
      <c r="U422" s="28" t="s">
        <v>108</v>
      </c>
      <c r="V422" s="18"/>
      <c r="W422" s="28" t="s">
        <v>108</v>
      </c>
      <c r="X422" s="18"/>
      <c r="Y422" s="28" t="s">
        <v>108</v>
      </c>
      <c r="Z422" s="18"/>
      <c r="AA422" s="28" t="s">
        <v>108</v>
      </c>
      <c r="AB422" s="18"/>
      <c r="AC422" s="28" t="s">
        <v>108</v>
      </c>
      <c r="AD422" s="18"/>
      <c r="AE422" s="28" t="s">
        <v>108</v>
      </c>
      <c r="AF422" s="47" t="str">
        <f t="shared" si="52"/>
        <v>C</v>
      </c>
      <c r="AG422" s="8" t="str">
        <f t="shared" si="54"/>
        <v>UTILIZOU O PDA CORRETAMENTE</v>
      </c>
      <c r="AH422" s="28"/>
      <c r="AI422" s="66" t="s">
        <v>1</v>
      </c>
      <c r="AJ422" s="22" t="str">
        <f t="shared" si="53"/>
        <v>GUARULHOS</v>
      </c>
      <c r="AK422" s="69" t="s">
        <v>4</v>
      </c>
    </row>
    <row r="423" spans="1:37" ht="30" customHeight="1" x14ac:dyDescent="0.2">
      <c r="A423" s="82" t="s">
        <v>101</v>
      </c>
      <c r="B423" s="82">
        <v>2616394268</v>
      </c>
      <c r="C423" s="82" t="s">
        <v>38</v>
      </c>
      <c r="D423" s="82" t="s">
        <v>25</v>
      </c>
      <c r="E423" s="82" t="s">
        <v>102</v>
      </c>
      <c r="F423" s="82" t="s">
        <v>1154</v>
      </c>
      <c r="G423" s="82">
        <v>51</v>
      </c>
      <c r="H423" s="82" t="s">
        <v>1448</v>
      </c>
      <c r="I423" s="82" t="s">
        <v>237</v>
      </c>
      <c r="J423" s="82" t="s">
        <v>309</v>
      </c>
      <c r="K423" s="82" t="s">
        <v>1449</v>
      </c>
      <c r="L423" s="82" t="s">
        <v>1426</v>
      </c>
      <c r="M423" s="82" t="s">
        <v>1450</v>
      </c>
      <c r="N423" s="82" t="s">
        <v>113</v>
      </c>
      <c r="O423" s="36" t="s">
        <v>108</v>
      </c>
      <c r="P423" s="18"/>
      <c r="Q423" s="28" t="s">
        <v>108</v>
      </c>
      <c r="R423" s="18"/>
      <c r="S423" s="28" t="s">
        <v>108</v>
      </c>
      <c r="T423" s="18"/>
      <c r="U423" s="28" t="s">
        <v>108</v>
      </c>
      <c r="V423" s="18"/>
      <c r="W423" s="28" t="s">
        <v>108</v>
      </c>
      <c r="X423" s="18"/>
      <c r="Y423" s="28" t="s">
        <v>542</v>
      </c>
      <c r="Z423" s="18"/>
      <c r="AA423" s="28" t="s">
        <v>108</v>
      </c>
      <c r="AB423" s="18"/>
      <c r="AC423" s="28" t="s">
        <v>108</v>
      </c>
      <c r="AD423" s="18"/>
      <c r="AE423" s="28" t="s">
        <v>108</v>
      </c>
      <c r="AF423" s="47" t="str">
        <f t="shared" si="52"/>
        <v>C</v>
      </c>
      <c r="AG423" s="8" t="str">
        <f t="shared" si="54"/>
        <v>UTILIZOU O PDA CORRETAMENTE</v>
      </c>
      <c r="AH423" s="28" t="s">
        <v>108</v>
      </c>
      <c r="AI423" s="66" t="s">
        <v>1</v>
      </c>
      <c r="AJ423" s="22" t="str">
        <f t="shared" si="53"/>
        <v>GUARULHOS</v>
      </c>
      <c r="AK423" s="69" t="s">
        <v>4</v>
      </c>
    </row>
    <row r="424" spans="1:37" ht="30" customHeight="1" x14ac:dyDescent="0.2">
      <c r="A424" s="82" t="s">
        <v>101</v>
      </c>
      <c r="B424" s="82">
        <v>2617166095</v>
      </c>
      <c r="C424" s="82" t="s">
        <v>39</v>
      </c>
      <c r="D424" s="82" t="s">
        <v>25</v>
      </c>
      <c r="E424" s="82" t="s">
        <v>102</v>
      </c>
      <c r="F424" s="82" t="s">
        <v>1451</v>
      </c>
      <c r="G424" s="82">
        <v>76</v>
      </c>
      <c r="H424" s="82" t="s">
        <v>110</v>
      </c>
      <c r="I424" s="82" t="s">
        <v>154</v>
      </c>
      <c r="J424" s="82" t="s">
        <v>39</v>
      </c>
      <c r="K424" s="82"/>
      <c r="L424" s="82" t="s">
        <v>1426</v>
      </c>
      <c r="M424" s="82" t="s">
        <v>1452</v>
      </c>
      <c r="N424" s="82" t="s">
        <v>119</v>
      </c>
      <c r="O424" s="36" t="s">
        <v>108</v>
      </c>
      <c r="P424" s="18"/>
      <c r="Q424" s="28" t="s">
        <v>14</v>
      </c>
      <c r="R424" s="18"/>
      <c r="S424" s="28" t="s">
        <v>14</v>
      </c>
      <c r="T424" s="18"/>
      <c r="U424" s="28" t="s">
        <v>14</v>
      </c>
      <c r="V424" s="18"/>
      <c r="W424" s="28" t="s">
        <v>14</v>
      </c>
      <c r="X424" s="18"/>
      <c r="Y424" s="28" t="s">
        <v>14</v>
      </c>
      <c r="Z424" s="18"/>
      <c r="AA424" s="28" t="s">
        <v>108</v>
      </c>
      <c r="AB424" s="18"/>
      <c r="AC424" s="28" t="s">
        <v>108</v>
      </c>
      <c r="AD424" s="18"/>
      <c r="AE424" s="28" t="s">
        <v>108</v>
      </c>
      <c r="AF424" s="47" t="str">
        <f t="shared" si="52"/>
        <v>C</v>
      </c>
      <c r="AG424" s="8" t="str">
        <f t="shared" si="54"/>
        <v>UTILIZOU O PDA CORRETAMENTE</v>
      </c>
      <c r="AH424" s="28" t="s">
        <v>108</v>
      </c>
      <c r="AI424" s="66" t="s">
        <v>1</v>
      </c>
      <c r="AJ424" s="22" t="str">
        <f t="shared" si="53"/>
        <v>GUARULHOS</v>
      </c>
      <c r="AK424" s="69" t="s">
        <v>4</v>
      </c>
    </row>
    <row r="425" spans="1:37" ht="30" customHeight="1" x14ac:dyDescent="0.2">
      <c r="A425" s="82" t="s">
        <v>101</v>
      </c>
      <c r="B425" s="82">
        <v>2616907835</v>
      </c>
      <c r="C425" s="82" t="s">
        <v>39</v>
      </c>
      <c r="D425" s="82" t="s">
        <v>25</v>
      </c>
      <c r="E425" s="82" t="s">
        <v>102</v>
      </c>
      <c r="F425" s="82" t="s">
        <v>1453</v>
      </c>
      <c r="G425" s="82">
        <v>121</v>
      </c>
      <c r="H425" s="82" t="s">
        <v>1454</v>
      </c>
      <c r="I425" s="82" t="s">
        <v>688</v>
      </c>
      <c r="J425" s="82" t="s">
        <v>39</v>
      </c>
      <c r="K425" s="82" t="s">
        <v>1455</v>
      </c>
      <c r="L425" s="82" t="s">
        <v>1426</v>
      </c>
      <c r="M425" s="82" t="s">
        <v>1456</v>
      </c>
      <c r="N425" s="82" t="s">
        <v>119</v>
      </c>
      <c r="O425" s="36" t="s">
        <v>108</v>
      </c>
      <c r="P425" s="18"/>
      <c r="Q425" s="28" t="s">
        <v>14</v>
      </c>
      <c r="R425" s="18"/>
      <c r="S425" s="28" t="s">
        <v>14</v>
      </c>
      <c r="T425" s="18"/>
      <c r="U425" s="28" t="s">
        <v>14</v>
      </c>
      <c r="V425" s="18"/>
      <c r="W425" s="28" t="s">
        <v>14</v>
      </c>
      <c r="X425" s="18"/>
      <c r="Y425" s="28" t="s">
        <v>14</v>
      </c>
      <c r="Z425" s="18"/>
      <c r="AA425" s="28" t="s">
        <v>108</v>
      </c>
      <c r="AB425" s="18"/>
      <c r="AC425" s="28" t="s">
        <v>108</v>
      </c>
      <c r="AD425" s="18"/>
      <c r="AE425" s="28" t="s">
        <v>108</v>
      </c>
      <c r="AF425" s="47" t="str">
        <f t="shared" si="52"/>
        <v>C</v>
      </c>
      <c r="AG425" s="8" t="str">
        <f t="shared" si="54"/>
        <v>UTILIZOU O PDA CORRETAMENTE</v>
      </c>
      <c r="AH425" s="28" t="s">
        <v>108</v>
      </c>
      <c r="AI425" s="66" t="s">
        <v>1</v>
      </c>
      <c r="AJ425" s="22" t="str">
        <f t="shared" si="53"/>
        <v>GUARULHOS</v>
      </c>
      <c r="AK425" s="69" t="s">
        <v>4</v>
      </c>
    </row>
    <row r="426" spans="1:37" ht="30" customHeight="1" x14ac:dyDescent="0.2">
      <c r="A426" s="82" t="s">
        <v>101</v>
      </c>
      <c r="B426" s="82">
        <v>2616907837</v>
      </c>
      <c r="C426" s="82" t="s">
        <v>41</v>
      </c>
      <c r="D426" s="82" t="s">
        <v>25</v>
      </c>
      <c r="E426" s="82" t="s">
        <v>102</v>
      </c>
      <c r="F426" s="82" t="s">
        <v>1453</v>
      </c>
      <c r="G426" s="82">
        <v>121</v>
      </c>
      <c r="H426" s="82" t="s">
        <v>1457</v>
      </c>
      <c r="I426" s="82" t="s">
        <v>688</v>
      </c>
      <c r="J426" s="82" t="s">
        <v>41</v>
      </c>
      <c r="K426" s="82"/>
      <c r="L426" s="82" t="s">
        <v>1426</v>
      </c>
      <c r="M426" s="82" t="s">
        <v>1458</v>
      </c>
      <c r="N426" s="82" t="s">
        <v>119</v>
      </c>
      <c r="O426" s="36" t="s">
        <v>108</v>
      </c>
      <c r="P426" s="18"/>
      <c r="Q426" s="28" t="s">
        <v>14</v>
      </c>
      <c r="R426" s="18"/>
      <c r="S426" s="28" t="s">
        <v>14</v>
      </c>
      <c r="T426" s="18"/>
      <c r="U426" s="28" t="s">
        <v>14</v>
      </c>
      <c r="V426" s="18"/>
      <c r="W426" s="28" t="s">
        <v>14</v>
      </c>
      <c r="X426" s="18"/>
      <c r="Y426" s="28" t="s">
        <v>14</v>
      </c>
      <c r="Z426" s="18"/>
      <c r="AA426" s="28" t="s">
        <v>108</v>
      </c>
      <c r="AB426" s="18"/>
      <c r="AC426" s="28" t="s">
        <v>108</v>
      </c>
      <c r="AD426" s="18"/>
      <c r="AE426" s="28" t="s">
        <v>108</v>
      </c>
      <c r="AF426" s="47" t="str">
        <f t="shared" si="52"/>
        <v>C</v>
      </c>
      <c r="AG426" s="8" t="str">
        <f t="shared" si="54"/>
        <v>UTILIZOU O PDA CORRETAMENTE</v>
      </c>
      <c r="AH426" s="28" t="s">
        <v>108</v>
      </c>
      <c r="AI426" s="66" t="s">
        <v>1</v>
      </c>
      <c r="AJ426" s="22" t="str">
        <f t="shared" si="53"/>
        <v>GUARULHOS</v>
      </c>
      <c r="AK426" s="69" t="s">
        <v>4</v>
      </c>
    </row>
    <row r="427" spans="1:37" ht="30" customHeight="1" x14ac:dyDescent="0.2">
      <c r="A427" s="82" t="s">
        <v>101</v>
      </c>
      <c r="B427" s="82">
        <v>2617109700</v>
      </c>
      <c r="C427" s="82" t="s">
        <v>31</v>
      </c>
      <c r="D427" s="82" t="s">
        <v>25</v>
      </c>
      <c r="E427" s="82" t="s">
        <v>102</v>
      </c>
      <c r="F427" s="82" t="s">
        <v>822</v>
      </c>
      <c r="G427" s="82">
        <v>172</v>
      </c>
      <c r="H427" s="82" t="s">
        <v>1459</v>
      </c>
      <c r="I427" s="82" t="s">
        <v>282</v>
      </c>
      <c r="J427" s="82" t="s">
        <v>123</v>
      </c>
      <c r="K427" s="82" t="s">
        <v>1460</v>
      </c>
      <c r="L427" s="82" t="s">
        <v>1426</v>
      </c>
      <c r="M427" s="82" t="s">
        <v>1461</v>
      </c>
      <c r="N427" s="82" t="s">
        <v>119</v>
      </c>
      <c r="O427" s="36" t="s">
        <v>214</v>
      </c>
      <c r="P427" s="18"/>
      <c r="Q427" s="28" t="s">
        <v>214</v>
      </c>
      <c r="R427" s="18"/>
      <c r="S427" s="28" t="s">
        <v>214</v>
      </c>
      <c r="T427" s="18"/>
      <c r="U427" s="28" t="s">
        <v>214</v>
      </c>
      <c r="V427" s="18"/>
      <c r="W427" s="28" t="s">
        <v>214</v>
      </c>
      <c r="X427" s="18"/>
      <c r="Y427" s="28" t="s">
        <v>214</v>
      </c>
      <c r="Z427" s="18"/>
      <c r="AA427" s="28" t="s">
        <v>214</v>
      </c>
      <c r="AB427" s="18"/>
      <c r="AC427" s="28" t="s">
        <v>214</v>
      </c>
      <c r="AD427" s="18"/>
      <c r="AE427" s="28" t="s">
        <v>114</v>
      </c>
      <c r="AF427" s="47" t="str">
        <f t="shared" si="52"/>
        <v>NC</v>
      </c>
      <c r="AG427" s="8" t="str">
        <f t="shared" ref="AG427:AG440" si="55">IF(AND(AE427="C",AF427="C"),"UTILIZOU O PDA CORRETAMENTE",IF(AND(AE427="C",AF427="NC"),"UTILIZOU O PDA CORRETAMENTE. NÃO HÁ FOTOS DE TODAS AS ETAPAS",IF(AND(AE427="NC",AF427="NC"),"NÃO UTILIZOU O PDA",IF(AND(AE427="NA",AF427="NA"),"NÃO AVALIADO POR FALHA DE SINCRONISMO"))))</f>
        <v>NÃO UTILIZOU O PDA</v>
      </c>
      <c r="AH427" s="28" t="s">
        <v>108</v>
      </c>
      <c r="AI427" s="66" t="s">
        <v>1</v>
      </c>
      <c r="AJ427" s="22" t="str">
        <f t="shared" si="53"/>
        <v>GUARULHOS</v>
      </c>
      <c r="AK427" s="69" t="s">
        <v>4</v>
      </c>
    </row>
    <row r="428" spans="1:37" ht="30" customHeight="1" x14ac:dyDescent="0.2">
      <c r="A428" s="82" t="s">
        <v>101</v>
      </c>
      <c r="B428" s="82">
        <v>2617110638</v>
      </c>
      <c r="C428" s="82" t="s">
        <v>31</v>
      </c>
      <c r="D428" s="82" t="s">
        <v>25</v>
      </c>
      <c r="E428" s="82" t="s">
        <v>102</v>
      </c>
      <c r="F428" s="82" t="s">
        <v>822</v>
      </c>
      <c r="G428" s="82">
        <v>172</v>
      </c>
      <c r="H428" s="82" t="s">
        <v>1462</v>
      </c>
      <c r="I428" s="82" t="s">
        <v>154</v>
      </c>
      <c r="J428" s="82" t="s">
        <v>123</v>
      </c>
      <c r="K428" s="82"/>
      <c r="L428" s="82" t="s">
        <v>1426</v>
      </c>
      <c r="M428" s="82" t="s">
        <v>1463</v>
      </c>
      <c r="N428" s="82" t="s">
        <v>119</v>
      </c>
      <c r="O428" s="36" t="s">
        <v>214</v>
      </c>
      <c r="P428" s="18"/>
      <c r="Q428" s="28" t="s">
        <v>214</v>
      </c>
      <c r="R428" s="18"/>
      <c r="S428" s="28" t="s">
        <v>214</v>
      </c>
      <c r="T428" s="18"/>
      <c r="U428" s="28" t="s">
        <v>214</v>
      </c>
      <c r="V428" s="18"/>
      <c r="W428" s="28" t="s">
        <v>214</v>
      </c>
      <c r="X428" s="18"/>
      <c r="Y428" s="28" t="s">
        <v>214</v>
      </c>
      <c r="Z428" s="18"/>
      <c r="AA428" s="28" t="s">
        <v>214</v>
      </c>
      <c r="AB428" s="18"/>
      <c r="AC428" s="28" t="s">
        <v>214</v>
      </c>
      <c r="AD428" s="18"/>
      <c r="AE428" s="28" t="s">
        <v>114</v>
      </c>
      <c r="AF428" s="47" t="str">
        <f t="shared" si="52"/>
        <v>NC</v>
      </c>
      <c r="AG428" s="8" t="str">
        <f t="shared" si="55"/>
        <v>NÃO UTILIZOU O PDA</v>
      </c>
      <c r="AH428" s="28" t="s">
        <v>108</v>
      </c>
      <c r="AI428" s="66" t="s">
        <v>1</v>
      </c>
      <c r="AJ428" s="22" t="str">
        <f t="shared" si="53"/>
        <v>GUARULHOS</v>
      </c>
      <c r="AK428" s="69" t="s">
        <v>4</v>
      </c>
    </row>
    <row r="429" spans="1:37" ht="30" customHeight="1" x14ac:dyDescent="0.2">
      <c r="A429" s="82" t="s">
        <v>101</v>
      </c>
      <c r="B429" s="82">
        <v>2617166192</v>
      </c>
      <c r="C429" s="82" t="s">
        <v>41</v>
      </c>
      <c r="D429" s="82" t="s">
        <v>25</v>
      </c>
      <c r="E429" s="82" t="s">
        <v>102</v>
      </c>
      <c r="F429" s="82" t="s">
        <v>1451</v>
      </c>
      <c r="G429" s="82">
        <v>76</v>
      </c>
      <c r="H429" s="82" t="s">
        <v>115</v>
      </c>
      <c r="I429" s="82" t="s">
        <v>154</v>
      </c>
      <c r="J429" s="82" t="s">
        <v>41</v>
      </c>
      <c r="K429" s="82" t="s">
        <v>117</v>
      </c>
      <c r="L429" s="82" t="s">
        <v>1426</v>
      </c>
      <c r="M429" s="82" t="s">
        <v>1464</v>
      </c>
      <c r="N429" s="82" t="s">
        <v>119</v>
      </c>
      <c r="O429" s="36" t="s">
        <v>108</v>
      </c>
      <c r="P429" s="18"/>
      <c r="Q429" s="28" t="s">
        <v>14</v>
      </c>
      <c r="R429" s="18"/>
      <c r="S429" s="28" t="s">
        <v>14</v>
      </c>
      <c r="T429" s="18"/>
      <c r="U429" s="28" t="s">
        <v>14</v>
      </c>
      <c r="V429" s="18"/>
      <c r="W429" s="28" t="s">
        <v>14</v>
      </c>
      <c r="X429" s="18"/>
      <c r="Y429" s="28" t="s">
        <v>14</v>
      </c>
      <c r="Z429" s="18"/>
      <c r="AA429" s="28" t="s">
        <v>108</v>
      </c>
      <c r="AB429" s="18"/>
      <c r="AC429" s="28" t="s">
        <v>108</v>
      </c>
      <c r="AD429" s="18"/>
      <c r="AE429" s="28" t="s">
        <v>108</v>
      </c>
      <c r="AF429" s="47" t="str">
        <f t="shared" ref="AF429:AF461" si="56">IF(AND(O429="",Q429="",S429="",U429="",W429="",Y429="",AA429="",AC429=""),"",IF(OR(AND(O429&lt;&gt;"NA",O429&lt;&gt;"C",O429&lt;&gt;"NC",O429&lt;&gt;"SF",O429&lt;&gt;""),AND(Q429&lt;&gt;"NA",Q429&lt;&gt;"C",Q429&lt;&gt;"NC",Q429&lt;&gt;"SF",Q429&lt;&gt;""),AND(S429&lt;&gt;"NA",S429&lt;&gt;"C",S429&lt;&gt;"NC",S429&lt;&gt;"SF",S429&lt;&gt;""),AND(U429&lt;&gt;"NA",U429&lt;&gt;"C",U429&lt;&gt;"NC",U429&lt;&gt;"SF",U429&lt;&gt;""),AND(W429&lt;&gt;"NA",W429&lt;&gt;"C",W429&lt;&gt;"NC",W429&lt;&gt;"SF",W429&lt;&gt;""),AND(Y429&lt;&gt;"NA",Y429&lt;&gt;"C",Y429&lt;&gt;"NC",Y429&lt;&gt;"SF",Y429&lt;&gt;""),AND(AA429&lt;&gt;"NA",AA429&lt;&gt;"C",AA429&lt;&gt;"NC",AA429&lt;&gt;"SF",AA429&lt;&gt;""),AND(AC429&lt;&gt;"NA",AC429&lt;&gt;"C",AC429&lt;&gt;"NC",AC429&lt;&gt;"SF",AC429&lt;&gt;"")),"FALSO",IF(AND(O429="NA",Q429="NA",S429="NA",U429="NA",W429="NA",Y429="NA",AA429="NA",AC429="NA"),"NA",IF(OR(O429="NC",Q429="NC",S429="NC",U429="NC",W429="NC",Y429="NC",AA429="NC",AC429="NC",O429="SF",Q429="SF",S429="SF",U429="SF",W429="SF",Y429="SF",AA429="SF",AC429="SF"),"NC",IF(OR(O429="C",Q429="C",S429="C",U429="C",W429="C",Y429="C",AA429="C",AC429="C"),"C","")))))</f>
        <v>C</v>
      </c>
      <c r="AG429" s="8" t="str">
        <f t="shared" si="55"/>
        <v>UTILIZOU O PDA CORRETAMENTE</v>
      </c>
      <c r="AH429" s="28" t="s">
        <v>108</v>
      </c>
      <c r="AI429" s="66" t="s">
        <v>1</v>
      </c>
      <c r="AJ429" s="22" t="str">
        <f t="shared" ref="AJ429:AJ461" si="57">E429</f>
        <v>GUARULHOS</v>
      </c>
      <c r="AK429" s="69" t="s">
        <v>4</v>
      </c>
    </row>
    <row r="430" spans="1:37" ht="30" customHeight="1" x14ac:dyDescent="0.2">
      <c r="A430" s="82" t="s">
        <v>101</v>
      </c>
      <c r="B430" s="82">
        <v>2691610027</v>
      </c>
      <c r="C430" s="82" t="s">
        <v>51</v>
      </c>
      <c r="D430" s="82" t="s">
        <v>29</v>
      </c>
      <c r="E430" s="82" t="s">
        <v>102</v>
      </c>
      <c r="F430" s="82" t="s">
        <v>1465</v>
      </c>
      <c r="G430" s="82">
        <v>227</v>
      </c>
      <c r="H430" s="82" t="s">
        <v>1466</v>
      </c>
      <c r="I430" s="82" t="s">
        <v>1467</v>
      </c>
      <c r="J430" s="82" t="s">
        <v>170</v>
      </c>
      <c r="K430" s="82" t="s">
        <v>1468</v>
      </c>
      <c r="L430" s="82" t="s">
        <v>1426</v>
      </c>
      <c r="M430" s="82" t="s">
        <v>1469</v>
      </c>
      <c r="N430" s="82" t="s">
        <v>140</v>
      </c>
      <c r="O430" s="36" t="s">
        <v>108</v>
      </c>
      <c r="P430" s="18"/>
      <c r="Q430" s="28" t="s">
        <v>108</v>
      </c>
      <c r="R430" s="18"/>
      <c r="S430" s="28" t="s">
        <v>108</v>
      </c>
      <c r="T430" s="18"/>
      <c r="U430" s="28" t="s">
        <v>108</v>
      </c>
      <c r="V430" s="18"/>
      <c r="W430" s="28" t="s">
        <v>108</v>
      </c>
      <c r="X430" s="18"/>
      <c r="Y430" s="28" t="s">
        <v>14</v>
      </c>
      <c r="Z430" s="18"/>
      <c r="AA430" s="28" t="s">
        <v>108</v>
      </c>
      <c r="AB430" s="18"/>
      <c r="AC430" s="28" t="s">
        <v>108</v>
      </c>
      <c r="AD430" s="18"/>
      <c r="AE430" s="28" t="s">
        <v>108</v>
      </c>
      <c r="AF430" s="47" t="str">
        <f t="shared" si="56"/>
        <v>C</v>
      </c>
      <c r="AG430" s="8" t="str">
        <f t="shared" si="55"/>
        <v>UTILIZOU O PDA CORRETAMENTE</v>
      </c>
      <c r="AH430" s="26" t="s">
        <v>108</v>
      </c>
      <c r="AI430" s="66" t="s">
        <v>1</v>
      </c>
      <c r="AJ430" s="22" t="str">
        <f t="shared" si="57"/>
        <v>GUARULHOS</v>
      </c>
      <c r="AK430" s="69" t="s">
        <v>4</v>
      </c>
    </row>
    <row r="431" spans="1:37" ht="30" customHeight="1" x14ac:dyDescent="0.2">
      <c r="A431" s="82" t="s">
        <v>101</v>
      </c>
      <c r="B431" s="82">
        <v>2691614803</v>
      </c>
      <c r="C431" s="82" t="s">
        <v>48</v>
      </c>
      <c r="D431" s="82" t="s">
        <v>29</v>
      </c>
      <c r="E431" s="82" t="s">
        <v>102</v>
      </c>
      <c r="F431" s="82" t="s">
        <v>1470</v>
      </c>
      <c r="G431" s="82">
        <v>50</v>
      </c>
      <c r="H431" s="82" t="s">
        <v>1471</v>
      </c>
      <c r="I431" s="82" t="s">
        <v>104</v>
      </c>
      <c r="J431" s="82" t="s">
        <v>159</v>
      </c>
      <c r="K431" s="82" t="s">
        <v>1472</v>
      </c>
      <c r="L431" s="82" t="s">
        <v>1426</v>
      </c>
      <c r="M431" s="82" t="s">
        <v>1473</v>
      </c>
      <c r="N431" s="82" t="s">
        <v>146</v>
      </c>
      <c r="O431" s="36" t="s">
        <v>108</v>
      </c>
      <c r="P431" s="18"/>
      <c r="Q431" s="28" t="s">
        <v>108</v>
      </c>
      <c r="R431" s="18"/>
      <c r="S431" s="28" t="s">
        <v>108</v>
      </c>
      <c r="T431" s="18"/>
      <c r="U431" s="28" t="s">
        <v>108</v>
      </c>
      <c r="V431" s="18"/>
      <c r="W431" s="28" t="s">
        <v>108</v>
      </c>
      <c r="X431" s="18"/>
      <c r="Y431" s="28" t="s">
        <v>14</v>
      </c>
      <c r="Z431" s="18"/>
      <c r="AA431" s="28" t="s">
        <v>108</v>
      </c>
      <c r="AB431" s="18"/>
      <c r="AC431" s="28" t="s">
        <v>108</v>
      </c>
      <c r="AD431" s="18"/>
      <c r="AE431" s="28" t="s">
        <v>108</v>
      </c>
      <c r="AF431" s="47" t="str">
        <f t="shared" si="56"/>
        <v>C</v>
      </c>
      <c r="AG431" s="8" t="str">
        <f t="shared" si="55"/>
        <v>UTILIZOU O PDA CORRETAMENTE</v>
      </c>
      <c r="AH431" s="26" t="s">
        <v>108</v>
      </c>
      <c r="AI431" s="66" t="s">
        <v>1</v>
      </c>
      <c r="AJ431" s="22" t="str">
        <f t="shared" si="57"/>
        <v>GUARULHOS</v>
      </c>
      <c r="AK431" s="69" t="s">
        <v>4</v>
      </c>
    </row>
    <row r="432" spans="1:37" ht="30" customHeight="1" x14ac:dyDescent="0.2">
      <c r="A432" s="82" t="s">
        <v>101</v>
      </c>
      <c r="B432" s="82">
        <v>2691613376</v>
      </c>
      <c r="C432" s="82" t="s">
        <v>51</v>
      </c>
      <c r="D432" s="82" t="s">
        <v>29</v>
      </c>
      <c r="E432" s="82" t="s">
        <v>102</v>
      </c>
      <c r="F432" s="82" t="s">
        <v>1474</v>
      </c>
      <c r="G432" s="82">
        <v>413</v>
      </c>
      <c r="H432" s="82" t="s">
        <v>1475</v>
      </c>
      <c r="I432" s="82" t="s">
        <v>264</v>
      </c>
      <c r="J432" s="82" t="s">
        <v>170</v>
      </c>
      <c r="K432" s="82" t="s">
        <v>117</v>
      </c>
      <c r="L432" s="82" t="s">
        <v>1426</v>
      </c>
      <c r="M432" s="82" t="s">
        <v>1476</v>
      </c>
      <c r="N432" s="82" t="s">
        <v>131</v>
      </c>
      <c r="O432" s="36" t="s">
        <v>108</v>
      </c>
      <c r="P432" s="18"/>
      <c r="Q432" s="28" t="s">
        <v>108</v>
      </c>
      <c r="R432" s="18"/>
      <c r="S432" s="28" t="s">
        <v>108</v>
      </c>
      <c r="T432" s="18"/>
      <c r="U432" s="28" t="s">
        <v>108</v>
      </c>
      <c r="V432" s="18"/>
      <c r="W432" s="28" t="s">
        <v>108</v>
      </c>
      <c r="X432" s="18"/>
      <c r="Y432" s="28" t="s">
        <v>14</v>
      </c>
      <c r="Z432" s="18"/>
      <c r="AA432" s="28" t="s">
        <v>108</v>
      </c>
      <c r="AB432" s="18"/>
      <c r="AC432" s="28" t="s">
        <v>108</v>
      </c>
      <c r="AD432" s="18"/>
      <c r="AE432" s="28" t="s">
        <v>108</v>
      </c>
      <c r="AF432" s="47" t="str">
        <f t="shared" si="56"/>
        <v>C</v>
      </c>
      <c r="AG432" s="8" t="str">
        <f t="shared" si="55"/>
        <v>UTILIZOU O PDA CORRETAMENTE</v>
      </c>
      <c r="AH432" s="26" t="s">
        <v>108</v>
      </c>
      <c r="AI432" s="66" t="s">
        <v>1</v>
      </c>
      <c r="AJ432" s="22" t="str">
        <f t="shared" si="57"/>
        <v>GUARULHOS</v>
      </c>
      <c r="AK432" s="69" t="s">
        <v>4</v>
      </c>
    </row>
    <row r="433" spans="1:37" ht="30" customHeight="1" x14ac:dyDescent="0.2">
      <c r="A433" s="82" t="s">
        <v>101</v>
      </c>
      <c r="B433" s="82">
        <v>2617582925</v>
      </c>
      <c r="C433" s="82" t="s">
        <v>45</v>
      </c>
      <c r="D433" s="82" t="s">
        <v>27</v>
      </c>
      <c r="E433" s="82" t="s">
        <v>102</v>
      </c>
      <c r="F433" s="82" t="s">
        <v>572</v>
      </c>
      <c r="G433" s="82">
        <v>127</v>
      </c>
      <c r="H433" s="82" t="s">
        <v>174</v>
      </c>
      <c r="I433" s="82" t="s">
        <v>162</v>
      </c>
      <c r="J433" s="82" t="s">
        <v>150</v>
      </c>
      <c r="K433" s="82" t="s">
        <v>1477</v>
      </c>
      <c r="L433" s="82" t="s">
        <v>1426</v>
      </c>
      <c r="M433" s="82" t="s">
        <v>1478</v>
      </c>
      <c r="N433" s="82" t="s">
        <v>160</v>
      </c>
      <c r="O433" s="36" t="s">
        <v>108</v>
      </c>
      <c r="P433" s="18"/>
      <c r="Q433" s="28" t="s">
        <v>108</v>
      </c>
      <c r="R433" s="18"/>
      <c r="S433" s="28" t="s">
        <v>108</v>
      </c>
      <c r="T433" s="18"/>
      <c r="U433" s="28" t="s">
        <v>108</v>
      </c>
      <c r="V433" s="18"/>
      <c r="W433" s="28" t="s">
        <v>108</v>
      </c>
      <c r="X433" s="18"/>
      <c r="Y433" s="28" t="s">
        <v>108</v>
      </c>
      <c r="Z433" s="18"/>
      <c r="AA433" s="28" t="s">
        <v>108</v>
      </c>
      <c r="AB433" s="18"/>
      <c r="AC433" s="28" t="s">
        <v>108</v>
      </c>
      <c r="AD433" s="18"/>
      <c r="AE433" s="28" t="s">
        <v>108</v>
      </c>
      <c r="AF433" s="47" t="str">
        <f t="shared" si="56"/>
        <v>C</v>
      </c>
      <c r="AG433" s="8" t="str">
        <f t="shared" si="55"/>
        <v>UTILIZOU O PDA CORRETAMENTE</v>
      </c>
      <c r="AH433" s="28" t="s">
        <v>108</v>
      </c>
      <c r="AI433" s="66" t="s">
        <v>1</v>
      </c>
      <c r="AJ433" s="22" t="str">
        <f t="shared" si="57"/>
        <v>GUARULHOS</v>
      </c>
      <c r="AK433" s="69" t="s">
        <v>4</v>
      </c>
    </row>
    <row r="434" spans="1:37" ht="30" customHeight="1" x14ac:dyDescent="0.2">
      <c r="A434" s="82" t="s">
        <v>101</v>
      </c>
      <c r="B434" s="82">
        <v>2617187291</v>
      </c>
      <c r="C434" s="82" t="s">
        <v>39</v>
      </c>
      <c r="D434" s="82" t="s">
        <v>25</v>
      </c>
      <c r="E434" s="82" t="s">
        <v>102</v>
      </c>
      <c r="F434" s="82" t="s">
        <v>1479</v>
      </c>
      <c r="G434" s="82">
        <v>479</v>
      </c>
      <c r="H434" s="82" t="s">
        <v>1480</v>
      </c>
      <c r="I434" s="82" t="s">
        <v>581</v>
      </c>
      <c r="J434" s="82" t="s">
        <v>39</v>
      </c>
      <c r="K434" s="82" t="s">
        <v>1481</v>
      </c>
      <c r="L434" s="82" t="s">
        <v>1426</v>
      </c>
      <c r="M434" s="82" t="s">
        <v>1482</v>
      </c>
      <c r="N434" s="82" t="s">
        <v>274</v>
      </c>
      <c r="O434" s="36" t="s">
        <v>108</v>
      </c>
      <c r="P434" s="18"/>
      <c r="Q434" s="28" t="s">
        <v>14</v>
      </c>
      <c r="R434" s="18"/>
      <c r="S434" s="28" t="s">
        <v>14</v>
      </c>
      <c r="T434" s="18"/>
      <c r="U434" s="28" t="s">
        <v>14</v>
      </c>
      <c r="V434" s="18"/>
      <c r="W434" s="28" t="s">
        <v>14</v>
      </c>
      <c r="X434" s="18"/>
      <c r="Y434" s="28" t="s">
        <v>14</v>
      </c>
      <c r="Z434" s="18"/>
      <c r="AA434" s="28" t="s">
        <v>108</v>
      </c>
      <c r="AB434" s="18"/>
      <c r="AC434" s="28" t="s">
        <v>108</v>
      </c>
      <c r="AD434" s="18"/>
      <c r="AE434" s="28" t="s">
        <v>108</v>
      </c>
      <c r="AF434" s="47" t="str">
        <f t="shared" si="56"/>
        <v>C</v>
      </c>
      <c r="AG434" s="8" t="str">
        <f t="shared" si="55"/>
        <v>UTILIZOU O PDA CORRETAMENTE</v>
      </c>
      <c r="AH434" s="28" t="s">
        <v>108</v>
      </c>
      <c r="AI434" s="66" t="s">
        <v>1</v>
      </c>
      <c r="AJ434" s="22" t="str">
        <f t="shared" si="57"/>
        <v>GUARULHOS</v>
      </c>
      <c r="AK434" s="69" t="s">
        <v>4</v>
      </c>
    </row>
    <row r="435" spans="1:37" ht="30" customHeight="1" x14ac:dyDescent="0.2">
      <c r="A435" s="82" t="s">
        <v>101</v>
      </c>
      <c r="B435" s="82">
        <v>2617187292</v>
      </c>
      <c r="C435" s="82" t="s">
        <v>41</v>
      </c>
      <c r="D435" s="82" t="s">
        <v>25</v>
      </c>
      <c r="E435" s="82" t="s">
        <v>102</v>
      </c>
      <c r="F435" s="82" t="s">
        <v>1479</v>
      </c>
      <c r="G435" s="82">
        <v>479</v>
      </c>
      <c r="H435" s="82" t="s">
        <v>1146</v>
      </c>
      <c r="I435" s="82" t="s">
        <v>581</v>
      </c>
      <c r="J435" s="82" t="s">
        <v>41</v>
      </c>
      <c r="K435" s="82" t="s">
        <v>1483</v>
      </c>
      <c r="L435" s="82" t="s">
        <v>1426</v>
      </c>
      <c r="M435" s="82" t="s">
        <v>1484</v>
      </c>
      <c r="N435" s="82" t="s">
        <v>274</v>
      </c>
      <c r="O435" s="36" t="s">
        <v>108</v>
      </c>
      <c r="P435" s="18"/>
      <c r="Q435" s="28" t="s">
        <v>14</v>
      </c>
      <c r="R435" s="18"/>
      <c r="S435" s="28" t="s">
        <v>14</v>
      </c>
      <c r="T435" s="18"/>
      <c r="U435" s="28" t="s">
        <v>14</v>
      </c>
      <c r="V435" s="18"/>
      <c r="W435" s="28" t="s">
        <v>14</v>
      </c>
      <c r="X435" s="18"/>
      <c r="Y435" s="28" t="s">
        <v>14</v>
      </c>
      <c r="Z435" s="18"/>
      <c r="AA435" s="28" t="s">
        <v>108</v>
      </c>
      <c r="AB435" s="18"/>
      <c r="AC435" s="28" t="s">
        <v>108</v>
      </c>
      <c r="AD435" s="18"/>
      <c r="AE435" s="28" t="s">
        <v>108</v>
      </c>
      <c r="AF435" s="47" t="str">
        <f t="shared" si="56"/>
        <v>C</v>
      </c>
      <c r="AG435" s="8" t="str">
        <f t="shared" si="55"/>
        <v>UTILIZOU O PDA CORRETAMENTE</v>
      </c>
      <c r="AH435" s="28" t="s">
        <v>108</v>
      </c>
      <c r="AI435" s="66" t="s">
        <v>1</v>
      </c>
      <c r="AJ435" s="22" t="str">
        <f t="shared" si="57"/>
        <v>GUARULHOS</v>
      </c>
      <c r="AK435" s="69" t="s">
        <v>4</v>
      </c>
    </row>
    <row r="436" spans="1:37" ht="30" customHeight="1" x14ac:dyDescent="0.2">
      <c r="A436" s="82" t="s">
        <v>101</v>
      </c>
      <c r="B436" s="82">
        <v>2617536782</v>
      </c>
      <c r="C436" s="82" t="s">
        <v>44</v>
      </c>
      <c r="D436" s="82" t="s">
        <v>29</v>
      </c>
      <c r="E436" s="82" t="s">
        <v>102</v>
      </c>
      <c r="F436" s="82" t="s">
        <v>1485</v>
      </c>
      <c r="G436" s="82">
        <v>197</v>
      </c>
      <c r="H436" s="82"/>
      <c r="I436" s="82" t="s">
        <v>367</v>
      </c>
      <c r="J436" s="82" t="s">
        <v>194</v>
      </c>
      <c r="K436" s="82" t="s">
        <v>1486</v>
      </c>
      <c r="L436" s="82" t="s">
        <v>1426</v>
      </c>
      <c r="M436" s="82" t="s">
        <v>1487</v>
      </c>
      <c r="N436" s="82" t="s">
        <v>171</v>
      </c>
      <c r="O436" s="35" t="s">
        <v>108</v>
      </c>
      <c r="P436" s="25"/>
      <c r="Q436" s="26" t="s">
        <v>108</v>
      </c>
      <c r="R436" s="25"/>
      <c r="S436" s="26" t="s">
        <v>108</v>
      </c>
      <c r="T436" s="25"/>
      <c r="U436" s="26" t="s">
        <v>108</v>
      </c>
      <c r="V436" s="25"/>
      <c r="W436" s="26" t="s">
        <v>108</v>
      </c>
      <c r="X436" s="25"/>
      <c r="Y436" s="26" t="s">
        <v>108</v>
      </c>
      <c r="Z436" s="25"/>
      <c r="AA436" s="26" t="s">
        <v>108</v>
      </c>
      <c r="AB436" s="25"/>
      <c r="AC436" s="26" t="s">
        <v>108</v>
      </c>
      <c r="AD436" s="10"/>
      <c r="AE436" s="26" t="s">
        <v>108</v>
      </c>
      <c r="AF436" s="47" t="str">
        <f t="shared" si="56"/>
        <v>C</v>
      </c>
      <c r="AG436" s="8" t="str">
        <f t="shared" si="55"/>
        <v>UTILIZOU O PDA CORRETAMENTE</v>
      </c>
      <c r="AH436" s="26" t="s">
        <v>108</v>
      </c>
      <c r="AI436" s="66" t="s">
        <v>1</v>
      </c>
      <c r="AJ436" s="22" t="str">
        <f t="shared" si="57"/>
        <v>GUARULHOS</v>
      </c>
      <c r="AK436" s="69" t="s">
        <v>4</v>
      </c>
    </row>
    <row r="437" spans="1:37" ht="30" customHeight="1" x14ac:dyDescent="0.2">
      <c r="A437" s="82" t="s">
        <v>101</v>
      </c>
      <c r="B437" s="82">
        <v>2691575432</v>
      </c>
      <c r="C437" s="82" t="s">
        <v>43</v>
      </c>
      <c r="D437" s="82" t="s">
        <v>29</v>
      </c>
      <c r="E437" s="82" t="s">
        <v>102</v>
      </c>
      <c r="F437" s="82" t="s">
        <v>1106</v>
      </c>
      <c r="G437" s="82">
        <v>298</v>
      </c>
      <c r="H437" s="82" t="s">
        <v>603</v>
      </c>
      <c r="I437" s="82" t="s">
        <v>277</v>
      </c>
      <c r="J437" s="82" t="s">
        <v>188</v>
      </c>
      <c r="K437" s="82" t="s">
        <v>1488</v>
      </c>
      <c r="L437" s="82" t="s">
        <v>1426</v>
      </c>
      <c r="M437" s="82" t="s">
        <v>1489</v>
      </c>
      <c r="N437" s="82" t="s">
        <v>297</v>
      </c>
      <c r="O437" s="35" t="s">
        <v>108</v>
      </c>
      <c r="P437" s="25"/>
      <c r="Q437" s="26" t="s">
        <v>108</v>
      </c>
      <c r="R437" s="25"/>
      <c r="S437" s="26" t="s">
        <v>108</v>
      </c>
      <c r="T437" s="25"/>
      <c r="U437" s="26" t="s">
        <v>108</v>
      </c>
      <c r="V437" s="25"/>
      <c r="W437" s="26" t="s">
        <v>108</v>
      </c>
      <c r="X437" s="25"/>
      <c r="Y437" s="26" t="s">
        <v>108</v>
      </c>
      <c r="Z437" s="25"/>
      <c r="AA437" s="26" t="s">
        <v>108</v>
      </c>
      <c r="AB437" s="25"/>
      <c r="AC437" s="26" t="s">
        <v>108</v>
      </c>
      <c r="AD437" s="10"/>
      <c r="AE437" s="26" t="s">
        <v>108</v>
      </c>
      <c r="AF437" s="47" t="str">
        <f t="shared" si="56"/>
        <v>C</v>
      </c>
      <c r="AG437" s="8" t="str">
        <f t="shared" si="55"/>
        <v>UTILIZOU O PDA CORRETAMENTE</v>
      </c>
      <c r="AH437" s="26" t="s">
        <v>108</v>
      </c>
      <c r="AI437" s="66" t="s">
        <v>1</v>
      </c>
      <c r="AJ437" s="22" t="str">
        <f t="shared" si="57"/>
        <v>GUARULHOS</v>
      </c>
      <c r="AK437" s="69" t="s">
        <v>4</v>
      </c>
    </row>
    <row r="438" spans="1:37" ht="30" customHeight="1" x14ac:dyDescent="0.2">
      <c r="A438" s="82" t="s">
        <v>101</v>
      </c>
      <c r="B438" s="82">
        <v>2617611269</v>
      </c>
      <c r="C438" s="82" t="s">
        <v>45</v>
      </c>
      <c r="D438" s="82" t="s">
        <v>27</v>
      </c>
      <c r="E438" s="82" t="s">
        <v>102</v>
      </c>
      <c r="F438" s="82" t="s">
        <v>1485</v>
      </c>
      <c r="G438" s="82">
        <v>203</v>
      </c>
      <c r="H438" s="82" t="s">
        <v>1490</v>
      </c>
      <c r="I438" s="82" t="s">
        <v>367</v>
      </c>
      <c r="J438" s="82" t="s">
        <v>150</v>
      </c>
      <c r="K438" s="82" t="s">
        <v>1491</v>
      </c>
      <c r="L438" s="82" t="s">
        <v>1426</v>
      </c>
      <c r="M438" s="82" t="s">
        <v>1492</v>
      </c>
      <c r="N438" s="82" t="s">
        <v>171</v>
      </c>
      <c r="O438" s="35" t="s">
        <v>108</v>
      </c>
      <c r="P438" s="25"/>
      <c r="Q438" s="26" t="s">
        <v>108</v>
      </c>
      <c r="R438" s="25"/>
      <c r="S438" s="26" t="s">
        <v>108</v>
      </c>
      <c r="T438" s="25"/>
      <c r="U438" s="26" t="s">
        <v>108</v>
      </c>
      <c r="V438" s="25"/>
      <c r="W438" s="26" t="s">
        <v>108</v>
      </c>
      <c r="X438" s="25"/>
      <c r="Y438" s="26" t="s">
        <v>108</v>
      </c>
      <c r="Z438" s="25"/>
      <c r="AA438" s="26" t="s">
        <v>108</v>
      </c>
      <c r="AB438" s="25"/>
      <c r="AC438" s="26" t="s">
        <v>108</v>
      </c>
      <c r="AD438" s="10"/>
      <c r="AE438" s="26" t="s">
        <v>108</v>
      </c>
      <c r="AF438" s="47" t="str">
        <f t="shared" si="56"/>
        <v>C</v>
      </c>
      <c r="AG438" s="8" t="str">
        <f t="shared" si="55"/>
        <v>UTILIZOU O PDA CORRETAMENTE</v>
      </c>
      <c r="AH438" s="26" t="s">
        <v>108</v>
      </c>
      <c r="AI438" s="66" t="s">
        <v>1</v>
      </c>
      <c r="AJ438" s="22" t="str">
        <f t="shared" si="57"/>
        <v>GUARULHOS</v>
      </c>
      <c r="AK438" s="69" t="s">
        <v>4</v>
      </c>
    </row>
    <row r="439" spans="1:37" ht="30" customHeight="1" x14ac:dyDescent="0.2">
      <c r="A439" s="82" t="s">
        <v>101</v>
      </c>
      <c r="B439" s="82">
        <v>2617624103</v>
      </c>
      <c r="C439" s="82" t="s">
        <v>45</v>
      </c>
      <c r="D439" s="82" t="s">
        <v>27</v>
      </c>
      <c r="E439" s="82" t="s">
        <v>102</v>
      </c>
      <c r="F439" s="82" t="s">
        <v>1413</v>
      </c>
      <c r="G439" s="82">
        <v>145</v>
      </c>
      <c r="H439" s="82" t="s">
        <v>241</v>
      </c>
      <c r="I439" s="82" t="s">
        <v>940</v>
      </c>
      <c r="J439" s="82" t="s">
        <v>150</v>
      </c>
      <c r="K439" s="82" t="s">
        <v>1493</v>
      </c>
      <c r="L439" s="82" t="s">
        <v>1426</v>
      </c>
      <c r="M439" s="82" t="s">
        <v>1494</v>
      </c>
      <c r="N439" s="82" t="s">
        <v>209</v>
      </c>
      <c r="O439" s="35" t="s">
        <v>108</v>
      </c>
      <c r="P439" s="25"/>
      <c r="Q439" s="26" t="s">
        <v>108</v>
      </c>
      <c r="R439" s="25"/>
      <c r="S439" s="26" t="s">
        <v>108</v>
      </c>
      <c r="T439" s="25"/>
      <c r="U439" s="26" t="s">
        <v>108</v>
      </c>
      <c r="V439" s="25"/>
      <c r="W439" s="26" t="s">
        <v>108</v>
      </c>
      <c r="X439" s="25"/>
      <c r="Y439" s="26" t="s">
        <v>108</v>
      </c>
      <c r="Z439" s="25"/>
      <c r="AA439" s="26" t="s">
        <v>108</v>
      </c>
      <c r="AB439" s="25"/>
      <c r="AC439" s="26" t="s">
        <v>108</v>
      </c>
      <c r="AD439" s="10"/>
      <c r="AE439" s="26" t="s">
        <v>108</v>
      </c>
      <c r="AF439" s="47" t="str">
        <f t="shared" si="56"/>
        <v>C</v>
      </c>
      <c r="AG439" s="8" t="str">
        <f t="shared" si="55"/>
        <v>UTILIZOU O PDA CORRETAMENTE</v>
      </c>
      <c r="AH439" s="26" t="s">
        <v>108</v>
      </c>
      <c r="AI439" s="66" t="s">
        <v>1</v>
      </c>
      <c r="AJ439" s="22" t="str">
        <f t="shared" si="57"/>
        <v>GUARULHOS</v>
      </c>
      <c r="AK439" s="69" t="s">
        <v>4</v>
      </c>
    </row>
    <row r="440" spans="1:37" ht="30" customHeight="1" x14ac:dyDescent="0.2">
      <c r="A440" s="82" t="s">
        <v>101</v>
      </c>
      <c r="B440" s="82">
        <v>2691590347</v>
      </c>
      <c r="C440" s="82" t="s">
        <v>43</v>
      </c>
      <c r="D440" s="82" t="s">
        <v>29</v>
      </c>
      <c r="E440" s="82" t="s">
        <v>102</v>
      </c>
      <c r="F440" s="82" t="s">
        <v>757</v>
      </c>
      <c r="G440" s="82">
        <v>318</v>
      </c>
      <c r="H440" s="82" t="s">
        <v>753</v>
      </c>
      <c r="I440" s="82" t="s">
        <v>291</v>
      </c>
      <c r="J440" s="82" t="s">
        <v>188</v>
      </c>
      <c r="K440" s="82" t="s">
        <v>1488</v>
      </c>
      <c r="L440" s="82" t="s">
        <v>1426</v>
      </c>
      <c r="M440" s="82" t="s">
        <v>1495</v>
      </c>
      <c r="N440" s="82" t="s">
        <v>144</v>
      </c>
      <c r="O440" s="35" t="s">
        <v>108</v>
      </c>
      <c r="P440" s="25"/>
      <c r="Q440" s="26" t="s">
        <v>108</v>
      </c>
      <c r="R440" s="25"/>
      <c r="S440" s="26" t="s">
        <v>108</v>
      </c>
      <c r="T440" s="25"/>
      <c r="U440" s="26" t="s">
        <v>108</v>
      </c>
      <c r="V440" s="25"/>
      <c r="W440" s="26" t="s">
        <v>108</v>
      </c>
      <c r="X440" s="25"/>
      <c r="Y440" s="26" t="s">
        <v>108</v>
      </c>
      <c r="Z440" s="25"/>
      <c r="AA440" s="26" t="s">
        <v>108</v>
      </c>
      <c r="AB440" s="25"/>
      <c r="AC440" s="26" t="s">
        <v>108</v>
      </c>
      <c r="AD440" s="10"/>
      <c r="AE440" s="26" t="s">
        <v>108</v>
      </c>
      <c r="AF440" s="47" t="str">
        <f t="shared" si="56"/>
        <v>C</v>
      </c>
      <c r="AG440" s="8" t="str">
        <f t="shared" si="55"/>
        <v>UTILIZOU O PDA CORRETAMENTE</v>
      </c>
      <c r="AH440" s="26" t="s">
        <v>108</v>
      </c>
      <c r="AI440" s="66" t="s">
        <v>1</v>
      </c>
      <c r="AJ440" s="22" t="str">
        <f t="shared" si="57"/>
        <v>GUARULHOS</v>
      </c>
      <c r="AK440" s="69" t="s">
        <v>4</v>
      </c>
    </row>
    <row r="441" spans="1:37" ht="30" customHeight="1" x14ac:dyDescent="0.2">
      <c r="A441" s="82" t="s">
        <v>101</v>
      </c>
      <c r="B441" s="82">
        <v>2617337196</v>
      </c>
      <c r="C441" s="82" t="s">
        <v>39</v>
      </c>
      <c r="D441" s="82" t="s">
        <v>25</v>
      </c>
      <c r="E441" s="82" t="s">
        <v>102</v>
      </c>
      <c r="F441" s="82" t="s">
        <v>1496</v>
      </c>
      <c r="G441" s="82">
        <v>224</v>
      </c>
      <c r="H441" s="82" t="s">
        <v>110</v>
      </c>
      <c r="I441" s="82" t="s">
        <v>111</v>
      </c>
      <c r="J441" s="82" t="s">
        <v>39</v>
      </c>
      <c r="K441" s="82" t="s">
        <v>117</v>
      </c>
      <c r="L441" s="82" t="s">
        <v>1426</v>
      </c>
      <c r="M441" s="82" t="s">
        <v>1497</v>
      </c>
      <c r="N441" s="82" t="s">
        <v>113</v>
      </c>
      <c r="O441" s="36" t="s">
        <v>108</v>
      </c>
      <c r="P441" s="18"/>
      <c r="Q441" s="28" t="s">
        <v>14</v>
      </c>
      <c r="R441" s="18"/>
      <c r="S441" s="28" t="s">
        <v>14</v>
      </c>
      <c r="T441" s="18"/>
      <c r="U441" s="28" t="s">
        <v>14</v>
      </c>
      <c r="V441" s="18"/>
      <c r="W441" s="28" t="s">
        <v>14</v>
      </c>
      <c r="X441" s="18"/>
      <c r="Y441" s="28" t="s">
        <v>14</v>
      </c>
      <c r="Z441" s="18"/>
      <c r="AA441" s="28" t="s">
        <v>108</v>
      </c>
      <c r="AB441" s="18"/>
      <c r="AC441" s="28" t="s">
        <v>108</v>
      </c>
      <c r="AD441" s="18"/>
      <c r="AE441" s="28" t="s">
        <v>108</v>
      </c>
      <c r="AF441" s="47" t="str">
        <f t="shared" si="56"/>
        <v>C</v>
      </c>
      <c r="AG441" s="8" t="str">
        <f t="shared" ref="AG441:AG461" si="58">IF(AND(AE441="C",AF441="C"),"UTILIZOU O PDA CORRETAMENTE",IF(AND(AE441="C",AF441="NC"),"UTILIZOU O PDA CORRETAMENTE. NÃO HÁ FOTOS DE TODAS AS ETAPAS",IF(AND(AE441="NC",AF441="NC"),"NÃO UTILIZOU O PDA",IF(AND(AE441="NA",AF441="NA"),"NÃO AVALIADO POR FALHA DE SINCRONISMO"))))</f>
        <v>UTILIZOU O PDA CORRETAMENTE</v>
      </c>
      <c r="AH441" s="28" t="s">
        <v>108</v>
      </c>
      <c r="AI441" s="66" t="s">
        <v>1</v>
      </c>
      <c r="AJ441" s="22" t="str">
        <f t="shared" si="57"/>
        <v>GUARULHOS</v>
      </c>
      <c r="AK441" s="69" t="s">
        <v>4</v>
      </c>
    </row>
    <row r="442" spans="1:37" ht="30" customHeight="1" x14ac:dyDescent="0.2">
      <c r="A442" s="82" t="s">
        <v>101</v>
      </c>
      <c r="B442" s="82">
        <v>2617633395</v>
      </c>
      <c r="C442" s="82" t="s">
        <v>45</v>
      </c>
      <c r="D442" s="82" t="s">
        <v>27</v>
      </c>
      <c r="E442" s="82" t="s">
        <v>102</v>
      </c>
      <c r="F442" s="82" t="s">
        <v>236</v>
      </c>
      <c r="G442" s="82">
        <v>355</v>
      </c>
      <c r="H442" s="82" t="s">
        <v>117</v>
      </c>
      <c r="I442" s="82" t="s">
        <v>237</v>
      </c>
      <c r="J442" s="82" t="s">
        <v>150</v>
      </c>
      <c r="K442" s="82" t="s">
        <v>1498</v>
      </c>
      <c r="L442" s="82" t="s">
        <v>1426</v>
      </c>
      <c r="M442" s="82" t="s">
        <v>1499</v>
      </c>
      <c r="N442" s="82" t="s">
        <v>140</v>
      </c>
      <c r="O442" s="35" t="s">
        <v>108</v>
      </c>
      <c r="P442" s="25"/>
      <c r="Q442" s="26" t="s">
        <v>108</v>
      </c>
      <c r="R442" s="25"/>
      <c r="S442" s="26" t="s">
        <v>108</v>
      </c>
      <c r="T442" s="25"/>
      <c r="U442" s="26" t="s">
        <v>108</v>
      </c>
      <c r="V442" s="25"/>
      <c r="W442" s="26" t="s">
        <v>108</v>
      </c>
      <c r="X442" s="25"/>
      <c r="Y442" s="26" t="s">
        <v>108</v>
      </c>
      <c r="Z442" s="25"/>
      <c r="AA442" s="26" t="s">
        <v>108</v>
      </c>
      <c r="AB442" s="25"/>
      <c r="AC442" s="26" t="s">
        <v>108</v>
      </c>
      <c r="AD442" s="10"/>
      <c r="AE442" s="26" t="s">
        <v>108</v>
      </c>
      <c r="AF442" s="47" t="str">
        <f t="shared" si="56"/>
        <v>C</v>
      </c>
      <c r="AG442" s="8" t="str">
        <f t="shared" si="58"/>
        <v>UTILIZOU O PDA CORRETAMENTE</v>
      </c>
      <c r="AH442" s="26" t="s">
        <v>108</v>
      </c>
      <c r="AI442" s="66" t="s">
        <v>1</v>
      </c>
      <c r="AJ442" s="22" t="str">
        <f t="shared" si="57"/>
        <v>GUARULHOS</v>
      </c>
      <c r="AK442" s="69" t="s">
        <v>4</v>
      </c>
    </row>
    <row r="443" spans="1:37" ht="30" customHeight="1" x14ac:dyDescent="0.2">
      <c r="A443" s="82" t="s">
        <v>101</v>
      </c>
      <c r="B443" s="82">
        <v>2617591876</v>
      </c>
      <c r="C443" s="82" t="s">
        <v>50</v>
      </c>
      <c r="D443" s="82" t="s">
        <v>29</v>
      </c>
      <c r="E443" s="82" t="s">
        <v>102</v>
      </c>
      <c r="F443" s="82" t="s">
        <v>1501</v>
      </c>
      <c r="G443" s="82">
        <v>23</v>
      </c>
      <c r="H443" s="82" t="s">
        <v>110</v>
      </c>
      <c r="I443" s="82" t="s">
        <v>1167</v>
      </c>
      <c r="J443" s="82" t="s">
        <v>130</v>
      </c>
      <c r="K443" s="82"/>
      <c r="L443" s="82" t="s">
        <v>1500</v>
      </c>
      <c r="M443" s="82" t="s">
        <v>1502</v>
      </c>
      <c r="N443" s="82" t="s">
        <v>131</v>
      </c>
      <c r="O443" s="36" t="s">
        <v>108</v>
      </c>
      <c r="P443" s="18"/>
      <c r="Q443" s="28" t="s">
        <v>108</v>
      </c>
      <c r="R443" s="18"/>
      <c r="S443" s="28" t="s">
        <v>108</v>
      </c>
      <c r="T443" s="18"/>
      <c r="U443" s="28" t="s">
        <v>108</v>
      </c>
      <c r="V443" s="18"/>
      <c r="W443" s="28" t="s">
        <v>108</v>
      </c>
      <c r="X443" s="18"/>
      <c r="Y443" s="28" t="s">
        <v>14</v>
      </c>
      <c r="Z443" s="18"/>
      <c r="AA443" s="28" t="s">
        <v>108</v>
      </c>
      <c r="AB443" s="18"/>
      <c r="AC443" s="28" t="s">
        <v>108</v>
      </c>
      <c r="AD443" s="18"/>
      <c r="AE443" s="28" t="s">
        <v>108</v>
      </c>
      <c r="AF443" s="47" t="str">
        <f t="shared" si="56"/>
        <v>C</v>
      </c>
      <c r="AG443" s="8" t="str">
        <f t="shared" si="58"/>
        <v>UTILIZOU O PDA CORRETAMENTE</v>
      </c>
      <c r="AH443" s="26" t="s">
        <v>108</v>
      </c>
      <c r="AI443" s="66" t="s">
        <v>1</v>
      </c>
      <c r="AJ443" s="22" t="str">
        <f t="shared" si="57"/>
        <v>GUARULHOS</v>
      </c>
      <c r="AK443" s="69" t="s">
        <v>4</v>
      </c>
    </row>
    <row r="444" spans="1:37" ht="30" customHeight="1" x14ac:dyDescent="0.2">
      <c r="A444" s="82" t="s">
        <v>101</v>
      </c>
      <c r="B444" s="82">
        <v>2617639566</v>
      </c>
      <c r="C444" s="82" t="s">
        <v>48</v>
      </c>
      <c r="D444" s="82" t="s">
        <v>29</v>
      </c>
      <c r="E444" s="82" t="s">
        <v>102</v>
      </c>
      <c r="F444" s="82" t="s">
        <v>240</v>
      </c>
      <c r="G444" s="82">
        <v>30</v>
      </c>
      <c r="H444" s="82" t="s">
        <v>241</v>
      </c>
      <c r="I444" s="82" t="s">
        <v>242</v>
      </c>
      <c r="J444" s="82" t="s">
        <v>188</v>
      </c>
      <c r="K444" s="82" t="s">
        <v>1503</v>
      </c>
      <c r="L444" s="82" t="s">
        <v>1500</v>
      </c>
      <c r="M444" s="82" t="s">
        <v>1504</v>
      </c>
      <c r="N444" s="82" t="s">
        <v>144</v>
      </c>
      <c r="O444" s="36" t="s">
        <v>108</v>
      </c>
      <c r="P444" s="18"/>
      <c r="Q444" s="28" t="s">
        <v>108</v>
      </c>
      <c r="R444" s="18"/>
      <c r="S444" s="28" t="s">
        <v>108</v>
      </c>
      <c r="T444" s="18"/>
      <c r="U444" s="28" t="s">
        <v>108</v>
      </c>
      <c r="V444" s="18"/>
      <c r="W444" s="28" t="s">
        <v>108</v>
      </c>
      <c r="X444" s="18"/>
      <c r="Y444" s="28" t="s">
        <v>14</v>
      </c>
      <c r="Z444" s="18"/>
      <c r="AA444" s="28" t="s">
        <v>108</v>
      </c>
      <c r="AB444" s="18"/>
      <c r="AC444" s="28" t="s">
        <v>108</v>
      </c>
      <c r="AD444" s="18"/>
      <c r="AE444" s="28" t="s">
        <v>108</v>
      </c>
      <c r="AF444" s="47" t="str">
        <f t="shared" si="56"/>
        <v>C</v>
      </c>
      <c r="AG444" s="8" t="str">
        <f t="shared" si="58"/>
        <v>UTILIZOU O PDA CORRETAMENTE</v>
      </c>
      <c r="AH444" s="26" t="s">
        <v>108</v>
      </c>
      <c r="AI444" s="66" t="s">
        <v>1</v>
      </c>
      <c r="AJ444" s="22" t="str">
        <f t="shared" si="57"/>
        <v>GUARULHOS</v>
      </c>
      <c r="AK444" s="69" t="s">
        <v>4</v>
      </c>
    </row>
    <row r="445" spans="1:37" ht="30" customHeight="1" x14ac:dyDescent="0.2">
      <c r="A445" s="82" t="s">
        <v>101</v>
      </c>
      <c r="B445" s="82">
        <v>2617603004</v>
      </c>
      <c r="C445" s="82" t="s">
        <v>47</v>
      </c>
      <c r="D445" s="82" t="s">
        <v>29</v>
      </c>
      <c r="E445" s="82" t="s">
        <v>102</v>
      </c>
      <c r="F445" s="82" t="s">
        <v>1505</v>
      </c>
      <c r="G445" s="82">
        <v>66</v>
      </c>
      <c r="H445" s="82" t="s">
        <v>1506</v>
      </c>
      <c r="I445" s="82" t="s">
        <v>389</v>
      </c>
      <c r="J445" s="82" t="s">
        <v>170</v>
      </c>
      <c r="K445" s="82"/>
      <c r="L445" s="82" t="s">
        <v>1500</v>
      </c>
      <c r="M445" s="82" t="s">
        <v>1507</v>
      </c>
      <c r="N445" s="82" t="s">
        <v>140</v>
      </c>
      <c r="O445" s="36" t="s">
        <v>108</v>
      </c>
      <c r="P445" s="18"/>
      <c r="Q445" s="28" t="s">
        <v>108</v>
      </c>
      <c r="R445" s="18"/>
      <c r="S445" s="28" t="s">
        <v>108</v>
      </c>
      <c r="T445" s="18"/>
      <c r="U445" s="28" t="s">
        <v>108</v>
      </c>
      <c r="V445" s="18"/>
      <c r="W445" s="28" t="s">
        <v>108</v>
      </c>
      <c r="X445" s="18"/>
      <c r="Y445" s="28" t="s">
        <v>14</v>
      </c>
      <c r="Z445" s="18"/>
      <c r="AA445" s="28" t="s">
        <v>108</v>
      </c>
      <c r="AB445" s="18"/>
      <c r="AC445" s="28" t="s">
        <v>108</v>
      </c>
      <c r="AD445" s="18"/>
      <c r="AE445" s="28" t="s">
        <v>108</v>
      </c>
      <c r="AF445" s="47" t="str">
        <f t="shared" si="56"/>
        <v>C</v>
      </c>
      <c r="AG445" s="8" t="str">
        <f t="shared" si="58"/>
        <v>UTILIZOU O PDA CORRETAMENTE</v>
      </c>
      <c r="AH445" s="26" t="s">
        <v>108</v>
      </c>
      <c r="AI445" s="66" t="s">
        <v>1</v>
      </c>
      <c r="AJ445" s="22" t="str">
        <f t="shared" si="57"/>
        <v>GUARULHOS</v>
      </c>
      <c r="AK445" s="69" t="s">
        <v>4</v>
      </c>
    </row>
    <row r="446" spans="1:37" ht="30" customHeight="1" x14ac:dyDescent="0.2">
      <c r="A446" s="82" t="s">
        <v>101</v>
      </c>
      <c r="B446" s="82">
        <v>2691681885</v>
      </c>
      <c r="C446" s="82" t="s">
        <v>46</v>
      </c>
      <c r="D446" s="82" t="s">
        <v>29</v>
      </c>
      <c r="E446" s="82" t="s">
        <v>102</v>
      </c>
      <c r="F446" s="82" t="s">
        <v>1508</v>
      </c>
      <c r="G446" s="82">
        <v>684</v>
      </c>
      <c r="H446" s="82" t="s">
        <v>1509</v>
      </c>
      <c r="I446" s="82" t="s">
        <v>516</v>
      </c>
      <c r="J446" s="82" t="s">
        <v>159</v>
      </c>
      <c r="K446" s="82" t="s">
        <v>117</v>
      </c>
      <c r="L446" s="82" t="s">
        <v>1500</v>
      </c>
      <c r="M446" s="82" t="s">
        <v>1510</v>
      </c>
      <c r="N446" s="82" t="s">
        <v>231</v>
      </c>
      <c r="O446" s="36" t="s">
        <v>108</v>
      </c>
      <c r="P446" s="18"/>
      <c r="Q446" s="28" t="s">
        <v>108</v>
      </c>
      <c r="R446" s="18"/>
      <c r="S446" s="28" t="s">
        <v>108</v>
      </c>
      <c r="T446" s="18"/>
      <c r="U446" s="28" t="s">
        <v>108</v>
      </c>
      <c r="V446" s="18"/>
      <c r="W446" s="28" t="s">
        <v>108</v>
      </c>
      <c r="X446" s="18"/>
      <c r="Y446" s="28" t="s">
        <v>14</v>
      </c>
      <c r="Z446" s="18"/>
      <c r="AA446" s="28" t="s">
        <v>108</v>
      </c>
      <c r="AB446" s="18"/>
      <c r="AC446" s="28" t="s">
        <v>108</v>
      </c>
      <c r="AD446" s="18"/>
      <c r="AE446" s="28" t="s">
        <v>108</v>
      </c>
      <c r="AF446" s="47" t="str">
        <f t="shared" si="56"/>
        <v>C</v>
      </c>
      <c r="AG446" s="8" t="str">
        <f t="shared" si="58"/>
        <v>UTILIZOU O PDA CORRETAMENTE</v>
      </c>
      <c r="AH446" s="26" t="s">
        <v>108</v>
      </c>
      <c r="AI446" s="66" t="s">
        <v>1</v>
      </c>
      <c r="AJ446" s="22" t="str">
        <f t="shared" si="57"/>
        <v>GUARULHOS</v>
      </c>
      <c r="AK446" s="69" t="s">
        <v>4</v>
      </c>
    </row>
    <row r="447" spans="1:37" ht="30" customHeight="1" x14ac:dyDescent="0.2">
      <c r="A447" s="82" t="s">
        <v>101</v>
      </c>
      <c r="B447" s="82">
        <v>2691644312</v>
      </c>
      <c r="C447" s="82" t="s">
        <v>47</v>
      </c>
      <c r="D447" s="82" t="s">
        <v>29</v>
      </c>
      <c r="E447" s="82" t="s">
        <v>102</v>
      </c>
      <c r="F447" s="82" t="s">
        <v>1511</v>
      </c>
      <c r="G447" s="82">
        <v>515</v>
      </c>
      <c r="H447" s="82" t="s">
        <v>1512</v>
      </c>
      <c r="I447" s="82" t="s">
        <v>247</v>
      </c>
      <c r="J447" s="82" t="s">
        <v>170</v>
      </c>
      <c r="K447" s="82"/>
      <c r="L447" s="82" t="s">
        <v>1500</v>
      </c>
      <c r="M447" s="82" t="s">
        <v>1513</v>
      </c>
      <c r="N447" s="82" t="s">
        <v>297</v>
      </c>
      <c r="O447" s="36" t="s">
        <v>108</v>
      </c>
      <c r="P447" s="18"/>
      <c r="Q447" s="28" t="s">
        <v>108</v>
      </c>
      <c r="R447" s="18"/>
      <c r="S447" s="28" t="s">
        <v>108</v>
      </c>
      <c r="T447" s="18"/>
      <c r="U447" s="28" t="s">
        <v>108</v>
      </c>
      <c r="V447" s="18"/>
      <c r="W447" s="28" t="s">
        <v>108</v>
      </c>
      <c r="X447" s="18"/>
      <c r="Y447" s="28" t="s">
        <v>14</v>
      </c>
      <c r="Z447" s="18"/>
      <c r="AA447" s="28" t="s">
        <v>108</v>
      </c>
      <c r="AB447" s="18"/>
      <c r="AC447" s="28" t="s">
        <v>108</v>
      </c>
      <c r="AD447" s="18"/>
      <c r="AE447" s="28" t="s">
        <v>108</v>
      </c>
      <c r="AF447" s="47" t="str">
        <f t="shared" si="56"/>
        <v>C</v>
      </c>
      <c r="AG447" s="8" t="str">
        <f t="shared" si="58"/>
        <v>UTILIZOU O PDA CORRETAMENTE</v>
      </c>
      <c r="AH447" s="26" t="s">
        <v>108</v>
      </c>
      <c r="AI447" s="66" t="s">
        <v>1</v>
      </c>
      <c r="AJ447" s="22" t="str">
        <f t="shared" si="57"/>
        <v>GUARULHOS</v>
      </c>
      <c r="AK447" s="69" t="s">
        <v>4</v>
      </c>
    </row>
    <row r="448" spans="1:37" ht="30" customHeight="1" x14ac:dyDescent="0.2">
      <c r="A448" s="82" t="s">
        <v>101</v>
      </c>
      <c r="B448" s="82">
        <v>2617601462</v>
      </c>
      <c r="C448" s="82" t="s">
        <v>47</v>
      </c>
      <c r="D448" s="82" t="s">
        <v>29</v>
      </c>
      <c r="E448" s="82" t="s">
        <v>102</v>
      </c>
      <c r="F448" s="82" t="s">
        <v>1514</v>
      </c>
      <c r="G448" s="82">
        <v>70</v>
      </c>
      <c r="H448" s="82" t="s">
        <v>774</v>
      </c>
      <c r="I448" s="82" t="s">
        <v>111</v>
      </c>
      <c r="J448" s="82" t="s">
        <v>170</v>
      </c>
      <c r="K448" s="82" t="s">
        <v>1515</v>
      </c>
      <c r="L448" s="82" t="s">
        <v>1500</v>
      </c>
      <c r="M448" s="82" t="s">
        <v>1516</v>
      </c>
      <c r="N448" s="82" t="s">
        <v>180</v>
      </c>
      <c r="O448" s="36" t="s">
        <v>108</v>
      </c>
      <c r="P448" s="18"/>
      <c r="Q448" s="28" t="s">
        <v>108</v>
      </c>
      <c r="R448" s="18"/>
      <c r="S448" s="28" t="s">
        <v>108</v>
      </c>
      <c r="T448" s="18"/>
      <c r="U448" s="28" t="s">
        <v>108</v>
      </c>
      <c r="V448" s="18"/>
      <c r="W448" s="28" t="s">
        <v>108</v>
      </c>
      <c r="X448" s="18"/>
      <c r="Y448" s="28" t="s">
        <v>14</v>
      </c>
      <c r="Z448" s="18"/>
      <c r="AA448" s="28" t="s">
        <v>108</v>
      </c>
      <c r="AB448" s="18"/>
      <c r="AC448" s="28" t="s">
        <v>108</v>
      </c>
      <c r="AD448" s="18"/>
      <c r="AE448" s="28" t="s">
        <v>108</v>
      </c>
      <c r="AF448" s="47" t="str">
        <f t="shared" si="56"/>
        <v>C</v>
      </c>
      <c r="AG448" s="8" t="str">
        <f t="shared" si="58"/>
        <v>UTILIZOU O PDA CORRETAMENTE</v>
      </c>
      <c r="AH448" s="26" t="s">
        <v>108</v>
      </c>
      <c r="AI448" s="66" t="s">
        <v>1</v>
      </c>
      <c r="AJ448" s="22" t="str">
        <f t="shared" si="57"/>
        <v>GUARULHOS</v>
      </c>
      <c r="AK448" s="69" t="s">
        <v>4</v>
      </c>
    </row>
    <row r="449" spans="1:37" ht="30" customHeight="1" x14ac:dyDescent="0.2">
      <c r="A449" s="82" t="s">
        <v>101</v>
      </c>
      <c r="B449" s="82">
        <v>2617604056</v>
      </c>
      <c r="C449" s="82" t="s">
        <v>47</v>
      </c>
      <c r="D449" s="82" t="s">
        <v>29</v>
      </c>
      <c r="E449" s="82" t="s">
        <v>102</v>
      </c>
      <c r="F449" s="82" t="s">
        <v>1517</v>
      </c>
      <c r="G449" s="82">
        <v>52</v>
      </c>
      <c r="H449" s="82" t="s">
        <v>1518</v>
      </c>
      <c r="I449" s="82" t="s">
        <v>111</v>
      </c>
      <c r="J449" s="82" t="s">
        <v>170</v>
      </c>
      <c r="K449" s="82"/>
      <c r="L449" s="82" t="s">
        <v>1500</v>
      </c>
      <c r="M449" s="82" t="s">
        <v>1519</v>
      </c>
      <c r="N449" s="82" t="s">
        <v>180</v>
      </c>
      <c r="O449" s="36" t="s">
        <v>108</v>
      </c>
      <c r="P449" s="18"/>
      <c r="Q449" s="28" t="s">
        <v>108</v>
      </c>
      <c r="R449" s="18"/>
      <c r="S449" s="28" t="s">
        <v>108</v>
      </c>
      <c r="T449" s="18"/>
      <c r="U449" s="28" t="s">
        <v>108</v>
      </c>
      <c r="V449" s="18"/>
      <c r="W449" s="28" t="s">
        <v>108</v>
      </c>
      <c r="X449" s="18"/>
      <c r="Y449" s="28" t="s">
        <v>14</v>
      </c>
      <c r="Z449" s="18"/>
      <c r="AA449" s="28" t="s">
        <v>108</v>
      </c>
      <c r="AB449" s="18"/>
      <c r="AC449" s="28" t="s">
        <v>108</v>
      </c>
      <c r="AD449" s="18"/>
      <c r="AE449" s="28" t="s">
        <v>108</v>
      </c>
      <c r="AF449" s="47" t="str">
        <f t="shared" si="56"/>
        <v>C</v>
      </c>
      <c r="AG449" s="8" t="str">
        <f t="shared" si="58"/>
        <v>UTILIZOU O PDA CORRETAMENTE</v>
      </c>
      <c r="AH449" s="26" t="s">
        <v>108</v>
      </c>
      <c r="AI449" s="66" t="s">
        <v>1</v>
      </c>
      <c r="AJ449" s="22" t="str">
        <f t="shared" si="57"/>
        <v>GUARULHOS</v>
      </c>
      <c r="AK449" s="69" t="s">
        <v>4</v>
      </c>
    </row>
    <row r="450" spans="1:37" ht="30" customHeight="1" x14ac:dyDescent="0.2">
      <c r="A450" s="82" t="s">
        <v>101</v>
      </c>
      <c r="B450" s="82">
        <v>2617628259</v>
      </c>
      <c r="C450" s="82" t="s">
        <v>45</v>
      </c>
      <c r="D450" s="82" t="s">
        <v>27</v>
      </c>
      <c r="E450" s="82" t="s">
        <v>102</v>
      </c>
      <c r="F450" s="82" t="s">
        <v>236</v>
      </c>
      <c r="G450" s="82">
        <v>334</v>
      </c>
      <c r="H450" s="82" t="s">
        <v>1522</v>
      </c>
      <c r="I450" s="82" t="s">
        <v>237</v>
      </c>
      <c r="J450" s="82" t="s">
        <v>150</v>
      </c>
      <c r="K450" s="82" t="s">
        <v>1523</v>
      </c>
      <c r="L450" s="82" t="s">
        <v>1500</v>
      </c>
      <c r="M450" s="82" t="s">
        <v>1524</v>
      </c>
      <c r="N450" s="82" t="s">
        <v>205</v>
      </c>
      <c r="O450" s="35" t="s">
        <v>108</v>
      </c>
      <c r="P450" s="25"/>
      <c r="Q450" s="26" t="s">
        <v>108</v>
      </c>
      <c r="R450" s="25"/>
      <c r="S450" s="26" t="s">
        <v>108</v>
      </c>
      <c r="T450" s="25"/>
      <c r="U450" s="26" t="s">
        <v>108</v>
      </c>
      <c r="V450" s="25"/>
      <c r="W450" s="26" t="s">
        <v>108</v>
      </c>
      <c r="X450" s="25"/>
      <c r="Y450" s="26" t="s">
        <v>108</v>
      </c>
      <c r="Z450" s="25"/>
      <c r="AA450" s="26" t="s">
        <v>108</v>
      </c>
      <c r="AB450" s="25"/>
      <c r="AC450" s="26" t="s">
        <v>108</v>
      </c>
      <c r="AD450" s="10"/>
      <c r="AE450" s="26" t="s">
        <v>108</v>
      </c>
      <c r="AF450" s="47" t="str">
        <f t="shared" si="56"/>
        <v>C</v>
      </c>
      <c r="AG450" s="8" t="str">
        <f t="shared" si="58"/>
        <v>UTILIZOU O PDA CORRETAMENTE</v>
      </c>
      <c r="AH450" s="26" t="s">
        <v>108</v>
      </c>
      <c r="AI450" s="66" t="s">
        <v>1</v>
      </c>
      <c r="AJ450" s="22" t="str">
        <f t="shared" si="57"/>
        <v>GUARULHOS</v>
      </c>
      <c r="AK450" s="69" t="s">
        <v>4</v>
      </c>
    </row>
    <row r="451" spans="1:37" ht="30" customHeight="1" x14ac:dyDescent="0.2">
      <c r="A451" s="82" t="s">
        <v>101</v>
      </c>
      <c r="B451" s="82">
        <v>2617293803</v>
      </c>
      <c r="C451" s="82" t="s">
        <v>41</v>
      </c>
      <c r="D451" s="82" t="s">
        <v>25</v>
      </c>
      <c r="E451" s="82" t="s">
        <v>102</v>
      </c>
      <c r="F451" s="82" t="s">
        <v>1526</v>
      </c>
      <c r="G451" s="82">
        <v>55</v>
      </c>
      <c r="H451" s="82" t="s">
        <v>897</v>
      </c>
      <c r="I451" s="82" t="s">
        <v>327</v>
      </c>
      <c r="J451" s="82" t="s">
        <v>41</v>
      </c>
      <c r="K451" s="82" t="s">
        <v>1527</v>
      </c>
      <c r="L451" s="82" t="s">
        <v>1500</v>
      </c>
      <c r="M451" s="82" t="s">
        <v>1528</v>
      </c>
      <c r="N451" s="82" t="s">
        <v>274</v>
      </c>
      <c r="O451" s="36" t="s">
        <v>108</v>
      </c>
      <c r="P451" s="18"/>
      <c r="Q451" s="28" t="s">
        <v>14</v>
      </c>
      <c r="R451" s="18"/>
      <c r="S451" s="28" t="s">
        <v>14</v>
      </c>
      <c r="T451" s="18"/>
      <c r="U451" s="28" t="s">
        <v>14</v>
      </c>
      <c r="V451" s="18"/>
      <c r="W451" s="28" t="s">
        <v>14</v>
      </c>
      <c r="X451" s="18"/>
      <c r="Y451" s="28" t="s">
        <v>14</v>
      </c>
      <c r="Z451" s="18"/>
      <c r="AA451" s="28" t="s">
        <v>108</v>
      </c>
      <c r="AB451" s="18"/>
      <c r="AC451" s="28" t="s">
        <v>108</v>
      </c>
      <c r="AD451" s="18"/>
      <c r="AE451" s="28" t="s">
        <v>108</v>
      </c>
      <c r="AF451" s="47" t="str">
        <f t="shared" si="56"/>
        <v>C</v>
      </c>
      <c r="AG451" s="8" t="str">
        <f t="shared" si="58"/>
        <v>UTILIZOU O PDA CORRETAMENTE</v>
      </c>
      <c r="AH451" s="28" t="s">
        <v>108</v>
      </c>
      <c r="AI451" s="66" t="s">
        <v>1</v>
      </c>
      <c r="AJ451" s="22" t="str">
        <f t="shared" si="57"/>
        <v>GUARULHOS</v>
      </c>
      <c r="AK451" s="69" t="s">
        <v>4</v>
      </c>
    </row>
    <row r="452" spans="1:37" ht="30" customHeight="1" x14ac:dyDescent="0.2">
      <c r="A452" s="82" t="s">
        <v>101</v>
      </c>
      <c r="B452" s="82">
        <v>2617293759</v>
      </c>
      <c r="C452" s="82" t="s">
        <v>39</v>
      </c>
      <c r="D452" s="82" t="s">
        <v>25</v>
      </c>
      <c r="E452" s="82" t="s">
        <v>102</v>
      </c>
      <c r="F452" s="82" t="s">
        <v>1526</v>
      </c>
      <c r="G452" s="82">
        <v>55</v>
      </c>
      <c r="H452" s="82" t="s">
        <v>891</v>
      </c>
      <c r="I452" s="82" t="s">
        <v>327</v>
      </c>
      <c r="J452" s="82" t="s">
        <v>39</v>
      </c>
      <c r="K452" s="82" t="s">
        <v>1529</v>
      </c>
      <c r="L452" s="82" t="s">
        <v>1500</v>
      </c>
      <c r="M452" s="82" t="s">
        <v>1530</v>
      </c>
      <c r="N452" s="82" t="s">
        <v>274</v>
      </c>
      <c r="O452" s="36" t="s">
        <v>108</v>
      </c>
      <c r="P452" s="18"/>
      <c r="Q452" s="28" t="s">
        <v>14</v>
      </c>
      <c r="R452" s="18"/>
      <c r="S452" s="28" t="s">
        <v>14</v>
      </c>
      <c r="T452" s="18"/>
      <c r="U452" s="28" t="s">
        <v>14</v>
      </c>
      <c r="V452" s="18"/>
      <c r="W452" s="28" t="s">
        <v>14</v>
      </c>
      <c r="X452" s="18"/>
      <c r="Y452" s="28" t="s">
        <v>14</v>
      </c>
      <c r="Z452" s="18"/>
      <c r="AA452" s="28" t="s">
        <v>108</v>
      </c>
      <c r="AB452" s="18"/>
      <c r="AC452" s="28" t="s">
        <v>108</v>
      </c>
      <c r="AD452" s="18"/>
      <c r="AE452" s="28" t="s">
        <v>108</v>
      </c>
      <c r="AF452" s="47" t="str">
        <f t="shared" si="56"/>
        <v>C</v>
      </c>
      <c r="AG452" s="8" t="str">
        <f t="shared" si="58"/>
        <v>UTILIZOU O PDA CORRETAMENTE</v>
      </c>
      <c r="AH452" s="28" t="s">
        <v>108</v>
      </c>
      <c r="AI452" s="66" t="s">
        <v>1</v>
      </c>
      <c r="AJ452" s="22" t="str">
        <f t="shared" si="57"/>
        <v>GUARULHOS</v>
      </c>
      <c r="AK452" s="69" t="s">
        <v>4</v>
      </c>
    </row>
    <row r="453" spans="1:37" ht="30" customHeight="1" x14ac:dyDescent="0.2">
      <c r="A453" s="82" t="s">
        <v>101</v>
      </c>
      <c r="B453" s="82">
        <v>2617123648</v>
      </c>
      <c r="C453" s="82" t="s">
        <v>40</v>
      </c>
      <c r="D453" s="82" t="s">
        <v>25</v>
      </c>
      <c r="E453" s="82" t="s">
        <v>102</v>
      </c>
      <c r="F453" s="82" t="s">
        <v>1531</v>
      </c>
      <c r="G453" s="82">
        <v>54</v>
      </c>
      <c r="H453" s="82" t="s">
        <v>117</v>
      </c>
      <c r="I453" s="82" t="s">
        <v>1292</v>
      </c>
      <c r="J453" s="82" t="s">
        <v>40</v>
      </c>
      <c r="K453" s="82" t="s">
        <v>1532</v>
      </c>
      <c r="L453" s="82" t="s">
        <v>1500</v>
      </c>
      <c r="M453" s="82" t="s">
        <v>1533</v>
      </c>
      <c r="N453" s="82" t="s">
        <v>113</v>
      </c>
      <c r="O453" s="36" t="s">
        <v>108</v>
      </c>
      <c r="P453" s="18"/>
      <c r="Q453" s="28" t="s">
        <v>108</v>
      </c>
      <c r="R453" s="18"/>
      <c r="S453" s="28" t="s">
        <v>108</v>
      </c>
      <c r="T453" s="18"/>
      <c r="U453" s="28" t="s">
        <v>108</v>
      </c>
      <c r="V453" s="18"/>
      <c r="W453" s="28" t="s">
        <v>108</v>
      </c>
      <c r="X453" s="18"/>
      <c r="Y453" s="28" t="s">
        <v>108</v>
      </c>
      <c r="Z453" s="18"/>
      <c r="AA453" s="28" t="s">
        <v>108</v>
      </c>
      <c r="AB453" s="18"/>
      <c r="AC453" s="28" t="s">
        <v>108</v>
      </c>
      <c r="AD453" s="18"/>
      <c r="AE453" s="28" t="s">
        <v>108</v>
      </c>
      <c r="AF453" s="47" t="str">
        <f t="shared" si="56"/>
        <v>C</v>
      </c>
      <c r="AG453" s="8" t="str">
        <f t="shared" si="58"/>
        <v>UTILIZOU O PDA CORRETAMENTE</v>
      </c>
      <c r="AH453" s="28" t="s">
        <v>108</v>
      </c>
      <c r="AI453" s="66" t="s">
        <v>1</v>
      </c>
      <c r="AJ453" s="22" t="str">
        <f t="shared" si="57"/>
        <v>GUARULHOS</v>
      </c>
      <c r="AK453" s="69" t="s">
        <v>4</v>
      </c>
    </row>
    <row r="454" spans="1:37" ht="30" customHeight="1" x14ac:dyDescent="0.2">
      <c r="A454" s="82" t="s">
        <v>101</v>
      </c>
      <c r="B454" s="82">
        <v>2617123682</v>
      </c>
      <c r="C454" s="82" t="s">
        <v>42</v>
      </c>
      <c r="D454" s="82" t="s">
        <v>25</v>
      </c>
      <c r="E454" s="82" t="s">
        <v>102</v>
      </c>
      <c r="F454" s="82" t="s">
        <v>1531</v>
      </c>
      <c r="G454" s="82">
        <v>54</v>
      </c>
      <c r="H454" s="82" t="s">
        <v>115</v>
      </c>
      <c r="I454" s="82" t="s">
        <v>1292</v>
      </c>
      <c r="J454" s="82" t="s">
        <v>42</v>
      </c>
      <c r="K454" s="82">
        <v>2617123648</v>
      </c>
      <c r="L454" s="82" t="s">
        <v>1500</v>
      </c>
      <c r="M454" s="82" t="s">
        <v>1534</v>
      </c>
      <c r="N454" s="82" t="s">
        <v>113</v>
      </c>
      <c r="O454" s="36" t="s">
        <v>108</v>
      </c>
      <c r="P454" s="18"/>
      <c r="Q454" s="28" t="s">
        <v>108</v>
      </c>
      <c r="R454" s="18"/>
      <c r="S454" s="28" t="s">
        <v>108</v>
      </c>
      <c r="T454" s="18"/>
      <c r="U454" s="28" t="s">
        <v>108</v>
      </c>
      <c r="V454" s="18"/>
      <c r="W454" s="28" t="s">
        <v>108</v>
      </c>
      <c r="X454" s="18"/>
      <c r="Y454" s="28" t="s">
        <v>108</v>
      </c>
      <c r="Z454" s="18"/>
      <c r="AA454" s="28" t="s">
        <v>108</v>
      </c>
      <c r="AB454" s="18"/>
      <c r="AC454" s="28" t="s">
        <v>108</v>
      </c>
      <c r="AD454" s="18"/>
      <c r="AE454" s="28" t="s">
        <v>108</v>
      </c>
      <c r="AF454" s="47" t="str">
        <f t="shared" si="56"/>
        <v>C</v>
      </c>
      <c r="AG454" s="8" t="str">
        <f t="shared" si="58"/>
        <v>UTILIZOU O PDA CORRETAMENTE</v>
      </c>
      <c r="AH454" s="28" t="s">
        <v>108</v>
      </c>
      <c r="AI454" s="66" t="s">
        <v>1</v>
      </c>
      <c r="AJ454" s="22" t="str">
        <f t="shared" si="57"/>
        <v>GUARULHOS</v>
      </c>
      <c r="AK454" s="69" t="s">
        <v>4</v>
      </c>
    </row>
    <row r="455" spans="1:37" ht="30" customHeight="1" x14ac:dyDescent="0.2">
      <c r="A455" s="82" t="s">
        <v>101</v>
      </c>
      <c r="B455" s="82">
        <v>2614164004</v>
      </c>
      <c r="C455" s="82" t="s">
        <v>38</v>
      </c>
      <c r="D455" s="82" t="s">
        <v>25</v>
      </c>
      <c r="E455" s="82" t="s">
        <v>102</v>
      </c>
      <c r="F455" s="82" t="s">
        <v>1535</v>
      </c>
      <c r="G455" s="82">
        <v>29</v>
      </c>
      <c r="H455" s="82" t="s">
        <v>138</v>
      </c>
      <c r="I455" s="82" t="s">
        <v>245</v>
      </c>
      <c r="J455" s="82" t="s">
        <v>309</v>
      </c>
      <c r="K455" s="82" t="s">
        <v>1536</v>
      </c>
      <c r="L455" s="82" t="s">
        <v>1500</v>
      </c>
      <c r="M455" s="82" t="s">
        <v>1537</v>
      </c>
      <c r="N455" s="82" t="s">
        <v>113</v>
      </c>
      <c r="O455" s="36" t="s">
        <v>108</v>
      </c>
      <c r="P455" s="18"/>
      <c r="Q455" s="28" t="s">
        <v>108</v>
      </c>
      <c r="R455" s="18"/>
      <c r="S455" s="28" t="s">
        <v>108</v>
      </c>
      <c r="T455" s="18"/>
      <c r="U455" s="28" t="s">
        <v>108</v>
      </c>
      <c r="V455" s="18"/>
      <c r="W455" s="28" t="s">
        <v>108</v>
      </c>
      <c r="X455" s="18"/>
      <c r="Y455" s="28" t="s">
        <v>542</v>
      </c>
      <c r="Z455" s="18"/>
      <c r="AA455" s="28" t="s">
        <v>108</v>
      </c>
      <c r="AB455" s="18"/>
      <c r="AC455" s="28" t="s">
        <v>108</v>
      </c>
      <c r="AD455" s="18"/>
      <c r="AE455" s="28" t="s">
        <v>108</v>
      </c>
      <c r="AF455" s="47" t="str">
        <f t="shared" si="56"/>
        <v>C</v>
      </c>
      <c r="AG455" s="8" t="str">
        <f t="shared" si="58"/>
        <v>UTILIZOU O PDA CORRETAMENTE</v>
      </c>
      <c r="AH455" s="28" t="s">
        <v>108</v>
      </c>
      <c r="AI455" s="66" t="s">
        <v>1</v>
      </c>
      <c r="AJ455" s="22" t="str">
        <f t="shared" si="57"/>
        <v>GUARULHOS</v>
      </c>
      <c r="AK455" s="69" t="s">
        <v>4</v>
      </c>
    </row>
    <row r="456" spans="1:37" ht="30" customHeight="1" x14ac:dyDescent="0.2">
      <c r="A456" s="82" t="s">
        <v>101</v>
      </c>
      <c r="B456" s="82">
        <v>2617123724</v>
      </c>
      <c r="C456" s="82" t="s">
        <v>42</v>
      </c>
      <c r="D456" s="82" t="s">
        <v>25</v>
      </c>
      <c r="E456" s="82" t="s">
        <v>102</v>
      </c>
      <c r="F456" s="82" t="s">
        <v>1531</v>
      </c>
      <c r="G456" s="82">
        <v>54</v>
      </c>
      <c r="H456" s="82" t="s">
        <v>1002</v>
      </c>
      <c r="I456" s="82" t="s">
        <v>1292</v>
      </c>
      <c r="J456" s="82" t="s">
        <v>42</v>
      </c>
      <c r="K456" s="82">
        <v>2617123648</v>
      </c>
      <c r="L456" s="82" t="s">
        <v>1500</v>
      </c>
      <c r="M456" s="82" t="s">
        <v>1538</v>
      </c>
      <c r="N456" s="82" t="s">
        <v>113</v>
      </c>
      <c r="O456" s="36" t="s">
        <v>108</v>
      </c>
      <c r="P456" s="18"/>
      <c r="Q456" s="28" t="s">
        <v>108</v>
      </c>
      <c r="R456" s="18"/>
      <c r="S456" s="28" t="s">
        <v>108</v>
      </c>
      <c r="T456" s="18"/>
      <c r="U456" s="28" t="s">
        <v>108</v>
      </c>
      <c r="V456" s="18"/>
      <c r="W456" s="28" t="s">
        <v>108</v>
      </c>
      <c r="X456" s="18"/>
      <c r="Y456" s="28" t="s">
        <v>108</v>
      </c>
      <c r="Z456" s="18"/>
      <c r="AA456" s="28" t="s">
        <v>108</v>
      </c>
      <c r="AB456" s="18"/>
      <c r="AC456" s="28" t="s">
        <v>108</v>
      </c>
      <c r="AD456" s="18"/>
      <c r="AE456" s="28" t="s">
        <v>108</v>
      </c>
      <c r="AF456" s="47" t="str">
        <f t="shared" si="56"/>
        <v>C</v>
      </c>
      <c r="AG456" s="8" t="str">
        <f t="shared" si="58"/>
        <v>UTILIZOU O PDA CORRETAMENTE</v>
      </c>
      <c r="AH456" s="28" t="s">
        <v>108</v>
      </c>
      <c r="AI456" s="66" t="s">
        <v>1</v>
      </c>
      <c r="AJ456" s="22" t="str">
        <f t="shared" si="57"/>
        <v>GUARULHOS</v>
      </c>
      <c r="AK456" s="69" t="s">
        <v>4</v>
      </c>
    </row>
    <row r="457" spans="1:37" ht="30" customHeight="1" x14ac:dyDescent="0.2">
      <c r="A457" s="82" t="s">
        <v>101</v>
      </c>
      <c r="B457" s="82">
        <v>2617123721</v>
      </c>
      <c r="C457" s="82" t="s">
        <v>42</v>
      </c>
      <c r="D457" s="82" t="s">
        <v>25</v>
      </c>
      <c r="E457" s="82" t="s">
        <v>102</v>
      </c>
      <c r="F457" s="82" t="s">
        <v>1531</v>
      </c>
      <c r="G457" s="82">
        <v>54</v>
      </c>
      <c r="H457" s="82" t="s">
        <v>318</v>
      </c>
      <c r="I457" s="82" t="s">
        <v>1292</v>
      </c>
      <c r="J457" s="82" t="s">
        <v>42</v>
      </c>
      <c r="K457" s="82">
        <v>2617123648</v>
      </c>
      <c r="L457" s="82" t="s">
        <v>1500</v>
      </c>
      <c r="M457" s="82" t="s">
        <v>1539</v>
      </c>
      <c r="N457" s="82" t="s">
        <v>113</v>
      </c>
      <c r="O457" s="36" t="s">
        <v>108</v>
      </c>
      <c r="P457" s="18"/>
      <c r="Q457" s="28" t="s">
        <v>108</v>
      </c>
      <c r="R457" s="18"/>
      <c r="S457" s="28" t="s">
        <v>108</v>
      </c>
      <c r="T457" s="18"/>
      <c r="U457" s="28" t="s">
        <v>108</v>
      </c>
      <c r="V457" s="18"/>
      <c r="W457" s="28" t="s">
        <v>108</v>
      </c>
      <c r="X457" s="18"/>
      <c r="Y457" s="28" t="s">
        <v>108</v>
      </c>
      <c r="Z457" s="18"/>
      <c r="AA457" s="28" t="s">
        <v>108</v>
      </c>
      <c r="AB457" s="18"/>
      <c r="AC457" s="28" t="s">
        <v>108</v>
      </c>
      <c r="AD457" s="18"/>
      <c r="AE457" s="28" t="s">
        <v>108</v>
      </c>
      <c r="AF457" s="47" t="str">
        <f t="shared" si="56"/>
        <v>C</v>
      </c>
      <c r="AG457" s="8" t="str">
        <f t="shared" si="58"/>
        <v>UTILIZOU O PDA CORRETAMENTE</v>
      </c>
      <c r="AH457" s="28" t="s">
        <v>108</v>
      </c>
      <c r="AI457" s="66" t="s">
        <v>1</v>
      </c>
      <c r="AJ457" s="22" t="str">
        <f t="shared" si="57"/>
        <v>GUARULHOS</v>
      </c>
      <c r="AK457" s="69" t="s">
        <v>4</v>
      </c>
    </row>
    <row r="458" spans="1:37" ht="30" customHeight="1" x14ac:dyDescent="0.2">
      <c r="A458" s="82" t="s">
        <v>101</v>
      </c>
      <c r="B458" s="82">
        <v>2617123720</v>
      </c>
      <c r="C458" s="82" t="s">
        <v>42</v>
      </c>
      <c r="D458" s="82" t="s">
        <v>25</v>
      </c>
      <c r="E458" s="82" t="s">
        <v>102</v>
      </c>
      <c r="F458" s="82" t="s">
        <v>1531</v>
      </c>
      <c r="G458" s="82">
        <v>54</v>
      </c>
      <c r="H458" s="82" t="s">
        <v>320</v>
      </c>
      <c r="I458" s="82" t="s">
        <v>1292</v>
      </c>
      <c r="J458" s="82" t="s">
        <v>42</v>
      </c>
      <c r="K458" s="82">
        <v>2617123648</v>
      </c>
      <c r="L458" s="82" t="s">
        <v>1500</v>
      </c>
      <c r="M458" s="82" t="s">
        <v>1540</v>
      </c>
      <c r="N458" s="82" t="s">
        <v>113</v>
      </c>
      <c r="O458" s="36" t="s">
        <v>108</v>
      </c>
      <c r="P458" s="18"/>
      <c r="Q458" s="28" t="s">
        <v>108</v>
      </c>
      <c r="R458" s="18"/>
      <c r="S458" s="28" t="s">
        <v>108</v>
      </c>
      <c r="T458" s="18"/>
      <c r="U458" s="28" t="s">
        <v>108</v>
      </c>
      <c r="V458" s="18"/>
      <c r="W458" s="28" t="s">
        <v>108</v>
      </c>
      <c r="X458" s="18"/>
      <c r="Y458" s="28" t="s">
        <v>108</v>
      </c>
      <c r="Z458" s="18"/>
      <c r="AA458" s="28" t="s">
        <v>108</v>
      </c>
      <c r="AB458" s="18"/>
      <c r="AC458" s="28" t="s">
        <v>108</v>
      </c>
      <c r="AD458" s="18"/>
      <c r="AE458" s="28" t="s">
        <v>108</v>
      </c>
      <c r="AF458" s="47" t="str">
        <f t="shared" si="56"/>
        <v>C</v>
      </c>
      <c r="AG458" s="8" t="str">
        <f t="shared" si="58"/>
        <v>UTILIZOU O PDA CORRETAMENTE</v>
      </c>
      <c r="AH458" s="28" t="s">
        <v>108</v>
      </c>
      <c r="AI458" s="66" t="s">
        <v>1</v>
      </c>
      <c r="AJ458" s="22" t="str">
        <f t="shared" si="57"/>
        <v>GUARULHOS</v>
      </c>
      <c r="AK458" s="69" t="s">
        <v>4</v>
      </c>
    </row>
    <row r="459" spans="1:37" ht="30" customHeight="1" x14ac:dyDescent="0.2">
      <c r="A459" s="82" t="s">
        <v>101</v>
      </c>
      <c r="B459" s="82">
        <v>2617123688</v>
      </c>
      <c r="C459" s="82" t="s">
        <v>42</v>
      </c>
      <c r="D459" s="82" t="s">
        <v>25</v>
      </c>
      <c r="E459" s="82" t="s">
        <v>102</v>
      </c>
      <c r="F459" s="82" t="s">
        <v>1531</v>
      </c>
      <c r="G459" s="82">
        <v>54</v>
      </c>
      <c r="H459" s="82" t="s">
        <v>321</v>
      </c>
      <c r="I459" s="82" t="s">
        <v>1292</v>
      </c>
      <c r="J459" s="82" t="s">
        <v>42</v>
      </c>
      <c r="K459" s="82">
        <v>2617123648</v>
      </c>
      <c r="L459" s="82" t="s">
        <v>1500</v>
      </c>
      <c r="M459" s="82" t="s">
        <v>1541</v>
      </c>
      <c r="N459" s="82" t="s">
        <v>113</v>
      </c>
      <c r="O459" s="36" t="s">
        <v>108</v>
      </c>
      <c r="P459" s="18"/>
      <c r="Q459" s="28" t="s">
        <v>108</v>
      </c>
      <c r="R459" s="18"/>
      <c r="S459" s="28" t="s">
        <v>108</v>
      </c>
      <c r="T459" s="18"/>
      <c r="U459" s="28" t="s">
        <v>108</v>
      </c>
      <c r="V459" s="18"/>
      <c r="W459" s="28" t="s">
        <v>108</v>
      </c>
      <c r="X459" s="18"/>
      <c r="Y459" s="28" t="s">
        <v>108</v>
      </c>
      <c r="Z459" s="18"/>
      <c r="AA459" s="28" t="s">
        <v>108</v>
      </c>
      <c r="AB459" s="18"/>
      <c r="AC459" s="28" t="s">
        <v>108</v>
      </c>
      <c r="AD459" s="18"/>
      <c r="AE459" s="28" t="s">
        <v>108</v>
      </c>
      <c r="AF459" s="47" t="str">
        <f t="shared" si="56"/>
        <v>C</v>
      </c>
      <c r="AG459" s="8" t="str">
        <f t="shared" si="58"/>
        <v>UTILIZOU O PDA CORRETAMENTE</v>
      </c>
      <c r="AH459" s="28" t="s">
        <v>108</v>
      </c>
      <c r="AI459" s="66" t="s">
        <v>1</v>
      </c>
      <c r="AJ459" s="22" t="str">
        <f t="shared" si="57"/>
        <v>GUARULHOS</v>
      </c>
      <c r="AK459" s="69" t="s">
        <v>4</v>
      </c>
    </row>
    <row r="460" spans="1:37" ht="30" customHeight="1" x14ac:dyDescent="0.2">
      <c r="A460" s="82" t="s">
        <v>101</v>
      </c>
      <c r="B460" s="82">
        <v>2617123686</v>
      </c>
      <c r="C460" s="82" t="s">
        <v>42</v>
      </c>
      <c r="D460" s="82" t="s">
        <v>25</v>
      </c>
      <c r="E460" s="82" t="s">
        <v>102</v>
      </c>
      <c r="F460" s="82" t="s">
        <v>1531</v>
      </c>
      <c r="G460" s="82">
        <v>54</v>
      </c>
      <c r="H460" s="82" t="s">
        <v>322</v>
      </c>
      <c r="I460" s="82" t="s">
        <v>1292</v>
      </c>
      <c r="J460" s="82" t="s">
        <v>42</v>
      </c>
      <c r="K460" s="82">
        <v>2617123648</v>
      </c>
      <c r="L460" s="82" t="s">
        <v>1500</v>
      </c>
      <c r="M460" s="82" t="s">
        <v>1542</v>
      </c>
      <c r="N460" s="82" t="s">
        <v>113</v>
      </c>
      <c r="O460" s="36" t="s">
        <v>108</v>
      </c>
      <c r="P460" s="18"/>
      <c r="Q460" s="28" t="s">
        <v>108</v>
      </c>
      <c r="R460" s="18"/>
      <c r="S460" s="28" t="s">
        <v>108</v>
      </c>
      <c r="T460" s="18"/>
      <c r="U460" s="28" t="s">
        <v>108</v>
      </c>
      <c r="V460" s="18"/>
      <c r="W460" s="28" t="s">
        <v>108</v>
      </c>
      <c r="X460" s="18"/>
      <c r="Y460" s="28" t="s">
        <v>108</v>
      </c>
      <c r="Z460" s="18"/>
      <c r="AA460" s="28" t="s">
        <v>108</v>
      </c>
      <c r="AB460" s="18"/>
      <c r="AC460" s="28" t="s">
        <v>108</v>
      </c>
      <c r="AD460" s="18"/>
      <c r="AE460" s="28" t="s">
        <v>108</v>
      </c>
      <c r="AF460" s="47" t="str">
        <f t="shared" si="56"/>
        <v>C</v>
      </c>
      <c r="AG460" s="8" t="str">
        <f t="shared" si="58"/>
        <v>UTILIZOU O PDA CORRETAMENTE</v>
      </c>
      <c r="AH460" s="28" t="s">
        <v>108</v>
      </c>
      <c r="AI460" s="66" t="s">
        <v>1</v>
      </c>
      <c r="AJ460" s="22" t="str">
        <f t="shared" si="57"/>
        <v>GUARULHOS</v>
      </c>
      <c r="AK460" s="69" t="s">
        <v>4</v>
      </c>
    </row>
    <row r="461" spans="1:37" ht="30" customHeight="1" x14ac:dyDescent="0.2">
      <c r="A461" s="82" t="s">
        <v>101</v>
      </c>
      <c r="B461" s="82">
        <v>2617123683</v>
      </c>
      <c r="C461" s="82" t="s">
        <v>42</v>
      </c>
      <c r="D461" s="82" t="s">
        <v>25</v>
      </c>
      <c r="E461" s="82" t="s">
        <v>102</v>
      </c>
      <c r="F461" s="82" t="s">
        <v>1531</v>
      </c>
      <c r="G461" s="82">
        <v>54</v>
      </c>
      <c r="H461" s="82" t="s">
        <v>121</v>
      </c>
      <c r="I461" s="82" t="s">
        <v>1292</v>
      </c>
      <c r="J461" s="82" t="s">
        <v>42</v>
      </c>
      <c r="K461" s="82">
        <v>2617123648</v>
      </c>
      <c r="L461" s="82" t="s">
        <v>1500</v>
      </c>
      <c r="M461" s="82" t="s">
        <v>1543</v>
      </c>
      <c r="N461" s="82" t="s">
        <v>113</v>
      </c>
      <c r="O461" s="36" t="s">
        <v>108</v>
      </c>
      <c r="P461" s="18"/>
      <c r="Q461" s="28" t="s">
        <v>108</v>
      </c>
      <c r="R461" s="18"/>
      <c r="S461" s="28" t="s">
        <v>108</v>
      </c>
      <c r="T461" s="18"/>
      <c r="U461" s="28" t="s">
        <v>108</v>
      </c>
      <c r="V461" s="18"/>
      <c r="W461" s="28" t="s">
        <v>108</v>
      </c>
      <c r="X461" s="18"/>
      <c r="Y461" s="28" t="s">
        <v>108</v>
      </c>
      <c r="Z461" s="18"/>
      <c r="AA461" s="28" t="s">
        <v>108</v>
      </c>
      <c r="AB461" s="18"/>
      <c r="AC461" s="28" t="s">
        <v>108</v>
      </c>
      <c r="AD461" s="18"/>
      <c r="AE461" s="28" t="s">
        <v>108</v>
      </c>
      <c r="AF461" s="47" t="str">
        <f t="shared" si="56"/>
        <v>C</v>
      </c>
      <c r="AG461" s="8" t="str">
        <f t="shared" si="58"/>
        <v>UTILIZOU O PDA CORRETAMENTE</v>
      </c>
      <c r="AH461" s="28" t="s">
        <v>108</v>
      </c>
      <c r="AI461" s="66" t="s">
        <v>1</v>
      </c>
      <c r="AJ461" s="22" t="str">
        <f t="shared" si="57"/>
        <v>GUARULHOS</v>
      </c>
      <c r="AK461" s="69" t="s">
        <v>4</v>
      </c>
    </row>
    <row r="462" spans="1:37" ht="30" customHeight="1" x14ac:dyDescent="0.2">
      <c r="A462" s="82" t="s">
        <v>101</v>
      </c>
      <c r="B462" s="82">
        <v>2617612044</v>
      </c>
      <c r="C462" s="82" t="s">
        <v>36</v>
      </c>
      <c r="D462" s="82" t="s">
        <v>26</v>
      </c>
      <c r="E462" s="82" t="s">
        <v>102</v>
      </c>
      <c r="F462" s="82" t="s">
        <v>1546</v>
      </c>
      <c r="G462" s="82">
        <v>29</v>
      </c>
      <c r="H462" s="82" t="s">
        <v>1547</v>
      </c>
      <c r="I462" s="82" t="s">
        <v>245</v>
      </c>
      <c r="J462" s="82" t="s">
        <v>269</v>
      </c>
      <c r="K462" s="82" t="s">
        <v>117</v>
      </c>
      <c r="L462" s="82" t="s">
        <v>1500</v>
      </c>
      <c r="M462" s="82" t="s">
        <v>1548</v>
      </c>
      <c r="N462" s="82" t="s">
        <v>231</v>
      </c>
      <c r="O462" s="36" t="s">
        <v>108</v>
      </c>
      <c r="P462" s="28"/>
      <c r="Q462" s="28" t="s">
        <v>108</v>
      </c>
      <c r="R462" s="65"/>
      <c r="S462" s="28" t="s">
        <v>108</v>
      </c>
      <c r="T462" s="28"/>
      <c r="U462" s="28" t="s">
        <v>108</v>
      </c>
      <c r="V462" s="28"/>
      <c r="W462" s="28" t="s">
        <v>108</v>
      </c>
      <c r="X462" s="28"/>
      <c r="Y462" s="28" t="s">
        <v>14</v>
      </c>
      <c r="Z462" s="28"/>
      <c r="AA462" s="28" t="s">
        <v>108</v>
      </c>
      <c r="AB462" s="28"/>
      <c r="AC462" s="28" t="s">
        <v>108</v>
      </c>
      <c r="AD462" s="28"/>
      <c r="AE462" s="28" t="s">
        <v>108</v>
      </c>
      <c r="AF462" s="47" t="str">
        <f t="shared" ref="AF462:AF493" si="59">IF(AND(O462="",Q462="",S462="",U462="",W462="",Y462="",AA462="",AC462=""),"",IF(OR(AND(O462&lt;&gt;"NA",O462&lt;&gt;"C",O462&lt;&gt;"NC",O462&lt;&gt;"SF",O462&lt;&gt;""),AND(Q462&lt;&gt;"NA",Q462&lt;&gt;"C",Q462&lt;&gt;"NC",Q462&lt;&gt;"SF",Q462&lt;&gt;""),AND(S462&lt;&gt;"NA",S462&lt;&gt;"C",S462&lt;&gt;"NC",S462&lt;&gt;"SF",S462&lt;&gt;""),AND(U462&lt;&gt;"NA",U462&lt;&gt;"C",U462&lt;&gt;"NC",U462&lt;&gt;"SF",U462&lt;&gt;""),AND(W462&lt;&gt;"NA",W462&lt;&gt;"C",W462&lt;&gt;"NC",W462&lt;&gt;"SF",W462&lt;&gt;""),AND(Y462&lt;&gt;"NA",Y462&lt;&gt;"C",Y462&lt;&gt;"NC",Y462&lt;&gt;"SF",Y462&lt;&gt;""),AND(AA462&lt;&gt;"NA",AA462&lt;&gt;"C",AA462&lt;&gt;"NC",AA462&lt;&gt;"SF",AA462&lt;&gt;""),AND(AC462&lt;&gt;"NA",AC462&lt;&gt;"C",AC462&lt;&gt;"NC",AC462&lt;&gt;"SF",AC462&lt;&gt;"")),"FALSO",IF(AND(O462="NA",Q462="NA",S462="NA",U462="NA",W462="NA",Y462="NA",AA462="NA",AC462="NA"),"NA",IF(OR(O462="NC",Q462="NC",S462="NC",U462="NC",W462="NC",Y462="NC",AA462="NC",AC462="NC",O462="SF",Q462="SF",S462="SF",U462="SF",W462="SF",Y462="SF",AA462="SF",AC462="SF"),"NC",IF(OR(O462="C",Q462="C",S462="C",U462="C",W462="C",Y462="C",AA462="C",AC462="C"),"C","")))))</f>
        <v>C</v>
      </c>
      <c r="AG462" s="8" t="str">
        <f t="shared" ref="AG462:AG475" si="60">IF(AND(AE462="C",AF462="C"),"UTILIZOU O PDA CORRETAMENTE",IF(AND(AE462="C",AF462="NC"),"UTILIZOU O PDA CORRETAMENTE. NÃO HÁ FOTOS DE TODAS AS ETAPAS",IF(AND(AE462="NC",AF462="NC"),"NÃO UTILIZOU O PDA",IF(AND(AE462="NA",AF462="NA"),"NÃO AVALIADO POR FALHA DE SINCRONISMO"))))</f>
        <v>UTILIZOU O PDA CORRETAMENTE</v>
      </c>
      <c r="AH462" s="28"/>
      <c r="AI462" s="66" t="s">
        <v>1</v>
      </c>
      <c r="AJ462" s="22" t="str">
        <f t="shared" ref="AJ462:AJ493" si="61">E462</f>
        <v>GUARULHOS</v>
      </c>
      <c r="AK462" s="69" t="s">
        <v>4</v>
      </c>
    </row>
    <row r="463" spans="1:37" ht="30" customHeight="1" x14ac:dyDescent="0.2">
      <c r="A463" s="82" t="s">
        <v>101</v>
      </c>
      <c r="B463" s="82">
        <v>2691701970</v>
      </c>
      <c r="C463" s="82" t="s">
        <v>43</v>
      </c>
      <c r="D463" s="82" t="s">
        <v>29</v>
      </c>
      <c r="E463" s="82" t="s">
        <v>102</v>
      </c>
      <c r="F463" s="82" t="s">
        <v>1549</v>
      </c>
      <c r="G463" s="82">
        <v>197</v>
      </c>
      <c r="H463" s="82" t="s">
        <v>157</v>
      </c>
      <c r="I463" s="82" t="s">
        <v>370</v>
      </c>
      <c r="J463" s="82" t="s">
        <v>188</v>
      </c>
      <c r="K463" s="82" t="s">
        <v>1550</v>
      </c>
      <c r="L463" s="82" t="s">
        <v>1500</v>
      </c>
      <c r="M463" s="82" t="s">
        <v>1551</v>
      </c>
      <c r="N463" s="82" t="s">
        <v>171</v>
      </c>
      <c r="O463" s="35" t="s">
        <v>108</v>
      </c>
      <c r="P463" s="25"/>
      <c r="Q463" s="26" t="s">
        <v>108</v>
      </c>
      <c r="R463" s="25"/>
      <c r="S463" s="26" t="s">
        <v>108</v>
      </c>
      <c r="T463" s="25"/>
      <c r="U463" s="26" t="s">
        <v>108</v>
      </c>
      <c r="V463" s="25"/>
      <c r="W463" s="26" t="s">
        <v>108</v>
      </c>
      <c r="X463" s="25"/>
      <c r="Y463" s="26" t="s">
        <v>108</v>
      </c>
      <c r="Z463" s="25"/>
      <c r="AA463" s="26" t="s">
        <v>108</v>
      </c>
      <c r="AB463" s="25"/>
      <c r="AC463" s="26" t="s">
        <v>108</v>
      </c>
      <c r="AD463" s="10"/>
      <c r="AE463" s="26" t="s">
        <v>108</v>
      </c>
      <c r="AF463" s="47" t="str">
        <f t="shared" si="59"/>
        <v>C</v>
      </c>
      <c r="AG463" s="8" t="str">
        <f t="shared" si="60"/>
        <v>UTILIZOU O PDA CORRETAMENTE</v>
      </c>
      <c r="AH463" s="26" t="s">
        <v>108</v>
      </c>
      <c r="AI463" s="66" t="s">
        <v>1</v>
      </c>
      <c r="AJ463" s="22" t="str">
        <f t="shared" si="61"/>
        <v>GUARULHOS</v>
      </c>
      <c r="AK463" s="69" t="s">
        <v>4</v>
      </c>
    </row>
    <row r="464" spans="1:37" ht="30" customHeight="1" x14ac:dyDescent="0.2">
      <c r="A464" s="82" t="s">
        <v>101</v>
      </c>
      <c r="B464" s="82">
        <v>2691776022</v>
      </c>
      <c r="C464" s="82" t="s">
        <v>47</v>
      </c>
      <c r="D464" s="82" t="s">
        <v>29</v>
      </c>
      <c r="E464" s="82" t="s">
        <v>102</v>
      </c>
      <c r="F464" s="82" t="s">
        <v>298</v>
      </c>
      <c r="G464" s="82">
        <v>229</v>
      </c>
      <c r="H464" s="82"/>
      <c r="I464" s="82" t="s">
        <v>204</v>
      </c>
      <c r="J464" s="82" t="s">
        <v>170</v>
      </c>
      <c r="K464" s="82" t="s">
        <v>1553</v>
      </c>
      <c r="L464" s="82" t="s">
        <v>1500</v>
      </c>
      <c r="M464" s="82" t="s">
        <v>1521</v>
      </c>
      <c r="N464" s="82" t="s">
        <v>180</v>
      </c>
      <c r="O464" s="36" t="s">
        <v>108</v>
      </c>
      <c r="P464" s="18"/>
      <c r="Q464" s="28" t="s">
        <v>108</v>
      </c>
      <c r="R464" s="18"/>
      <c r="S464" s="28" t="s">
        <v>108</v>
      </c>
      <c r="T464" s="18"/>
      <c r="U464" s="28" t="s">
        <v>108</v>
      </c>
      <c r="V464" s="18"/>
      <c r="W464" s="28" t="s">
        <v>108</v>
      </c>
      <c r="X464" s="18"/>
      <c r="Y464" s="28" t="s">
        <v>14</v>
      </c>
      <c r="Z464" s="18"/>
      <c r="AA464" s="28" t="s">
        <v>108</v>
      </c>
      <c r="AB464" s="18"/>
      <c r="AC464" s="28" t="s">
        <v>108</v>
      </c>
      <c r="AD464" s="18"/>
      <c r="AE464" s="28" t="s">
        <v>108</v>
      </c>
      <c r="AF464" s="47" t="str">
        <f t="shared" si="59"/>
        <v>C</v>
      </c>
      <c r="AG464" s="8" t="str">
        <f t="shared" si="60"/>
        <v>UTILIZOU O PDA CORRETAMENTE</v>
      </c>
      <c r="AH464" s="26" t="s">
        <v>108</v>
      </c>
      <c r="AI464" s="66" t="s">
        <v>1</v>
      </c>
      <c r="AJ464" s="22" t="str">
        <f t="shared" si="61"/>
        <v>GUARULHOS</v>
      </c>
      <c r="AK464" s="69" t="s">
        <v>4</v>
      </c>
    </row>
    <row r="465" spans="1:37" ht="30" customHeight="1" x14ac:dyDescent="0.2">
      <c r="A465" s="82" t="s">
        <v>101</v>
      </c>
      <c r="B465" s="82">
        <v>2691798120</v>
      </c>
      <c r="C465" s="82" t="s">
        <v>37</v>
      </c>
      <c r="D465" s="82" t="s">
        <v>26</v>
      </c>
      <c r="E465" s="82" t="s">
        <v>102</v>
      </c>
      <c r="F465" s="82" t="s">
        <v>1554</v>
      </c>
      <c r="G465" s="82">
        <v>95</v>
      </c>
      <c r="H465" s="82" t="s">
        <v>1555</v>
      </c>
      <c r="I465" s="82" t="s">
        <v>989</v>
      </c>
      <c r="J465" s="82" t="s">
        <v>230</v>
      </c>
      <c r="K465" s="82" t="s">
        <v>1556</v>
      </c>
      <c r="L465" s="82" t="s">
        <v>1500</v>
      </c>
      <c r="M465" s="82" t="s">
        <v>1557</v>
      </c>
      <c r="N465" s="82" t="s">
        <v>452</v>
      </c>
      <c r="O465" s="36" t="s">
        <v>108</v>
      </c>
      <c r="P465" s="28"/>
      <c r="Q465" s="28" t="s">
        <v>108</v>
      </c>
      <c r="R465" s="65"/>
      <c r="S465" s="28" t="s">
        <v>108</v>
      </c>
      <c r="T465" s="28"/>
      <c r="U465" s="28" t="s">
        <v>108</v>
      </c>
      <c r="V465" s="28"/>
      <c r="W465" s="28" t="s">
        <v>108</v>
      </c>
      <c r="X465" s="28"/>
      <c r="Y465" s="28" t="s">
        <v>14</v>
      </c>
      <c r="Z465" s="28"/>
      <c r="AA465" s="28" t="s">
        <v>108</v>
      </c>
      <c r="AB465" s="28"/>
      <c r="AC465" s="28" t="s">
        <v>108</v>
      </c>
      <c r="AD465" s="28"/>
      <c r="AE465" s="28" t="s">
        <v>108</v>
      </c>
      <c r="AF465" s="47" t="str">
        <f t="shared" si="59"/>
        <v>C</v>
      </c>
      <c r="AG465" s="8" t="str">
        <f t="shared" si="60"/>
        <v>UTILIZOU O PDA CORRETAMENTE</v>
      </c>
      <c r="AH465" s="28"/>
      <c r="AI465" s="66" t="s">
        <v>1</v>
      </c>
      <c r="AJ465" s="22" t="str">
        <f t="shared" si="61"/>
        <v>GUARULHOS</v>
      </c>
      <c r="AK465" s="69" t="s">
        <v>4</v>
      </c>
    </row>
    <row r="466" spans="1:37" ht="30" customHeight="1" x14ac:dyDescent="0.2">
      <c r="A466" s="82" t="s">
        <v>101</v>
      </c>
      <c r="B466" s="82">
        <v>2617782851</v>
      </c>
      <c r="C466" s="82" t="s">
        <v>45</v>
      </c>
      <c r="D466" s="82" t="s">
        <v>27</v>
      </c>
      <c r="E466" s="82" t="s">
        <v>102</v>
      </c>
      <c r="F466" s="82" t="s">
        <v>1558</v>
      </c>
      <c r="G466" s="82">
        <v>33</v>
      </c>
      <c r="H466" s="82" t="s">
        <v>117</v>
      </c>
      <c r="I466" s="82" t="s">
        <v>1063</v>
      </c>
      <c r="J466" s="82" t="s">
        <v>150</v>
      </c>
      <c r="K466" s="82" t="s">
        <v>1559</v>
      </c>
      <c r="L466" s="82" t="s">
        <v>1560</v>
      </c>
      <c r="M466" s="82" t="s">
        <v>1561</v>
      </c>
      <c r="N466" s="82" t="s">
        <v>131</v>
      </c>
      <c r="O466" s="35" t="s">
        <v>108</v>
      </c>
      <c r="P466" s="25"/>
      <c r="Q466" s="26" t="s">
        <v>108</v>
      </c>
      <c r="R466" s="25"/>
      <c r="S466" s="26" t="s">
        <v>108</v>
      </c>
      <c r="T466" s="25"/>
      <c r="U466" s="26" t="s">
        <v>108</v>
      </c>
      <c r="V466" s="25"/>
      <c r="W466" s="26" t="s">
        <v>108</v>
      </c>
      <c r="X466" s="25"/>
      <c r="Y466" s="26" t="s">
        <v>108</v>
      </c>
      <c r="Z466" s="25"/>
      <c r="AA466" s="26" t="s">
        <v>108</v>
      </c>
      <c r="AB466" s="25"/>
      <c r="AC466" s="26" t="s">
        <v>108</v>
      </c>
      <c r="AD466" s="10"/>
      <c r="AE466" s="26" t="s">
        <v>108</v>
      </c>
      <c r="AF466" s="47" t="str">
        <f t="shared" si="59"/>
        <v>C</v>
      </c>
      <c r="AG466" s="8" t="str">
        <f t="shared" si="60"/>
        <v>UTILIZOU O PDA CORRETAMENTE</v>
      </c>
      <c r="AH466" s="26" t="s">
        <v>108</v>
      </c>
      <c r="AI466" s="66" t="s">
        <v>1</v>
      </c>
      <c r="AJ466" s="22" t="str">
        <f t="shared" si="61"/>
        <v>GUARULHOS</v>
      </c>
      <c r="AK466" s="69" t="s">
        <v>4</v>
      </c>
    </row>
    <row r="467" spans="1:37" ht="30" customHeight="1" x14ac:dyDescent="0.2">
      <c r="A467" s="82" t="s">
        <v>101</v>
      </c>
      <c r="B467" s="82">
        <v>2617783118</v>
      </c>
      <c r="C467" s="82" t="s">
        <v>37</v>
      </c>
      <c r="D467" s="82" t="s">
        <v>26</v>
      </c>
      <c r="E467" s="82" t="s">
        <v>102</v>
      </c>
      <c r="F467" s="82" t="s">
        <v>1558</v>
      </c>
      <c r="G467" s="82">
        <v>33</v>
      </c>
      <c r="H467" s="82"/>
      <c r="I467" s="82" t="s">
        <v>1063</v>
      </c>
      <c r="J467" s="82" t="s">
        <v>230</v>
      </c>
      <c r="K467" s="82" t="s">
        <v>1559</v>
      </c>
      <c r="L467" s="82" t="s">
        <v>1560</v>
      </c>
      <c r="M467" s="82" t="s">
        <v>1562</v>
      </c>
      <c r="N467" s="82" t="s">
        <v>131</v>
      </c>
      <c r="O467" s="36" t="s">
        <v>108</v>
      </c>
      <c r="P467" s="28"/>
      <c r="Q467" s="28" t="s">
        <v>108</v>
      </c>
      <c r="R467" s="65"/>
      <c r="S467" s="28" t="s">
        <v>108</v>
      </c>
      <c r="T467" s="28"/>
      <c r="U467" s="28" t="s">
        <v>108</v>
      </c>
      <c r="V467" s="28"/>
      <c r="W467" s="28" t="s">
        <v>108</v>
      </c>
      <c r="X467" s="28"/>
      <c r="Y467" s="28" t="s">
        <v>14</v>
      </c>
      <c r="Z467" s="28"/>
      <c r="AA467" s="28" t="s">
        <v>108</v>
      </c>
      <c r="AB467" s="28"/>
      <c r="AC467" s="28" t="s">
        <v>108</v>
      </c>
      <c r="AD467" s="28"/>
      <c r="AE467" s="28" t="s">
        <v>108</v>
      </c>
      <c r="AF467" s="47" t="str">
        <f t="shared" si="59"/>
        <v>C</v>
      </c>
      <c r="AG467" s="8" t="str">
        <f t="shared" si="60"/>
        <v>UTILIZOU O PDA CORRETAMENTE</v>
      </c>
      <c r="AH467" s="28"/>
      <c r="AI467" s="66" t="s">
        <v>1</v>
      </c>
      <c r="AJ467" s="22" t="str">
        <f t="shared" si="61"/>
        <v>GUARULHOS</v>
      </c>
      <c r="AK467" s="69" t="s">
        <v>4</v>
      </c>
    </row>
    <row r="468" spans="1:37" ht="30" customHeight="1" x14ac:dyDescent="0.2">
      <c r="A468" s="82" t="s">
        <v>101</v>
      </c>
      <c r="B468" s="82">
        <v>2617770941</v>
      </c>
      <c r="C468" s="82" t="s">
        <v>50</v>
      </c>
      <c r="D468" s="82" t="s">
        <v>29</v>
      </c>
      <c r="E468" s="82" t="s">
        <v>102</v>
      </c>
      <c r="F468" s="82" t="s">
        <v>1099</v>
      </c>
      <c r="G468" s="82">
        <v>355</v>
      </c>
      <c r="H468" s="82" t="s">
        <v>366</v>
      </c>
      <c r="I468" s="82" t="s">
        <v>389</v>
      </c>
      <c r="J468" s="82" t="s">
        <v>130</v>
      </c>
      <c r="K468" s="82"/>
      <c r="L468" s="82" t="s">
        <v>1560</v>
      </c>
      <c r="M468" s="82" t="s">
        <v>1563</v>
      </c>
      <c r="N468" s="82" t="s">
        <v>209</v>
      </c>
      <c r="O468" s="36" t="s">
        <v>108</v>
      </c>
      <c r="P468" s="18"/>
      <c r="Q468" s="28" t="s">
        <v>108</v>
      </c>
      <c r="R468" s="18"/>
      <c r="S468" s="28" t="s">
        <v>108</v>
      </c>
      <c r="T468" s="18"/>
      <c r="U468" s="28" t="s">
        <v>108</v>
      </c>
      <c r="V468" s="18"/>
      <c r="W468" s="28" t="s">
        <v>108</v>
      </c>
      <c r="X468" s="18"/>
      <c r="Y468" s="28" t="s">
        <v>14</v>
      </c>
      <c r="Z468" s="18"/>
      <c r="AA468" s="28" t="s">
        <v>108</v>
      </c>
      <c r="AB468" s="18"/>
      <c r="AC468" s="28" t="s">
        <v>108</v>
      </c>
      <c r="AD468" s="18"/>
      <c r="AE468" s="28" t="s">
        <v>108</v>
      </c>
      <c r="AF468" s="47" t="str">
        <f t="shared" si="59"/>
        <v>C</v>
      </c>
      <c r="AG468" s="8" t="str">
        <f t="shared" si="60"/>
        <v>UTILIZOU O PDA CORRETAMENTE</v>
      </c>
      <c r="AH468" s="26" t="s">
        <v>108</v>
      </c>
      <c r="AI468" s="66" t="s">
        <v>1</v>
      </c>
      <c r="AJ468" s="22" t="str">
        <f t="shared" si="61"/>
        <v>GUARULHOS</v>
      </c>
      <c r="AK468" s="69" t="s">
        <v>4</v>
      </c>
    </row>
    <row r="469" spans="1:37" ht="30" customHeight="1" x14ac:dyDescent="0.2">
      <c r="A469" s="82" t="s">
        <v>101</v>
      </c>
      <c r="B469" s="82">
        <v>2617591318</v>
      </c>
      <c r="C469" s="82" t="s">
        <v>49</v>
      </c>
      <c r="D469" s="82" t="s">
        <v>29</v>
      </c>
      <c r="E469" s="82" t="s">
        <v>102</v>
      </c>
      <c r="F469" s="82" t="s">
        <v>1131</v>
      </c>
      <c r="G469" s="82">
        <v>32</v>
      </c>
      <c r="H469" s="82" t="s">
        <v>1564</v>
      </c>
      <c r="I469" s="82" t="s">
        <v>940</v>
      </c>
      <c r="J469" s="82" t="s">
        <v>130</v>
      </c>
      <c r="K469" s="82" t="s">
        <v>117</v>
      </c>
      <c r="L469" s="82" t="s">
        <v>1560</v>
      </c>
      <c r="M469" s="82" t="s">
        <v>1565</v>
      </c>
      <c r="N469" s="82" t="s">
        <v>209</v>
      </c>
      <c r="O469" s="36" t="s">
        <v>108</v>
      </c>
      <c r="P469" s="18"/>
      <c r="Q469" s="28" t="s">
        <v>108</v>
      </c>
      <c r="R469" s="18"/>
      <c r="S469" s="28" t="s">
        <v>108</v>
      </c>
      <c r="T469" s="18"/>
      <c r="U469" s="28" t="s">
        <v>108</v>
      </c>
      <c r="V469" s="18"/>
      <c r="W469" s="28" t="s">
        <v>108</v>
      </c>
      <c r="X469" s="18"/>
      <c r="Y469" s="28" t="s">
        <v>14</v>
      </c>
      <c r="Z469" s="18"/>
      <c r="AA469" s="28" t="s">
        <v>108</v>
      </c>
      <c r="AB469" s="18"/>
      <c r="AC469" s="28" t="s">
        <v>108</v>
      </c>
      <c r="AD469" s="18"/>
      <c r="AE469" s="28" t="s">
        <v>108</v>
      </c>
      <c r="AF469" s="47" t="str">
        <f t="shared" si="59"/>
        <v>C</v>
      </c>
      <c r="AG469" s="8" t="str">
        <f t="shared" si="60"/>
        <v>UTILIZOU O PDA CORRETAMENTE</v>
      </c>
      <c r="AH469" s="26" t="s">
        <v>108</v>
      </c>
      <c r="AI469" s="66" t="s">
        <v>1</v>
      </c>
      <c r="AJ469" s="22" t="str">
        <f t="shared" si="61"/>
        <v>GUARULHOS</v>
      </c>
      <c r="AK469" s="69" t="s">
        <v>4</v>
      </c>
    </row>
    <row r="470" spans="1:37" ht="30" customHeight="1" x14ac:dyDescent="0.2">
      <c r="A470" s="82" t="s">
        <v>101</v>
      </c>
      <c r="B470" s="82">
        <v>2617729752</v>
      </c>
      <c r="C470" s="82" t="s">
        <v>50</v>
      </c>
      <c r="D470" s="82" t="s">
        <v>29</v>
      </c>
      <c r="E470" s="82" t="s">
        <v>102</v>
      </c>
      <c r="F470" s="82" t="s">
        <v>1566</v>
      </c>
      <c r="G470" s="82">
        <v>82</v>
      </c>
      <c r="H470" s="82" t="s">
        <v>110</v>
      </c>
      <c r="I470" s="82" t="s">
        <v>169</v>
      </c>
      <c r="J470" s="82" t="s">
        <v>130</v>
      </c>
      <c r="K470" s="88" t="s">
        <v>1567</v>
      </c>
      <c r="L470" s="82" t="s">
        <v>1560</v>
      </c>
      <c r="M470" s="82" t="s">
        <v>1568</v>
      </c>
      <c r="N470" s="82" t="s">
        <v>297</v>
      </c>
      <c r="O470" s="36" t="s">
        <v>108</v>
      </c>
      <c r="P470" s="18"/>
      <c r="Q470" s="28" t="s">
        <v>108</v>
      </c>
      <c r="R470" s="18"/>
      <c r="S470" s="28" t="s">
        <v>108</v>
      </c>
      <c r="T470" s="18"/>
      <c r="U470" s="28" t="s">
        <v>108</v>
      </c>
      <c r="V470" s="18"/>
      <c r="W470" s="28" t="s">
        <v>108</v>
      </c>
      <c r="X470" s="18"/>
      <c r="Y470" s="28" t="s">
        <v>14</v>
      </c>
      <c r="Z470" s="18"/>
      <c r="AA470" s="28" t="s">
        <v>108</v>
      </c>
      <c r="AB470" s="18"/>
      <c r="AC470" s="28" t="s">
        <v>108</v>
      </c>
      <c r="AD470" s="18"/>
      <c r="AE470" s="28" t="s">
        <v>108</v>
      </c>
      <c r="AF470" s="47" t="str">
        <f t="shared" si="59"/>
        <v>C</v>
      </c>
      <c r="AG470" s="8" t="str">
        <f t="shared" si="60"/>
        <v>UTILIZOU O PDA CORRETAMENTE</v>
      </c>
      <c r="AH470" s="26" t="s">
        <v>108</v>
      </c>
      <c r="AI470" s="66" t="s">
        <v>1</v>
      </c>
      <c r="AJ470" s="22" t="str">
        <f t="shared" si="61"/>
        <v>GUARULHOS</v>
      </c>
      <c r="AK470" s="69" t="s">
        <v>4</v>
      </c>
    </row>
    <row r="471" spans="1:37" ht="30" customHeight="1" x14ac:dyDescent="0.2">
      <c r="A471" s="82" t="s">
        <v>101</v>
      </c>
      <c r="B471" s="82">
        <v>2617788619</v>
      </c>
      <c r="C471" s="82" t="s">
        <v>43</v>
      </c>
      <c r="D471" s="82" t="s">
        <v>29</v>
      </c>
      <c r="E471" s="82" t="s">
        <v>102</v>
      </c>
      <c r="F471" s="82" t="s">
        <v>984</v>
      </c>
      <c r="G471" s="82">
        <v>16</v>
      </c>
      <c r="H471" s="82" t="s">
        <v>117</v>
      </c>
      <c r="I471" s="82" t="s">
        <v>158</v>
      </c>
      <c r="J471" s="82" t="s">
        <v>188</v>
      </c>
      <c r="K471" s="82" t="s">
        <v>1569</v>
      </c>
      <c r="L471" s="82" t="s">
        <v>1560</v>
      </c>
      <c r="M471" s="82" t="s">
        <v>1570</v>
      </c>
      <c r="N471" s="82" t="s">
        <v>171</v>
      </c>
      <c r="O471" s="35" t="s">
        <v>108</v>
      </c>
      <c r="P471" s="25"/>
      <c r="Q471" s="26" t="s">
        <v>108</v>
      </c>
      <c r="R471" s="25"/>
      <c r="S471" s="26" t="s">
        <v>108</v>
      </c>
      <c r="T471" s="25"/>
      <c r="U471" s="26" t="s">
        <v>108</v>
      </c>
      <c r="V471" s="25"/>
      <c r="W471" s="26" t="s">
        <v>108</v>
      </c>
      <c r="X471" s="25"/>
      <c r="Y471" s="26" t="s">
        <v>108</v>
      </c>
      <c r="Z471" s="25"/>
      <c r="AA471" s="26" t="s">
        <v>108</v>
      </c>
      <c r="AB471" s="25"/>
      <c r="AC471" s="26" t="s">
        <v>108</v>
      </c>
      <c r="AD471" s="10"/>
      <c r="AE471" s="26" t="s">
        <v>108</v>
      </c>
      <c r="AF471" s="47" t="str">
        <f t="shared" si="59"/>
        <v>C</v>
      </c>
      <c r="AG471" s="8" t="str">
        <f t="shared" si="60"/>
        <v>UTILIZOU O PDA CORRETAMENTE</v>
      </c>
      <c r="AH471" s="26" t="s">
        <v>108</v>
      </c>
      <c r="AI471" s="66" t="s">
        <v>1</v>
      </c>
      <c r="AJ471" s="22" t="str">
        <f t="shared" si="61"/>
        <v>GUARULHOS</v>
      </c>
      <c r="AK471" s="69" t="s">
        <v>4</v>
      </c>
    </row>
    <row r="472" spans="1:37" ht="30" customHeight="1" x14ac:dyDescent="0.2">
      <c r="A472" s="82" t="s">
        <v>101</v>
      </c>
      <c r="B472" s="82">
        <v>2617741163</v>
      </c>
      <c r="C472" s="82" t="s">
        <v>45</v>
      </c>
      <c r="D472" s="82" t="s">
        <v>27</v>
      </c>
      <c r="E472" s="82" t="s">
        <v>102</v>
      </c>
      <c r="F472" s="82" t="s">
        <v>858</v>
      </c>
      <c r="G472" s="82">
        <v>578</v>
      </c>
      <c r="H472" s="82" t="s">
        <v>121</v>
      </c>
      <c r="I472" s="82" t="s">
        <v>584</v>
      </c>
      <c r="J472" s="82" t="s">
        <v>150</v>
      </c>
      <c r="K472" s="82" t="s">
        <v>1571</v>
      </c>
      <c r="L472" s="82" t="s">
        <v>1560</v>
      </c>
      <c r="M472" s="82" t="s">
        <v>1572</v>
      </c>
      <c r="N472" s="82" t="s">
        <v>160</v>
      </c>
      <c r="O472" s="35" t="s">
        <v>108</v>
      </c>
      <c r="P472" s="25"/>
      <c r="Q472" s="26" t="s">
        <v>108</v>
      </c>
      <c r="R472" s="25"/>
      <c r="S472" s="26" t="s">
        <v>108</v>
      </c>
      <c r="T472" s="25"/>
      <c r="U472" s="26" t="s">
        <v>108</v>
      </c>
      <c r="V472" s="25"/>
      <c r="W472" s="26" t="s">
        <v>108</v>
      </c>
      <c r="X472" s="25"/>
      <c r="Y472" s="26" t="s">
        <v>108</v>
      </c>
      <c r="Z472" s="25"/>
      <c r="AA472" s="26" t="s">
        <v>108</v>
      </c>
      <c r="AB472" s="25"/>
      <c r="AC472" s="26" t="s">
        <v>108</v>
      </c>
      <c r="AD472" s="10"/>
      <c r="AE472" s="26" t="s">
        <v>108</v>
      </c>
      <c r="AF472" s="47" t="str">
        <f t="shared" si="59"/>
        <v>C</v>
      </c>
      <c r="AG472" s="8" t="str">
        <f t="shared" si="60"/>
        <v>UTILIZOU O PDA CORRETAMENTE</v>
      </c>
      <c r="AH472" s="26" t="s">
        <v>108</v>
      </c>
      <c r="AI472" s="66" t="s">
        <v>1</v>
      </c>
      <c r="AJ472" s="22" t="str">
        <f t="shared" si="61"/>
        <v>GUARULHOS</v>
      </c>
      <c r="AK472" s="69" t="s">
        <v>4</v>
      </c>
    </row>
    <row r="473" spans="1:37" ht="30" customHeight="1" x14ac:dyDescent="0.2">
      <c r="A473" s="82" t="s">
        <v>101</v>
      </c>
      <c r="B473" s="82">
        <v>2617564153</v>
      </c>
      <c r="C473" s="82" t="s">
        <v>50</v>
      </c>
      <c r="D473" s="82" t="s">
        <v>29</v>
      </c>
      <c r="E473" s="82" t="s">
        <v>102</v>
      </c>
      <c r="F473" s="82" t="s">
        <v>1573</v>
      </c>
      <c r="G473" s="82">
        <v>82</v>
      </c>
      <c r="H473" s="82" t="s">
        <v>1169</v>
      </c>
      <c r="I473" s="82" t="s">
        <v>291</v>
      </c>
      <c r="J473" s="82" t="s">
        <v>130</v>
      </c>
      <c r="K473" s="82" t="s">
        <v>117</v>
      </c>
      <c r="L473" s="82" t="s">
        <v>1560</v>
      </c>
      <c r="M473" s="82" t="s">
        <v>1574</v>
      </c>
      <c r="N473" s="82" t="s">
        <v>144</v>
      </c>
      <c r="O473" s="36" t="s">
        <v>108</v>
      </c>
      <c r="P473" s="18"/>
      <c r="Q473" s="28" t="s">
        <v>108</v>
      </c>
      <c r="R473" s="18"/>
      <c r="S473" s="28" t="s">
        <v>108</v>
      </c>
      <c r="T473" s="18"/>
      <c r="U473" s="28" t="s">
        <v>108</v>
      </c>
      <c r="V473" s="18"/>
      <c r="W473" s="28" t="s">
        <v>108</v>
      </c>
      <c r="X473" s="18"/>
      <c r="Y473" s="28" t="s">
        <v>14</v>
      </c>
      <c r="Z473" s="18"/>
      <c r="AA473" s="28" t="s">
        <v>108</v>
      </c>
      <c r="AB473" s="18"/>
      <c r="AC473" s="28" t="s">
        <v>108</v>
      </c>
      <c r="AD473" s="18"/>
      <c r="AE473" s="28" t="s">
        <v>108</v>
      </c>
      <c r="AF473" s="47" t="str">
        <f t="shared" si="59"/>
        <v>C</v>
      </c>
      <c r="AG473" s="8" t="str">
        <f t="shared" si="60"/>
        <v>UTILIZOU O PDA CORRETAMENTE</v>
      </c>
      <c r="AH473" s="26" t="s">
        <v>108</v>
      </c>
      <c r="AI473" s="66" t="s">
        <v>1</v>
      </c>
      <c r="AJ473" s="22" t="str">
        <f t="shared" si="61"/>
        <v>GUARULHOS</v>
      </c>
      <c r="AK473" s="69" t="s">
        <v>4</v>
      </c>
    </row>
    <row r="474" spans="1:37" ht="30" customHeight="1" x14ac:dyDescent="0.2">
      <c r="A474" s="82" t="s">
        <v>101</v>
      </c>
      <c r="B474" s="82">
        <v>2617789540</v>
      </c>
      <c r="C474" s="82" t="s">
        <v>30</v>
      </c>
      <c r="D474" s="82" t="s">
        <v>29</v>
      </c>
      <c r="E474" s="82" t="s">
        <v>102</v>
      </c>
      <c r="F474" s="82" t="s">
        <v>1575</v>
      </c>
      <c r="G474" s="82">
        <v>973</v>
      </c>
      <c r="H474" s="82" t="s">
        <v>1576</v>
      </c>
      <c r="I474" s="82" t="s">
        <v>809</v>
      </c>
      <c r="J474" s="82" t="s">
        <v>170</v>
      </c>
      <c r="K474" s="82"/>
      <c r="L474" s="82" t="s">
        <v>1560</v>
      </c>
      <c r="M474" s="82" t="s">
        <v>1577</v>
      </c>
      <c r="N474" s="82" t="s">
        <v>205</v>
      </c>
      <c r="O474" s="36" t="s">
        <v>108</v>
      </c>
      <c r="P474" s="18"/>
      <c r="Q474" s="28" t="s">
        <v>114</v>
      </c>
      <c r="R474" s="18" t="s">
        <v>1578</v>
      </c>
      <c r="S474" s="28" t="s">
        <v>108</v>
      </c>
      <c r="T474" s="18"/>
      <c r="U474" s="28" t="s">
        <v>108</v>
      </c>
      <c r="V474" s="18"/>
      <c r="W474" s="28" t="s">
        <v>114</v>
      </c>
      <c r="X474" s="18" t="s">
        <v>1579</v>
      </c>
      <c r="Y474" s="28" t="s">
        <v>14</v>
      </c>
      <c r="Z474" s="18"/>
      <c r="AA474" s="28" t="s">
        <v>108</v>
      </c>
      <c r="AB474" s="18"/>
      <c r="AC474" s="28" t="s">
        <v>108</v>
      </c>
      <c r="AD474" s="18"/>
      <c r="AE474" s="28" t="s">
        <v>108</v>
      </c>
      <c r="AF474" s="47" t="str">
        <f t="shared" si="59"/>
        <v>NC</v>
      </c>
      <c r="AG474" s="8" t="str">
        <f t="shared" si="60"/>
        <v>UTILIZOU O PDA CORRETAMENTE. NÃO HÁ FOTOS DE TODAS AS ETAPAS</v>
      </c>
      <c r="AH474" s="28" t="s">
        <v>108</v>
      </c>
      <c r="AI474" s="66" t="s">
        <v>1</v>
      </c>
      <c r="AJ474" s="22" t="str">
        <f t="shared" si="61"/>
        <v>GUARULHOS</v>
      </c>
      <c r="AK474" s="69" t="s">
        <v>4</v>
      </c>
    </row>
    <row r="475" spans="1:37" ht="30" customHeight="1" x14ac:dyDescent="0.2">
      <c r="A475" s="82" t="s">
        <v>101</v>
      </c>
      <c r="B475" s="82">
        <v>2617786809</v>
      </c>
      <c r="C475" s="82" t="s">
        <v>50</v>
      </c>
      <c r="D475" s="82" t="s">
        <v>29</v>
      </c>
      <c r="E475" s="82" t="s">
        <v>102</v>
      </c>
      <c r="F475" s="82" t="s">
        <v>1580</v>
      </c>
      <c r="G475" s="82">
        <v>60</v>
      </c>
      <c r="H475" s="82" t="s">
        <v>877</v>
      </c>
      <c r="I475" s="82" t="s">
        <v>1125</v>
      </c>
      <c r="J475" s="82" t="s">
        <v>155</v>
      </c>
      <c r="K475" s="82" t="s">
        <v>117</v>
      </c>
      <c r="L475" s="82" t="s">
        <v>1560</v>
      </c>
      <c r="M475" s="82" t="s">
        <v>1581</v>
      </c>
      <c r="N475" s="82" t="s">
        <v>192</v>
      </c>
      <c r="O475" s="36" t="s">
        <v>108</v>
      </c>
      <c r="P475" s="18"/>
      <c r="Q475" s="28" t="s">
        <v>108</v>
      </c>
      <c r="R475" s="18"/>
      <c r="S475" s="28" t="s">
        <v>108</v>
      </c>
      <c r="T475" s="18"/>
      <c r="U475" s="28" t="s">
        <v>108</v>
      </c>
      <c r="V475" s="18"/>
      <c r="W475" s="28" t="s">
        <v>108</v>
      </c>
      <c r="X475" s="18"/>
      <c r="Y475" s="28" t="s">
        <v>14</v>
      </c>
      <c r="Z475" s="18"/>
      <c r="AA475" s="28" t="s">
        <v>108</v>
      </c>
      <c r="AB475" s="18"/>
      <c r="AC475" s="28" t="s">
        <v>108</v>
      </c>
      <c r="AD475" s="18"/>
      <c r="AE475" s="28" t="s">
        <v>108</v>
      </c>
      <c r="AF475" s="47" t="str">
        <f t="shared" si="59"/>
        <v>C</v>
      </c>
      <c r="AG475" s="8" t="str">
        <f t="shared" si="60"/>
        <v>UTILIZOU O PDA CORRETAMENTE</v>
      </c>
      <c r="AH475" s="26" t="s">
        <v>108</v>
      </c>
      <c r="AI475" s="66" t="s">
        <v>1</v>
      </c>
      <c r="AJ475" s="22" t="str">
        <f t="shared" si="61"/>
        <v>GUARULHOS</v>
      </c>
      <c r="AK475" s="69" t="s">
        <v>4</v>
      </c>
    </row>
    <row r="476" spans="1:37" ht="30" customHeight="1" x14ac:dyDescent="0.2">
      <c r="A476" s="82" t="s">
        <v>101</v>
      </c>
      <c r="B476" s="82">
        <v>2617171122</v>
      </c>
      <c r="C476" s="82" t="s">
        <v>38</v>
      </c>
      <c r="D476" s="82" t="s">
        <v>25</v>
      </c>
      <c r="E476" s="82" t="s">
        <v>102</v>
      </c>
      <c r="F476" s="82" t="s">
        <v>1583</v>
      </c>
      <c r="G476" s="82">
        <v>29</v>
      </c>
      <c r="H476" s="82" t="s">
        <v>1584</v>
      </c>
      <c r="I476" s="82" t="s">
        <v>177</v>
      </c>
      <c r="J476" s="82" t="s">
        <v>309</v>
      </c>
      <c r="K476" s="82"/>
      <c r="L476" s="82" t="s">
        <v>1560</v>
      </c>
      <c r="M476" s="82" t="s">
        <v>1585</v>
      </c>
      <c r="N476" s="82" t="s">
        <v>274</v>
      </c>
      <c r="O476" s="36" t="s">
        <v>108</v>
      </c>
      <c r="P476" s="18"/>
      <c r="Q476" s="28" t="s">
        <v>108</v>
      </c>
      <c r="R476" s="18"/>
      <c r="S476" s="28" t="s">
        <v>108</v>
      </c>
      <c r="T476" s="18"/>
      <c r="U476" s="28" t="s">
        <v>108</v>
      </c>
      <c r="V476" s="18"/>
      <c r="W476" s="28" t="s">
        <v>108</v>
      </c>
      <c r="X476" s="18"/>
      <c r="Y476" s="28" t="s">
        <v>542</v>
      </c>
      <c r="Z476" s="18"/>
      <c r="AA476" s="28" t="s">
        <v>108</v>
      </c>
      <c r="AB476" s="18"/>
      <c r="AC476" s="28" t="s">
        <v>108</v>
      </c>
      <c r="AD476" s="18"/>
      <c r="AE476" s="28" t="s">
        <v>108</v>
      </c>
      <c r="AF476" s="47" t="str">
        <f t="shared" si="59"/>
        <v>C</v>
      </c>
      <c r="AG476" s="8" t="str">
        <f t="shared" ref="AG476:AG487" si="62">IF(AND(AE476="C",AF476="C"),"UTILIZOU O PDA CORRETAMENTE",IF(AND(AE476="C",AF476="NC"),"UTILIZOU O PDA CORRETAMENTE. NÃO HÁ FOTOS DE TODAS AS ETAPAS",IF(AND(AE476="NC",AF476="NC"),"NÃO UTILIZOU O PDA",IF(AND(AE476="NA",AF476="NA"),"NÃO AVALIADO POR FALHA DE SINCRONISMO"))))</f>
        <v>UTILIZOU O PDA CORRETAMENTE</v>
      </c>
      <c r="AH476" s="28" t="s">
        <v>108</v>
      </c>
      <c r="AI476" s="66" t="s">
        <v>1</v>
      </c>
      <c r="AJ476" s="22" t="str">
        <f t="shared" si="61"/>
        <v>GUARULHOS</v>
      </c>
      <c r="AK476" s="69" t="s">
        <v>4</v>
      </c>
    </row>
    <row r="477" spans="1:37" ht="30" customHeight="1" x14ac:dyDescent="0.2">
      <c r="A477" s="82" t="s">
        <v>101</v>
      </c>
      <c r="B477" s="82">
        <v>2617579925</v>
      </c>
      <c r="C477" s="82" t="s">
        <v>33</v>
      </c>
      <c r="D477" s="82" t="s">
        <v>25</v>
      </c>
      <c r="E477" s="82" t="s">
        <v>102</v>
      </c>
      <c r="F477" s="82" t="s">
        <v>1586</v>
      </c>
      <c r="G477" s="82">
        <v>150</v>
      </c>
      <c r="H477" s="82" t="s">
        <v>117</v>
      </c>
      <c r="I477" s="82" t="s">
        <v>191</v>
      </c>
      <c r="J477" s="82" t="s">
        <v>33</v>
      </c>
      <c r="K477" s="82" t="s">
        <v>1587</v>
      </c>
      <c r="L477" s="82" t="s">
        <v>1560</v>
      </c>
      <c r="M477" s="82" t="s">
        <v>1588</v>
      </c>
      <c r="N477" s="82" t="s">
        <v>274</v>
      </c>
      <c r="O477" s="36" t="s">
        <v>108</v>
      </c>
      <c r="P477" s="18"/>
      <c r="Q477" s="28" t="s">
        <v>108</v>
      </c>
      <c r="R477" s="18"/>
      <c r="S477" s="28" t="s">
        <v>108</v>
      </c>
      <c r="T477" s="18"/>
      <c r="U477" s="28" t="s">
        <v>108</v>
      </c>
      <c r="V477" s="18"/>
      <c r="W477" s="28" t="s">
        <v>108</v>
      </c>
      <c r="X477" s="18"/>
      <c r="Y477" s="28" t="s">
        <v>14</v>
      </c>
      <c r="Z477" s="18"/>
      <c r="AA477" s="28" t="s">
        <v>114</v>
      </c>
      <c r="AB477" s="18" t="s">
        <v>455</v>
      </c>
      <c r="AC477" s="28" t="s">
        <v>108</v>
      </c>
      <c r="AD477" s="18"/>
      <c r="AE477" s="28" t="s">
        <v>108</v>
      </c>
      <c r="AF477" s="47" t="str">
        <f t="shared" si="59"/>
        <v>NC</v>
      </c>
      <c r="AG477" s="8" t="str">
        <f t="shared" si="62"/>
        <v>UTILIZOU O PDA CORRETAMENTE. NÃO HÁ FOTOS DE TODAS AS ETAPAS</v>
      </c>
      <c r="AH477" s="28" t="s">
        <v>108</v>
      </c>
      <c r="AI477" s="66" t="s">
        <v>1</v>
      </c>
      <c r="AJ477" s="22" t="str">
        <f t="shared" si="61"/>
        <v>GUARULHOS</v>
      </c>
      <c r="AK477" s="69" t="s">
        <v>4</v>
      </c>
    </row>
    <row r="478" spans="1:37" ht="30" customHeight="1" x14ac:dyDescent="0.2">
      <c r="A478" s="82" t="s">
        <v>101</v>
      </c>
      <c r="B478" s="82">
        <v>2617358746</v>
      </c>
      <c r="C478" s="82" t="s">
        <v>41</v>
      </c>
      <c r="D478" s="82" t="s">
        <v>25</v>
      </c>
      <c r="E478" s="82" t="s">
        <v>102</v>
      </c>
      <c r="F478" s="82" t="s">
        <v>173</v>
      </c>
      <c r="G478" s="82">
        <v>117</v>
      </c>
      <c r="H478" s="82" t="s">
        <v>115</v>
      </c>
      <c r="I478" s="82" t="s">
        <v>175</v>
      </c>
      <c r="J478" s="82" t="s">
        <v>41</v>
      </c>
      <c r="K478" s="82" t="s">
        <v>117</v>
      </c>
      <c r="L478" s="82" t="s">
        <v>1560</v>
      </c>
      <c r="M478" s="82" t="s">
        <v>1589</v>
      </c>
      <c r="N478" s="82" t="s">
        <v>119</v>
      </c>
      <c r="O478" s="36" t="s">
        <v>108</v>
      </c>
      <c r="P478" s="18"/>
      <c r="Q478" s="28" t="s">
        <v>14</v>
      </c>
      <c r="R478" s="18"/>
      <c r="S478" s="28" t="s">
        <v>14</v>
      </c>
      <c r="T478" s="18"/>
      <c r="U478" s="28" t="s">
        <v>14</v>
      </c>
      <c r="V478" s="18"/>
      <c r="W478" s="28" t="s">
        <v>14</v>
      </c>
      <c r="X478" s="18"/>
      <c r="Y478" s="28" t="s">
        <v>14</v>
      </c>
      <c r="Z478" s="18"/>
      <c r="AA478" s="28" t="s">
        <v>108</v>
      </c>
      <c r="AB478" s="18"/>
      <c r="AC478" s="28" t="s">
        <v>108</v>
      </c>
      <c r="AD478" s="18"/>
      <c r="AE478" s="28" t="s">
        <v>108</v>
      </c>
      <c r="AF478" s="47" t="str">
        <f t="shared" si="59"/>
        <v>C</v>
      </c>
      <c r="AG478" s="8" t="str">
        <f t="shared" si="62"/>
        <v>UTILIZOU O PDA CORRETAMENTE</v>
      </c>
      <c r="AH478" s="28" t="s">
        <v>108</v>
      </c>
      <c r="AI478" s="66" t="s">
        <v>1</v>
      </c>
      <c r="AJ478" s="22" t="str">
        <f t="shared" si="61"/>
        <v>GUARULHOS</v>
      </c>
      <c r="AK478" s="69" t="s">
        <v>4</v>
      </c>
    </row>
    <row r="479" spans="1:37" ht="30" customHeight="1" x14ac:dyDescent="0.2">
      <c r="A479" s="82" t="s">
        <v>101</v>
      </c>
      <c r="B479" s="82">
        <v>2617358744</v>
      </c>
      <c r="C479" s="82" t="s">
        <v>39</v>
      </c>
      <c r="D479" s="82" t="s">
        <v>25</v>
      </c>
      <c r="E479" s="82" t="s">
        <v>102</v>
      </c>
      <c r="F479" s="82" t="s">
        <v>173</v>
      </c>
      <c r="G479" s="82">
        <v>117</v>
      </c>
      <c r="H479" s="82" t="s">
        <v>110</v>
      </c>
      <c r="I479" s="82" t="s">
        <v>175</v>
      </c>
      <c r="J479" s="82" t="s">
        <v>39</v>
      </c>
      <c r="K479" s="82" t="s">
        <v>117</v>
      </c>
      <c r="L479" s="82" t="s">
        <v>1560</v>
      </c>
      <c r="M479" s="82" t="s">
        <v>1590</v>
      </c>
      <c r="N479" s="82" t="s">
        <v>119</v>
      </c>
      <c r="O479" s="36" t="s">
        <v>108</v>
      </c>
      <c r="P479" s="18"/>
      <c r="Q479" s="28" t="s">
        <v>14</v>
      </c>
      <c r="R479" s="18"/>
      <c r="S479" s="28" t="s">
        <v>14</v>
      </c>
      <c r="T479" s="18"/>
      <c r="U479" s="28" t="s">
        <v>14</v>
      </c>
      <c r="V479" s="18"/>
      <c r="W479" s="28" t="s">
        <v>14</v>
      </c>
      <c r="X479" s="18"/>
      <c r="Y479" s="28" t="s">
        <v>14</v>
      </c>
      <c r="Z479" s="18"/>
      <c r="AA479" s="28" t="s">
        <v>108</v>
      </c>
      <c r="AB479" s="18"/>
      <c r="AC479" s="28" t="s">
        <v>108</v>
      </c>
      <c r="AD479" s="18"/>
      <c r="AE479" s="28" t="s">
        <v>108</v>
      </c>
      <c r="AF479" s="47" t="str">
        <f t="shared" si="59"/>
        <v>C</v>
      </c>
      <c r="AG479" s="8" t="str">
        <f t="shared" si="62"/>
        <v>UTILIZOU O PDA CORRETAMENTE</v>
      </c>
      <c r="AH479" s="28" t="s">
        <v>108</v>
      </c>
      <c r="AI479" s="66" t="s">
        <v>1</v>
      </c>
      <c r="AJ479" s="22" t="str">
        <f t="shared" si="61"/>
        <v>GUARULHOS</v>
      </c>
      <c r="AK479" s="69" t="s">
        <v>4</v>
      </c>
    </row>
    <row r="480" spans="1:37" ht="30" customHeight="1" x14ac:dyDescent="0.2">
      <c r="A480" s="82" t="s">
        <v>101</v>
      </c>
      <c r="B480" s="82">
        <v>2617355952</v>
      </c>
      <c r="C480" s="82" t="s">
        <v>39</v>
      </c>
      <c r="D480" s="82" t="s">
        <v>25</v>
      </c>
      <c r="E480" s="82" t="s">
        <v>102</v>
      </c>
      <c r="F480" s="82" t="s">
        <v>1582</v>
      </c>
      <c r="G480" s="82">
        <v>53</v>
      </c>
      <c r="H480" s="82" t="s">
        <v>110</v>
      </c>
      <c r="I480" s="82" t="s">
        <v>301</v>
      </c>
      <c r="J480" s="82" t="s">
        <v>39</v>
      </c>
      <c r="K480" s="82" t="s">
        <v>1591</v>
      </c>
      <c r="L480" s="82" t="s">
        <v>1560</v>
      </c>
      <c r="M480" s="82" t="s">
        <v>1592</v>
      </c>
      <c r="N480" s="82" t="s">
        <v>119</v>
      </c>
      <c r="O480" s="36" t="s">
        <v>108</v>
      </c>
      <c r="P480" s="18"/>
      <c r="Q480" s="28" t="s">
        <v>14</v>
      </c>
      <c r="R480" s="18"/>
      <c r="S480" s="28" t="s">
        <v>14</v>
      </c>
      <c r="T480" s="18"/>
      <c r="U480" s="28" t="s">
        <v>14</v>
      </c>
      <c r="V480" s="18"/>
      <c r="W480" s="28" t="s">
        <v>14</v>
      </c>
      <c r="X480" s="18"/>
      <c r="Y480" s="28" t="s">
        <v>14</v>
      </c>
      <c r="Z480" s="18"/>
      <c r="AA480" s="28" t="s">
        <v>108</v>
      </c>
      <c r="AB480" s="18"/>
      <c r="AC480" s="28" t="s">
        <v>108</v>
      </c>
      <c r="AD480" s="18"/>
      <c r="AE480" s="28" t="s">
        <v>108</v>
      </c>
      <c r="AF480" s="47" t="str">
        <f t="shared" si="59"/>
        <v>C</v>
      </c>
      <c r="AG480" s="8" t="str">
        <f t="shared" si="62"/>
        <v>UTILIZOU O PDA CORRETAMENTE</v>
      </c>
      <c r="AH480" s="28" t="s">
        <v>108</v>
      </c>
      <c r="AI480" s="66" t="s">
        <v>1</v>
      </c>
      <c r="AJ480" s="22" t="str">
        <f t="shared" si="61"/>
        <v>GUARULHOS</v>
      </c>
      <c r="AK480" s="69" t="s">
        <v>4</v>
      </c>
    </row>
    <row r="481" spans="1:37" ht="30" customHeight="1" x14ac:dyDescent="0.2">
      <c r="A481" s="82" t="s">
        <v>101</v>
      </c>
      <c r="B481" s="82">
        <v>2617185495</v>
      </c>
      <c r="C481" s="82" t="s">
        <v>33</v>
      </c>
      <c r="D481" s="82" t="s">
        <v>25</v>
      </c>
      <c r="E481" s="82" t="s">
        <v>102</v>
      </c>
      <c r="F481" s="82" t="s">
        <v>1344</v>
      </c>
      <c r="G481" s="82">
        <v>15</v>
      </c>
      <c r="H481" s="82" t="s">
        <v>603</v>
      </c>
      <c r="I481" s="82" t="s">
        <v>1593</v>
      </c>
      <c r="J481" s="82" t="s">
        <v>33</v>
      </c>
      <c r="K481" s="82" t="s">
        <v>685</v>
      </c>
      <c r="L481" s="82" t="s">
        <v>1560</v>
      </c>
      <c r="M481" s="82" t="s">
        <v>1594</v>
      </c>
      <c r="N481" s="82" t="s">
        <v>107</v>
      </c>
      <c r="O481" s="36" t="s">
        <v>108</v>
      </c>
      <c r="P481" s="18"/>
      <c r="Q481" s="28" t="s">
        <v>108</v>
      </c>
      <c r="R481" s="18"/>
      <c r="S481" s="28" t="s">
        <v>108</v>
      </c>
      <c r="T481" s="18"/>
      <c r="U481" s="28" t="s">
        <v>108</v>
      </c>
      <c r="V481" s="18"/>
      <c r="W481" s="28" t="s">
        <v>108</v>
      </c>
      <c r="X481" s="18"/>
      <c r="Y481" s="28" t="s">
        <v>14</v>
      </c>
      <c r="Z481" s="18"/>
      <c r="AA481" s="28" t="s">
        <v>114</v>
      </c>
      <c r="AB481" s="18" t="s">
        <v>455</v>
      </c>
      <c r="AC481" s="28" t="s">
        <v>108</v>
      </c>
      <c r="AD481" s="18"/>
      <c r="AE481" s="28" t="s">
        <v>108</v>
      </c>
      <c r="AF481" s="47" t="str">
        <f t="shared" si="59"/>
        <v>NC</v>
      </c>
      <c r="AG481" s="8" t="str">
        <f t="shared" si="62"/>
        <v>UTILIZOU O PDA CORRETAMENTE. NÃO HÁ FOTOS DE TODAS AS ETAPAS</v>
      </c>
      <c r="AH481" s="28" t="s">
        <v>108</v>
      </c>
      <c r="AI481" s="66" t="s">
        <v>1</v>
      </c>
      <c r="AJ481" s="22" t="str">
        <f t="shared" si="61"/>
        <v>GUARULHOS</v>
      </c>
      <c r="AK481" s="69" t="s">
        <v>4</v>
      </c>
    </row>
    <row r="482" spans="1:37" ht="30" customHeight="1" x14ac:dyDescent="0.2">
      <c r="A482" s="82" t="s">
        <v>101</v>
      </c>
      <c r="B482" s="82">
        <v>2617187599</v>
      </c>
      <c r="C482" s="82" t="s">
        <v>33</v>
      </c>
      <c r="D482" s="82" t="s">
        <v>25</v>
      </c>
      <c r="E482" s="82" t="s">
        <v>102</v>
      </c>
      <c r="F482" s="82" t="s">
        <v>1595</v>
      </c>
      <c r="G482" s="82">
        <v>238</v>
      </c>
      <c r="H482" s="82"/>
      <c r="I482" s="82" t="s">
        <v>1063</v>
      </c>
      <c r="J482" s="82" t="s">
        <v>33</v>
      </c>
      <c r="K482" s="82" t="s">
        <v>1596</v>
      </c>
      <c r="L482" s="82" t="s">
        <v>1560</v>
      </c>
      <c r="M482" s="82" t="s">
        <v>1597</v>
      </c>
      <c r="N482" s="82" t="s">
        <v>107</v>
      </c>
      <c r="O482" s="36" t="s">
        <v>108</v>
      </c>
      <c r="P482" s="18"/>
      <c r="Q482" s="28" t="s">
        <v>108</v>
      </c>
      <c r="R482" s="18"/>
      <c r="S482" s="28" t="s">
        <v>108</v>
      </c>
      <c r="T482" s="18"/>
      <c r="U482" s="28" t="s">
        <v>108</v>
      </c>
      <c r="V482" s="18"/>
      <c r="W482" s="28" t="s">
        <v>108</v>
      </c>
      <c r="X482" s="18"/>
      <c r="Y482" s="28" t="s">
        <v>14</v>
      </c>
      <c r="Z482" s="18"/>
      <c r="AA482" s="28" t="s">
        <v>114</v>
      </c>
      <c r="AB482" s="18" t="s">
        <v>455</v>
      </c>
      <c r="AC482" s="28" t="s">
        <v>108</v>
      </c>
      <c r="AD482" s="18"/>
      <c r="AE482" s="28" t="s">
        <v>108</v>
      </c>
      <c r="AF482" s="47" t="str">
        <f t="shared" si="59"/>
        <v>NC</v>
      </c>
      <c r="AG482" s="8" t="str">
        <f t="shared" si="62"/>
        <v>UTILIZOU O PDA CORRETAMENTE. NÃO HÁ FOTOS DE TODAS AS ETAPAS</v>
      </c>
      <c r="AH482" s="28" t="s">
        <v>108</v>
      </c>
      <c r="AI482" s="66" t="s">
        <v>1</v>
      </c>
      <c r="AJ482" s="22" t="str">
        <f t="shared" si="61"/>
        <v>GUARULHOS</v>
      </c>
      <c r="AK482" s="69" t="s">
        <v>4</v>
      </c>
    </row>
    <row r="483" spans="1:37" ht="30" customHeight="1" x14ac:dyDescent="0.2">
      <c r="A483" s="82" t="s">
        <v>101</v>
      </c>
      <c r="B483" s="82">
        <v>2691865567</v>
      </c>
      <c r="C483" s="82" t="s">
        <v>47</v>
      </c>
      <c r="D483" s="82" t="s">
        <v>29</v>
      </c>
      <c r="E483" s="82" t="s">
        <v>102</v>
      </c>
      <c r="F483" s="82" t="s">
        <v>572</v>
      </c>
      <c r="G483" s="82">
        <v>101</v>
      </c>
      <c r="H483" s="82" t="s">
        <v>1598</v>
      </c>
      <c r="I483" s="82" t="s">
        <v>162</v>
      </c>
      <c r="J483" s="82" t="s">
        <v>170</v>
      </c>
      <c r="K483" s="82" t="s">
        <v>1599</v>
      </c>
      <c r="L483" s="82" t="s">
        <v>1560</v>
      </c>
      <c r="M483" s="82" t="s">
        <v>1600</v>
      </c>
      <c r="N483" s="82" t="s">
        <v>180</v>
      </c>
      <c r="O483" s="36" t="s">
        <v>108</v>
      </c>
      <c r="P483" s="18"/>
      <c r="Q483" s="28" t="s">
        <v>108</v>
      </c>
      <c r="R483" s="18"/>
      <c r="S483" s="28" t="s">
        <v>108</v>
      </c>
      <c r="T483" s="18"/>
      <c r="U483" s="28" t="s">
        <v>214</v>
      </c>
      <c r="V483" s="18"/>
      <c r="W483" s="28" t="s">
        <v>214</v>
      </c>
      <c r="X483" s="18"/>
      <c r="Y483" s="28" t="s">
        <v>214</v>
      </c>
      <c r="Z483" s="18"/>
      <c r="AA483" s="28" t="s">
        <v>214</v>
      </c>
      <c r="AB483" s="18"/>
      <c r="AC483" s="28" t="s">
        <v>214</v>
      </c>
      <c r="AD483" s="18"/>
      <c r="AE483" s="28" t="s">
        <v>108</v>
      </c>
      <c r="AF483" s="47" t="str">
        <f t="shared" si="59"/>
        <v>NC</v>
      </c>
      <c r="AG483" s="8" t="str">
        <f t="shared" si="62"/>
        <v>UTILIZOU O PDA CORRETAMENTE. NÃO HÁ FOTOS DE TODAS AS ETAPAS</v>
      </c>
      <c r="AH483" s="28" t="s">
        <v>108</v>
      </c>
      <c r="AI483" s="66" t="s">
        <v>1</v>
      </c>
      <c r="AJ483" s="22" t="str">
        <f t="shared" si="61"/>
        <v>GUARULHOS</v>
      </c>
      <c r="AK483" s="69" t="s">
        <v>4</v>
      </c>
    </row>
    <row r="484" spans="1:37" ht="30" customHeight="1" x14ac:dyDescent="0.2">
      <c r="A484" s="82" t="s">
        <v>101</v>
      </c>
      <c r="B484" s="82">
        <v>2617933312</v>
      </c>
      <c r="C484" s="82" t="s">
        <v>50</v>
      </c>
      <c r="D484" s="82" t="s">
        <v>29</v>
      </c>
      <c r="E484" s="82" t="s">
        <v>102</v>
      </c>
      <c r="F484" s="82" t="s">
        <v>513</v>
      </c>
      <c r="G484" s="82">
        <v>672</v>
      </c>
      <c r="H484" s="82" t="s">
        <v>1601</v>
      </c>
      <c r="I484" s="82" t="s">
        <v>301</v>
      </c>
      <c r="J484" s="82" t="s">
        <v>130</v>
      </c>
      <c r="K484" s="88" t="s">
        <v>1602</v>
      </c>
      <c r="L484" s="82" t="s">
        <v>1560</v>
      </c>
      <c r="M484" s="82" t="s">
        <v>1603</v>
      </c>
      <c r="N484" s="82" t="s">
        <v>772</v>
      </c>
      <c r="O484" s="36" t="s">
        <v>108</v>
      </c>
      <c r="P484" s="18"/>
      <c r="Q484" s="28" t="s">
        <v>108</v>
      </c>
      <c r="R484" s="18"/>
      <c r="S484" s="28" t="s">
        <v>108</v>
      </c>
      <c r="T484" s="18"/>
      <c r="U484" s="28" t="s">
        <v>108</v>
      </c>
      <c r="V484" s="18"/>
      <c r="W484" s="28" t="s">
        <v>108</v>
      </c>
      <c r="X484" s="18"/>
      <c r="Y484" s="28" t="s">
        <v>14</v>
      </c>
      <c r="Z484" s="18"/>
      <c r="AA484" s="28" t="s">
        <v>108</v>
      </c>
      <c r="AB484" s="18"/>
      <c r="AC484" s="28" t="s">
        <v>108</v>
      </c>
      <c r="AD484" s="18"/>
      <c r="AE484" s="28" t="s">
        <v>108</v>
      </c>
      <c r="AF484" s="47" t="str">
        <f t="shared" si="59"/>
        <v>C</v>
      </c>
      <c r="AG484" s="8" t="str">
        <f t="shared" si="62"/>
        <v>UTILIZOU O PDA CORRETAMENTE</v>
      </c>
      <c r="AH484" s="26" t="s">
        <v>108</v>
      </c>
      <c r="AI484" s="66" t="s">
        <v>1</v>
      </c>
      <c r="AJ484" s="22" t="str">
        <f t="shared" si="61"/>
        <v>GUARULHOS</v>
      </c>
      <c r="AK484" s="69" t="s">
        <v>4</v>
      </c>
    </row>
    <row r="485" spans="1:37" ht="30" customHeight="1" x14ac:dyDescent="0.2">
      <c r="A485" s="82" t="s">
        <v>101</v>
      </c>
      <c r="B485" s="82">
        <v>2617729140</v>
      </c>
      <c r="C485" s="82" t="s">
        <v>44</v>
      </c>
      <c r="D485" s="82" t="s">
        <v>29</v>
      </c>
      <c r="E485" s="82" t="s">
        <v>102</v>
      </c>
      <c r="F485" s="82" t="s">
        <v>1604</v>
      </c>
      <c r="G485" s="82">
        <v>219</v>
      </c>
      <c r="H485" s="82" t="s">
        <v>281</v>
      </c>
      <c r="I485" s="82" t="s">
        <v>1605</v>
      </c>
      <c r="J485" s="82" t="s">
        <v>194</v>
      </c>
      <c r="K485" s="82" t="s">
        <v>1606</v>
      </c>
      <c r="L485" s="82" t="s">
        <v>1560</v>
      </c>
      <c r="M485" s="82" t="s">
        <v>1607</v>
      </c>
      <c r="N485" s="82" t="s">
        <v>209</v>
      </c>
      <c r="O485" s="35" t="s">
        <v>108</v>
      </c>
      <c r="P485" s="25"/>
      <c r="Q485" s="26" t="s">
        <v>108</v>
      </c>
      <c r="R485" s="25"/>
      <c r="S485" s="26" t="s">
        <v>108</v>
      </c>
      <c r="T485" s="25"/>
      <c r="U485" s="26" t="s">
        <v>108</v>
      </c>
      <c r="V485" s="25"/>
      <c r="W485" s="26" t="s">
        <v>108</v>
      </c>
      <c r="X485" s="25"/>
      <c r="Y485" s="26" t="s">
        <v>108</v>
      </c>
      <c r="Z485" s="25"/>
      <c r="AA485" s="26" t="s">
        <v>108</v>
      </c>
      <c r="AB485" s="25"/>
      <c r="AC485" s="26" t="s">
        <v>108</v>
      </c>
      <c r="AD485" s="10"/>
      <c r="AE485" s="26" t="s">
        <v>108</v>
      </c>
      <c r="AF485" s="47" t="str">
        <f t="shared" si="59"/>
        <v>C</v>
      </c>
      <c r="AG485" s="8" t="str">
        <f t="shared" si="62"/>
        <v>UTILIZOU O PDA CORRETAMENTE</v>
      </c>
      <c r="AH485" s="26" t="s">
        <v>108</v>
      </c>
      <c r="AI485" s="66" t="s">
        <v>1</v>
      </c>
      <c r="AJ485" s="22" t="str">
        <f t="shared" si="61"/>
        <v>GUARULHOS</v>
      </c>
      <c r="AK485" s="69" t="s">
        <v>4</v>
      </c>
    </row>
    <row r="486" spans="1:37" ht="30" customHeight="1" x14ac:dyDescent="0.2">
      <c r="A486" s="82" t="s">
        <v>101</v>
      </c>
      <c r="B486" s="82">
        <v>2617947207</v>
      </c>
      <c r="C486" s="82" t="s">
        <v>45</v>
      </c>
      <c r="D486" s="82" t="s">
        <v>27</v>
      </c>
      <c r="E486" s="82" t="s">
        <v>102</v>
      </c>
      <c r="F486" s="82" t="s">
        <v>1604</v>
      </c>
      <c r="G486" s="82">
        <v>213</v>
      </c>
      <c r="H486" s="82" t="s">
        <v>117</v>
      </c>
      <c r="I486" s="82" t="s">
        <v>1605</v>
      </c>
      <c r="J486" s="82" t="s">
        <v>150</v>
      </c>
      <c r="K486" s="82" t="s">
        <v>1608</v>
      </c>
      <c r="L486" s="82" t="s">
        <v>1560</v>
      </c>
      <c r="M486" s="82" t="s">
        <v>1609</v>
      </c>
      <c r="N486" s="82" t="s">
        <v>209</v>
      </c>
      <c r="O486" s="35" t="s">
        <v>108</v>
      </c>
      <c r="P486" s="25"/>
      <c r="Q486" s="26" t="s">
        <v>108</v>
      </c>
      <c r="R486" s="25"/>
      <c r="S486" s="26" t="s">
        <v>108</v>
      </c>
      <c r="T486" s="25"/>
      <c r="U486" s="26" t="s">
        <v>108</v>
      </c>
      <c r="V486" s="25"/>
      <c r="W486" s="26" t="s">
        <v>108</v>
      </c>
      <c r="X486" s="25"/>
      <c r="Y486" s="26" t="s">
        <v>108</v>
      </c>
      <c r="Z486" s="25"/>
      <c r="AA486" s="26" t="s">
        <v>108</v>
      </c>
      <c r="AB486" s="25"/>
      <c r="AC486" s="26" t="s">
        <v>108</v>
      </c>
      <c r="AD486" s="10"/>
      <c r="AE486" s="26" t="s">
        <v>108</v>
      </c>
      <c r="AF486" s="47" t="str">
        <f t="shared" si="59"/>
        <v>C</v>
      </c>
      <c r="AG486" s="8" t="str">
        <f t="shared" si="62"/>
        <v>UTILIZOU O PDA CORRETAMENTE</v>
      </c>
      <c r="AH486" s="26" t="s">
        <v>108</v>
      </c>
      <c r="AI486" s="66" t="s">
        <v>1</v>
      </c>
      <c r="AJ486" s="22" t="str">
        <f t="shared" si="61"/>
        <v>GUARULHOS</v>
      </c>
      <c r="AK486" s="69" t="s">
        <v>4</v>
      </c>
    </row>
    <row r="487" spans="1:37" ht="30" customHeight="1" x14ac:dyDescent="0.2">
      <c r="A487" s="82" t="s">
        <v>101</v>
      </c>
      <c r="B487" s="82">
        <v>2617590944</v>
      </c>
      <c r="C487" s="82" t="s">
        <v>44</v>
      </c>
      <c r="D487" s="82" t="s">
        <v>29</v>
      </c>
      <c r="E487" s="82" t="s">
        <v>102</v>
      </c>
      <c r="F487" s="82" t="s">
        <v>1288</v>
      </c>
      <c r="G487" s="82">
        <v>166</v>
      </c>
      <c r="H487" s="82" t="s">
        <v>117</v>
      </c>
      <c r="I487" s="82" t="s">
        <v>1289</v>
      </c>
      <c r="J487" s="82" t="s">
        <v>194</v>
      </c>
      <c r="K487" s="82" t="s">
        <v>117</v>
      </c>
      <c r="L487" s="82" t="s">
        <v>1560</v>
      </c>
      <c r="M487" s="82" t="s">
        <v>1610</v>
      </c>
      <c r="N487" s="82" t="s">
        <v>140</v>
      </c>
      <c r="O487" s="35" t="s">
        <v>108</v>
      </c>
      <c r="P487" s="25"/>
      <c r="Q487" s="26" t="s">
        <v>108</v>
      </c>
      <c r="R487" s="25"/>
      <c r="S487" s="26" t="s">
        <v>108</v>
      </c>
      <c r="T487" s="25"/>
      <c r="U487" s="26" t="s">
        <v>108</v>
      </c>
      <c r="V487" s="25"/>
      <c r="W487" s="26" t="s">
        <v>108</v>
      </c>
      <c r="X487" s="25"/>
      <c r="Y487" s="26" t="s">
        <v>108</v>
      </c>
      <c r="Z487" s="25"/>
      <c r="AA487" s="26" t="s">
        <v>108</v>
      </c>
      <c r="AB487" s="25"/>
      <c r="AC487" s="26" t="s">
        <v>108</v>
      </c>
      <c r="AD487" s="10"/>
      <c r="AE487" s="26" t="s">
        <v>108</v>
      </c>
      <c r="AF487" s="47" t="str">
        <f t="shared" si="59"/>
        <v>C</v>
      </c>
      <c r="AG487" s="8" t="str">
        <f t="shared" si="62"/>
        <v>UTILIZOU O PDA CORRETAMENTE</v>
      </c>
      <c r="AH487" s="26" t="s">
        <v>108</v>
      </c>
      <c r="AI487" s="66" t="s">
        <v>1</v>
      </c>
      <c r="AJ487" s="22" t="str">
        <f t="shared" si="61"/>
        <v>GUARULHOS</v>
      </c>
      <c r="AK487" s="69" t="s">
        <v>4</v>
      </c>
    </row>
    <row r="488" spans="1:37" ht="30" customHeight="1" x14ac:dyDescent="0.2">
      <c r="A488" s="82" t="s">
        <v>101</v>
      </c>
      <c r="B488" s="82">
        <v>2617961538</v>
      </c>
      <c r="C488" s="82" t="s">
        <v>30</v>
      </c>
      <c r="D488" s="82" t="s">
        <v>29</v>
      </c>
      <c r="E488" s="82" t="s">
        <v>102</v>
      </c>
      <c r="F488" s="82" t="s">
        <v>1611</v>
      </c>
      <c r="G488" s="82">
        <v>153</v>
      </c>
      <c r="H488" s="82" t="s">
        <v>117</v>
      </c>
      <c r="I488" s="82" t="s">
        <v>765</v>
      </c>
      <c r="J488" s="82" t="s">
        <v>170</v>
      </c>
      <c r="K488" s="88" t="s">
        <v>1612</v>
      </c>
      <c r="L488" s="82" t="s">
        <v>1560</v>
      </c>
      <c r="M488" s="82" t="s">
        <v>1613</v>
      </c>
      <c r="N488" s="82" t="s">
        <v>772</v>
      </c>
      <c r="O488" s="36" t="s">
        <v>14</v>
      </c>
      <c r="P488" s="18"/>
      <c r="Q488" s="28" t="s">
        <v>14</v>
      </c>
      <c r="R488" s="18"/>
      <c r="S488" s="28" t="s">
        <v>14</v>
      </c>
      <c r="T488" s="18"/>
      <c r="U488" s="28" t="s">
        <v>14</v>
      </c>
      <c r="V488" s="18"/>
      <c r="W488" s="28" t="s">
        <v>14</v>
      </c>
      <c r="X488" s="18"/>
      <c r="Y488" s="28" t="s">
        <v>14</v>
      </c>
      <c r="Z488" s="18"/>
      <c r="AA488" s="28" t="s">
        <v>14</v>
      </c>
      <c r="AB488" s="18"/>
      <c r="AC488" s="28" t="s">
        <v>14</v>
      </c>
      <c r="AD488" s="18"/>
      <c r="AE488" s="28" t="s">
        <v>14</v>
      </c>
      <c r="AF488" s="47" t="str">
        <f t="shared" si="59"/>
        <v>NA</v>
      </c>
      <c r="AG488" s="8" t="s">
        <v>1614</v>
      </c>
      <c r="AH488" s="28" t="s">
        <v>108</v>
      </c>
      <c r="AI488" s="66" t="s">
        <v>1</v>
      </c>
      <c r="AJ488" s="22" t="str">
        <f t="shared" si="61"/>
        <v>GUARULHOS</v>
      </c>
      <c r="AK488" s="69" t="s">
        <v>4</v>
      </c>
    </row>
    <row r="489" spans="1:37" ht="30" customHeight="1" x14ac:dyDescent="0.2">
      <c r="A489" s="82" t="s">
        <v>101</v>
      </c>
      <c r="B489" s="82">
        <v>2617972922</v>
      </c>
      <c r="C489" s="82" t="s">
        <v>50</v>
      </c>
      <c r="D489" s="82" t="s">
        <v>29</v>
      </c>
      <c r="E489" s="82" t="s">
        <v>102</v>
      </c>
      <c r="F489" s="82" t="s">
        <v>1615</v>
      </c>
      <c r="G489" s="82">
        <v>478</v>
      </c>
      <c r="H489" s="82"/>
      <c r="I489" s="82" t="s">
        <v>1616</v>
      </c>
      <c r="J489" s="82" t="s">
        <v>130</v>
      </c>
      <c r="K489" s="82"/>
      <c r="L489" s="82" t="s">
        <v>1560</v>
      </c>
      <c r="M489" s="82" t="s">
        <v>1617</v>
      </c>
      <c r="N489" s="82" t="s">
        <v>205</v>
      </c>
      <c r="O489" s="36" t="s">
        <v>108</v>
      </c>
      <c r="P489" s="18"/>
      <c r="Q489" s="28" t="s">
        <v>108</v>
      </c>
      <c r="R489" s="18"/>
      <c r="S489" s="28" t="s">
        <v>108</v>
      </c>
      <c r="T489" s="18"/>
      <c r="U489" s="28" t="s">
        <v>108</v>
      </c>
      <c r="V489" s="18"/>
      <c r="W489" s="28" t="s">
        <v>108</v>
      </c>
      <c r="X489" s="18"/>
      <c r="Y489" s="28" t="s">
        <v>14</v>
      </c>
      <c r="Z489" s="18"/>
      <c r="AA489" s="28" t="s">
        <v>108</v>
      </c>
      <c r="AB489" s="18"/>
      <c r="AC489" s="28" t="s">
        <v>108</v>
      </c>
      <c r="AD489" s="18"/>
      <c r="AE489" s="28" t="s">
        <v>108</v>
      </c>
      <c r="AF489" s="47" t="str">
        <f t="shared" si="59"/>
        <v>C</v>
      </c>
      <c r="AG489" s="8" t="str">
        <f t="shared" ref="AG489:AG510" si="63">IF(AND(AE489="C",AF489="C"),"UTILIZOU O PDA CORRETAMENTE",IF(AND(AE489="C",AF489="NC"),"UTILIZOU O PDA CORRETAMENTE. NÃO HÁ FOTOS DE TODAS AS ETAPAS",IF(AND(AE489="NC",AF489="NC"),"NÃO UTILIZOU O PDA",IF(AND(AE489="NA",AF489="NA"),"NÃO AVALIADO POR FALHA DE SINCRONISMO"))))</f>
        <v>UTILIZOU O PDA CORRETAMENTE</v>
      </c>
      <c r="AH489" s="26" t="s">
        <v>108</v>
      </c>
      <c r="AI489" s="66" t="s">
        <v>1</v>
      </c>
      <c r="AJ489" s="22" t="str">
        <f t="shared" si="61"/>
        <v>GUARULHOS</v>
      </c>
      <c r="AK489" s="69" t="s">
        <v>4</v>
      </c>
    </row>
    <row r="490" spans="1:37" ht="30" customHeight="1" x14ac:dyDescent="0.2">
      <c r="A490" s="82" t="s">
        <v>101</v>
      </c>
      <c r="B490" s="82">
        <v>2617731383</v>
      </c>
      <c r="C490" s="82" t="s">
        <v>636</v>
      </c>
      <c r="D490" s="82" t="s">
        <v>29</v>
      </c>
      <c r="E490" s="82" t="s">
        <v>102</v>
      </c>
      <c r="F490" s="82" t="s">
        <v>1619</v>
      </c>
      <c r="G490" s="82">
        <v>183</v>
      </c>
      <c r="H490" s="82" t="s">
        <v>1620</v>
      </c>
      <c r="I490" s="82" t="s">
        <v>177</v>
      </c>
      <c r="J490" s="82" t="s">
        <v>637</v>
      </c>
      <c r="K490" s="82" t="s">
        <v>117</v>
      </c>
      <c r="L490" s="82" t="s">
        <v>1560</v>
      </c>
      <c r="M490" s="82" t="s">
        <v>1621</v>
      </c>
      <c r="N490" s="82" t="s">
        <v>163</v>
      </c>
      <c r="O490" s="36" t="s">
        <v>108</v>
      </c>
      <c r="P490" s="18"/>
      <c r="Q490" s="28" t="s">
        <v>108</v>
      </c>
      <c r="R490" s="18"/>
      <c r="S490" s="28" t="s">
        <v>108</v>
      </c>
      <c r="T490" s="18"/>
      <c r="U490" s="28" t="s">
        <v>108</v>
      </c>
      <c r="V490" s="18"/>
      <c r="W490" s="28" t="s">
        <v>108</v>
      </c>
      <c r="X490" s="18"/>
      <c r="Y490" s="28" t="s">
        <v>14</v>
      </c>
      <c r="Z490" s="18"/>
      <c r="AA490" s="28" t="s">
        <v>108</v>
      </c>
      <c r="AB490" s="18"/>
      <c r="AC490" s="28" t="s">
        <v>108</v>
      </c>
      <c r="AD490" s="18"/>
      <c r="AE490" s="28" t="s">
        <v>108</v>
      </c>
      <c r="AF490" s="47" t="str">
        <f t="shared" si="59"/>
        <v>C</v>
      </c>
      <c r="AG490" s="8" t="str">
        <f t="shared" si="63"/>
        <v>UTILIZOU O PDA CORRETAMENTE</v>
      </c>
      <c r="AH490" s="26" t="s">
        <v>108</v>
      </c>
      <c r="AI490" s="66" t="s">
        <v>1</v>
      </c>
      <c r="AJ490" s="22" t="str">
        <f t="shared" si="61"/>
        <v>GUARULHOS</v>
      </c>
      <c r="AK490" s="69" t="s">
        <v>4</v>
      </c>
    </row>
    <row r="491" spans="1:37" ht="30" customHeight="1" x14ac:dyDescent="0.2">
      <c r="A491" s="91" t="s">
        <v>101</v>
      </c>
      <c r="B491" s="91">
        <v>2617730120</v>
      </c>
      <c r="C491" s="91" t="s">
        <v>44</v>
      </c>
      <c r="D491" s="91" t="s">
        <v>29</v>
      </c>
      <c r="E491" s="91" t="s">
        <v>102</v>
      </c>
      <c r="F491" s="91" t="s">
        <v>711</v>
      </c>
      <c r="G491" s="91">
        <v>83</v>
      </c>
      <c r="H491" s="91" t="s">
        <v>659</v>
      </c>
      <c r="I491" s="91" t="s">
        <v>713</v>
      </c>
      <c r="J491" s="91" t="s">
        <v>194</v>
      </c>
      <c r="K491" s="91"/>
      <c r="L491" s="91" t="s">
        <v>1560</v>
      </c>
      <c r="M491" s="91" t="s">
        <v>1622</v>
      </c>
      <c r="N491" s="91" t="s">
        <v>163</v>
      </c>
      <c r="O491" s="35" t="s">
        <v>108</v>
      </c>
      <c r="P491" s="25"/>
      <c r="Q491" s="26" t="s">
        <v>108</v>
      </c>
      <c r="R491" s="25"/>
      <c r="S491" s="26" t="s">
        <v>108</v>
      </c>
      <c r="T491" s="25"/>
      <c r="U491" s="26" t="s">
        <v>108</v>
      </c>
      <c r="V491" s="25"/>
      <c r="W491" s="26" t="s">
        <v>108</v>
      </c>
      <c r="X491" s="25"/>
      <c r="Y491" s="26" t="s">
        <v>108</v>
      </c>
      <c r="Z491" s="25"/>
      <c r="AA491" s="26" t="s">
        <v>108</v>
      </c>
      <c r="AB491" s="25"/>
      <c r="AC491" s="26" t="s">
        <v>108</v>
      </c>
      <c r="AD491" s="10"/>
      <c r="AE491" s="26" t="s">
        <v>108</v>
      </c>
      <c r="AF491" s="47" t="str">
        <f t="shared" si="59"/>
        <v>C</v>
      </c>
      <c r="AG491" s="8" t="str">
        <f t="shared" si="63"/>
        <v>UTILIZOU O PDA CORRETAMENTE</v>
      </c>
      <c r="AH491" s="26" t="s">
        <v>108</v>
      </c>
      <c r="AI491" s="66" t="s">
        <v>1</v>
      </c>
      <c r="AJ491" s="22" t="str">
        <f t="shared" si="61"/>
        <v>GUARULHOS</v>
      </c>
      <c r="AK491" s="69" t="s">
        <v>4</v>
      </c>
    </row>
    <row r="492" spans="1:37" ht="30" customHeight="1" x14ac:dyDescent="0.2">
      <c r="A492" s="82" t="s">
        <v>101</v>
      </c>
      <c r="B492" s="82">
        <v>2618032791</v>
      </c>
      <c r="C492" s="82" t="s">
        <v>37</v>
      </c>
      <c r="D492" s="82" t="s">
        <v>26</v>
      </c>
      <c r="E492" s="82" t="s">
        <v>102</v>
      </c>
      <c r="F492" s="82" t="s">
        <v>572</v>
      </c>
      <c r="G492" s="82">
        <v>95</v>
      </c>
      <c r="H492" s="82" t="s">
        <v>1441</v>
      </c>
      <c r="I492" s="82" t="s">
        <v>162</v>
      </c>
      <c r="J492" s="82" t="s">
        <v>230</v>
      </c>
      <c r="K492" s="82" t="s">
        <v>1623</v>
      </c>
      <c r="L492" s="82" t="s">
        <v>1624</v>
      </c>
      <c r="M492" s="82" t="s">
        <v>1625</v>
      </c>
      <c r="N492" s="82" t="s">
        <v>180</v>
      </c>
      <c r="O492" s="36" t="s">
        <v>214</v>
      </c>
      <c r="P492" s="18"/>
      <c r="Q492" s="28" t="s">
        <v>214</v>
      </c>
      <c r="R492" s="18"/>
      <c r="S492" s="28" t="s">
        <v>214</v>
      </c>
      <c r="T492" s="18"/>
      <c r="U492" s="28" t="s">
        <v>214</v>
      </c>
      <c r="V492" s="18"/>
      <c r="W492" s="28" t="s">
        <v>214</v>
      </c>
      <c r="X492" s="18"/>
      <c r="Y492" s="28" t="s">
        <v>214</v>
      </c>
      <c r="Z492" s="18"/>
      <c r="AA492" s="28" t="s">
        <v>214</v>
      </c>
      <c r="AB492" s="18"/>
      <c r="AC492" s="28" t="s">
        <v>214</v>
      </c>
      <c r="AD492" s="18"/>
      <c r="AE492" s="28" t="s">
        <v>114</v>
      </c>
      <c r="AF492" s="47" t="str">
        <f t="shared" si="59"/>
        <v>NC</v>
      </c>
      <c r="AG492" s="8" t="str">
        <f t="shared" si="63"/>
        <v>NÃO UTILIZOU O PDA</v>
      </c>
      <c r="AH492" s="28" t="s">
        <v>108</v>
      </c>
      <c r="AI492" s="66" t="s">
        <v>1</v>
      </c>
      <c r="AJ492" s="22" t="str">
        <f t="shared" si="61"/>
        <v>GUARULHOS</v>
      </c>
      <c r="AK492" s="69" t="s">
        <v>4</v>
      </c>
    </row>
    <row r="493" spans="1:37" ht="30" customHeight="1" x14ac:dyDescent="0.2">
      <c r="A493" s="82" t="s">
        <v>101</v>
      </c>
      <c r="B493" s="82">
        <v>2618032946</v>
      </c>
      <c r="C493" s="82" t="s">
        <v>37</v>
      </c>
      <c r="D493" s="82" t="s">
        <v>26</v>
      </c>
      <c r="E493" s="82" t="s">
        <v>102</v>
      </c>
      <c r="F493" s="82" t="s">
        <v>572</v>
      </c>
      <c r="G493" s="82">
        <v>100</v>
      </c>
      <c r="H493" s="82" t="s">
        <v>174</v>
      </c>
      <c r="I493" s="82" t="s">
        <v>162</v>
      </c>
      <c r="J493" s="82" t="s">
        <v>230</v>
      </c>
      <c r="K493" s="82" t="s">
        <v>1626</v>
      </c>
      <c r="L493" s="82" t="s">
        <v>1624</v>
      </c>
      <c r="M493" s="82" t="s">
        <v>1627</v>
      </c>
      <c r="N493" s="82" t="s">
        <v>180</v>
      </c>
      <c r="O493" s="36" t="s">
        <v>214</v>
      </c>
      <c r="P493" s="18"/>
      <c r="Q493" s="28" t="s">
        <v>214</v>
      </c>
      <c r="R493" s="18"/>
      <c r="S493" s="28" t="s">
        <v>214</v>
      </c>
      <c r="T493" s="18"/>
      <c r="U493" s="28" t="s">
        <v>214</v>
      </c>
      <c r="V493" s="18"/>
      <c r="W493" s="28" t="s">
        <v>214</v>
      </c>
      <c r="X493" s="18"/>
      <c r="Y493" s="28" t="s">
        <v>214</v>
      </c>
      <c r="Z493" s="18"/>
      <c r="AA493" s="28" t="s">
        <v>214</v>
      </c>
      <c r="AB493" s="18"/>
      <c r="AC493" s="28" t="s">
        <v>214</v>
      </c>
      <c r="AD493" s="18"/>
      <c r="AE493" s="28" t="s">
        <v>114</v>
      </c>
      <c r="AF493" s="47" t="str">
        <f t="shared" si="59"/>
        <v>NC</v>
      </c>
      <c r="AG493" s="8" t="str">
        <f t="shared" si="63"/>
        <v>NÃO UTILIZOU O PDA</v>
      </c>
      <c r="AH493" s="28" t="s">
        <v>108</v>
      </c>
      <c r="AI493" s="66" t="s">
        <v>1</v>
      </c>
      <c r="AJ493" s="22" t="str">
        <f t="shared" si="61"/>
        <v>GUARULHOS</v>
      </c>
      <c r="AK493" s="69" t="s">
        <v>4</v>
      </c>
    </row>
    <row r="494" spans="1:37" ht="30" customHeight="1" x14ac:dyDescent="0.2">
      <c r="A494" s="82" t="s">
        <v>101</v>
      </c>
      <c r="B494" s="82">
        <v>2617937604</v>
      </c>
      <c r="C494" s="82" t="s">
        <v>51</v>
      </c>
      <c r="D494" s="82" t="s">
        <v>29</v>
      </c>
      <c r="E494" s="82" t="s">
        <v>102</v>
      </c>
      <c r="F494" s="82" t="s">
        <v>1629</v>
      </c>
      <c r="G494" s="82">
        <v>105</v>
      </c>
      <c r="H494" s="82" t="s">
        <v>117</v>
      </c>
      <c r="I494" s="82" t="s">
        <v>154</v>
      </c>
      <c r="J494" s="82" t="s">
        <v>159</v>
      </c>
      <c r="K494" s="82" t="s">
        <v>117</v>
      </c>
      <c r="L494" s="82" t="s">
        <v>1624</v>
      </c>
      <c r="M494" s="82" t="s">
        <v>1630</v>
      </c>
      <c r="N494" s="82" t="s">
        <v>231</v>
      </c>
      <c r="O494" s="36" t="s">
        <v>108</v>
      </c>
      <c r="P494" s="18"/>
      <c r="Q494" s="28" t="s">
        <v>108</v>
      </c>
      <c r="R494" s="18"/>
      <c r="S494" s="28" t="s">
        <v>108</v>
      </c>
      <c r="T494" s="18"/>
      <c r="U494" s="28" t="s">
        <v>108</v>
      </c>
      <c r="V494" s="18"/>
      <c r="W494" s="28" t="s">
        <v>108</v>
      </c>
      <c r="X494" s="18"/>
      <c r="Y494" s="28" t="s">
        <v>14</v>
      </c>
      <c r="Z494" s="18"/>
      <c r="AA494" s="28" t="s">
        <v>108</v>
      </c>
      <c r="AB494" s="18"/>
      <c r="AC494" s="28" t="s">
        <v>108</v>
      </c>
      <c r="AD494" s="18"/>
      <c r="AE494" s="28" t="s">
        <v>108</v>
      </c>
      <c r="AF494" s="47" t="str">
        <f t="shared" ref="AF494:AF508" si="64">IF(AND(O494="",Q494="",S494="",U494="",W494="",Y494="",AA494="",AC494=""),"",IF(OR(AND(O494&lt;&gt;"NA",O494&lt;&gt;"C",O494&lt;&gt;"NC",O494&lt;&gt;"SF",O494&lt;&gt;""),AND(Q494&lt;&gt;"NA",Q494&lt;&gt;"C",Q494&lt;&gt;"NC",Q494&lt;&gt;"SF",Q494&lt;&gt;""),AND(S494&lt;&gt;"NA",S494&lt;&gt;"C",S494&lt;&gt;"NC",S494&lt;&gt;"SF",S494&lt;&gt;""),AND(U494&lt;&gt;"NA",U494&lt;&gt;"C",U494&lt;&gt;"NC",U494&lt;&gt;"SF",U494&lt;&gt;""),AND(W494&lt;&gt;"NA",W494&lt;&gt;"C",W494&lt;&gt;"NC",W494&lt;&gt;"SF",W494&lt;&gt;""),AND(Y494&lt;&gt;"NA",Y494&lt;&gt;"C",Y494&lt;&gt;"NC",Y494&lt;&gt;"SF",Y494&lt;&gt;""),AND(AA494&lt;&gt;"NA",AA494&lt;&gt;"C",AA494&lt;&gt;"NC",AA494&lt;&gt;"SF",AA494&lt;&gt;""),AND(AC494&lt;&gt;"NA",AC494&lt;&gt;"C",AC494&lt;&gt;"NC",AC494&lt;&gt;"SF",AC494&lt;&gt;"")),"FALSO",IF(AND(O494="NA",Q494="NA",S494="NA",U494="NA",W494="NA",Y494="NA",AA494="NA",AC494="NA"),"NA",IF(OR(O494="NC",Q494="NC",S494="NC",U494="NC",W494="NC",Y494="NC",AA494="NC",AC494="NC",O494="SF",Q494="SF",S494="SF",U494="SF",W494="SF",Y494="SF",AA494="SF",AC494="SF"),"NC",IF(OR(O494="C",Q494="C",S494="C",U494="C",W494="C",Y494="C",AA494="C",AC494="C"),"C","")))))</f>
        <v>C</v>
      </c>
      <c r="AG494" s="8" t="str">
        <f t="shared" si="63"/>
        <v>UTILIZOU O PDA CORRETAMENTE</v>
      </c>
      <c r="AH494" s="26" t="s">
        <v>108</v>
      </c>
      <c r="AI494" s="66" t="s">
        <v>1</v>
      </c>
      <c r="AJ494" s="22" t="str">
        <f t="shared" ref="AJ494:AJ510" si="65">E494</f>
        <v>GUARULHOS</v>
      </c>
      <c r="AK494" s="69" t="s">
        <v>4</v>
      </c>
    </row>
    <row r="495" spans="1:37" ht="30" customHeight="1" x14ac:dyDescent="0.2">
      <c r="A495" s="82" t="s">
        <v>101</v>
      </c>
      <c r="B495" s="82">
        <v>2691956796</v>
      </c>
      <c r="C495" s="82" t="s">
        <v>46</v>
      </c>
      <c r="D495" s="82" t="s">
        <v>29</v>
      </c>
      <c r="E495" s="82" t="s">
        <v>102</v>
      </c>
      <c r="F495" s="82" t="s">
        <v>1632</v>
      </c>
      <c r="G495" s="82">
        <v>859</v>
      </c>
      <c r="H495" s="82" t="s">
        <v>117</v>
      </c>
      <c r="I495" s="82" t="s">
        <v>104</v>
      </c>
      <c r="J495" s="82" t="s">
        <v>170</v>
      </c>
      <c r="K495" s="82" t="s">
        <v>1633</v>
      </c>
      <c r="L495" s="82" t="s">
        <v>1624</v>
      </c>
      <c r="M495" s="82" t="s">
        <v>1634</v>
      </c>
      <c r="N495" s="82" t="s">
        <v>146</v>
      </c>
      <c r="O495" s="36" t="s">
        <v>108</v>
      </c>
      <c r="P495" s="18"/>
      <c r="Q495" s="28" t="s">
        <v>108</v>
      </c>
      <c r="R495" s="18"/>
      <c r="S495" s="28" t="s">
        <v>108</v>
      </c>
      <c r="T495" s="18"/>
      <c r="U495" s="28" t="s">
        <v>108</v>
      </c>
      <c r="V495" s="18"/>
      <c r="W495" s="28" t="s">
        <v>108</v>
      </c>
      <c r="X495" s="18"/>
      <c r="Y495" s="28" t="s">
        <v>14</v>
      </c>
      <c r="Z495" s="18"/>
      <c r="AA495" s="28" t="s">
        <v>108</v>
      </c>
      <c r="AB495" s="18"/>
      <c r="AC495" s="28" t="s">
        <v>108</v>
      </c>
      <c r="AD495" s="18"/>
      <c r="AE495" s="28" t="s">
        <v>108</v>
      </c>
      <c r="AF495" s="47" t="str">
        <f t="shared" si="64"/>
        <v>C</v>
      </c>
      <c r="AG495" s="8" t="str">
        <f t="shared" si="63"/>
        <v>UTILIZOU O PDA CORRETAMENTE</v>
      </c>
      <c r="AH495" s="26" t="s">
        <v>108</v>
      </c>
      <c r="AI495" s="66" t="s">
        <v>1</v>
      </c>
      <c r="AJ495" s="22" t="str">
        <f t="shared" si="65"/>
        <v>GUARULHOS</v>
      </c>
      <c r="AK495" s="69" t="s">
        <v>4</v>
      </c>
    </row>
    <row r="496" spans="1:37" ht="30" customHeight="1" x14ac:dyDescent="0.2">
      <c r="A496" s="82" t="s">
        <v>101</v>
      </c>
      <c r="B496" s="82">
        <v>2617986892</v>
      </c>
      <c r="C496" s="82" t="s">
        <v>45</v>
      </c>
      <c r="D496" s="82" t="s">
        <v>27</v>
      </c>
      <c r="E496" s="82" t="s">
        <v>102</v>
      </c>
      <c r="F496" s="82" t="s">
        <v>609</v>
      </c>
      <c r="G496" s="82">
        <v>202</v>
      </c>
      <c r="H496" s="82"/>
      <c r="I496" s="82" t="s">
        <v>498</v>
      </c>
      <c r="J496" s="82" t="s">
        <v>150</v>
      </c>
      <c r="K496" s="82" t="s">
        <v>1635</v>
      </c>
      <c r="L496" s="82" t="s">
        <v>1624</v>
      </c>
      <c r="M496" s="82" t="s">
        <v>1636</v>
      </c>
      <c r="N496" s="82" t="s">
        <v>297</v>
      </c>
      <c r="O496" s="35" t="s">
        <v>108</v>
      </c>
      <c r="P496" s="25"/>
      <c r="Q496" s="26" t="s">
        <v>108</v>
      </c>
      <c r="R496" s="25"/>
      <c r="S496" s="26" t="s">
        <v>108</v>
      </c>
      <c r="T496" s="25"/>
      <c r="U496" s="26" t="s">
        <v>108</v>
      </c>
      <c r="V496" s="25"/>
      <c r="W496" s="26" t="s">
        <v>108</v>
      </c>
      <c r="X496" s="25"/>
      <c r="Y496" s="26" t="s">
        <v>108</v>
      </c>
      <c r="Z496" s="25"/>
      <c r="AA496" s="26" t="s">
        <v>108</v>
      </c>
      <c r="AB496" s="25"/>
      <c r="AC496" s="26" t="s">
        <v>108</v>
      </c>
      <c r="AD496" s="10"/>
      <c r="AE496" s="26" t="s">
        <v>108</v>
      </c>
      <c r="AF496" s="47" t="str">
        <f t="shared" si="64"/>
        <v>C</v>
      </c>
      <c r="AG496" s="8" t="str">
        <f t="shared" si="63"/>
        <v>UTILIZOU O PDA CORRETAMENTE</v>
      </c>
      <c r="AH496" s="26" t="s">
        <v>108</v>
      </c>
      <c r="AI496" s="66" t="s">
        <v>1</v>
      </c>
      <c r="AJ496" s="22" t="str">
        <f t="shared" si="65"/>
        <v>GUARULHOS</v>
      </c>
      <c r="AK496" s="69" t="s">
        <v>4</v>
      </c>
    </row>
    <row r="497" spans="1:37" ht="30" customHeight="1" x14ac:dyDescent="0.2">
      <c r="A497" s="82" t="s">
        <v>101</v>
      </c>
      <c r="B497" s="82">
        <v>2618017727</v>
      </c>
      <c r="C497" s="82" t="s">
        <v>50</v>
      </c>
      <c r="D497" s="82" t="s">
        <v>29</v>
      </c>
      <c r="E497" s="82" t="s">
        <v>102</v>
      </c>
      <c r="F497" s="82" t="s">
        <v>1637</v>
      </c>
      <c r="G497" s="82">
        <v>99</v>
      </c>
      <c r="H497" s="82" t="s">
        <v>1638</v>
      </c>
      <c r="I497" s="82" t="s">
        <v>1101</v>
      </c>
      <c r="J497" s="82" t="s">
        <v>155</v>
      </c>
      <c r="K497" s="82" t="s">
        <v>1639</v>
      </c>
      <c r="L497" s="82" t="s">
        <v>1624</v>
      </c>
      <c r="M497" s="82" t="s">
        <v>1640</v>
      </c>
      <c r="N497" s="82" t="s">
        <v>151</v>
      </c>
      <c r="O497" s="36" t="s">
        <v>108</v>
      </c>
      <c r="P497" s="18"/>
      <c r="Q497" s="28" t="s">
        <v>108</v>
      </c>
      <c r="R497" s="18"/>
      <c r="S497" s="28" t="s">
        <v>108</v>
      </c>
      <c r="T497" s="18"/>
      <c r="U497" s="28" t="s">
        <v>108</v>
      </c>
      <c r="V497" s="18"/>
      <c r="W497" s="28" t="s">
        <v>108</v>
      </c>
      <c r="X497" s="18"/>
      <c r="Y497" s="28" t="s">
        <v>14</v>
      </c>
      <c r="Z497" s="18"/>
      <c r="AA497" s="28" t="s">
        <v>108</v>
      </c>
      <c r="AB497" s="18"/>
      <c r="AC497" s="28" t="s">
        <v>108</v>
      </c>
      <c r="AD497" s="18"/>
      <c r="AE497" s="28" t="s">
        <v>108</v>
      </c>
      <c r="AF497" s="47" t="str">
        <f t="shared" si="64"/>
        <v>C</v>
      </c>
      <c r="AG497" s="8" t="str">
        <f t="shared" si="63"/>
        <v>UTILIZOU O PDA CORRETAMENTE</v>
      </c>
      <c r="AH497" s="26" t="s">
        <v>108</v>
      </c>
      <c r="AI497" s="66" t="s">
        <v>1</v>
      </c>
      <c r="AJ497" s="22" t="str">
        <f t="shared" si="65"/>
        <v>GUARULHOS</v>
      </c>
      <c r="AK497" s="69" t="s">
        <v>4</v>
      </c>
    </row>
    <row r="498" spans="1:37" ht="30" customHeight="1" x14ac:dyDescent="0.2">
      <c r="A498" s="82" t="s">
        <v>101</v>
      </c>
      <c r="B498" s="82">
        <v>2617946661</v>
      </c>
      <c r="C498" s="82" t="s">
        <v>50</v>
      </c>
      <c r="D498" s="82" t="s">
        <v>29</v>
      </c>
      <c r="E498" s="82" t="s">
        <v>102</v>
      </c>
      <c r="F498" s="82" t="s">
        <v>1641</v>
      </c>
      <c r="G498" s="82">
        <v>103</v>
      </c>
      <c r="H498" s="82" t="s">
        <v>138</v>
      </c>
      <c r="I498" s="82" t="s">
        <v>1084</v>
      </c>
      <c r="J498" s="82" t="s">
        <v>130</v>
      </c>
      <c r="K498" s="82" t="s">
        <v>117</v>
      </c>
      <c r="L498" s="82" t="s">
        <v>1624</v>
      </c>
      <c r="M498" s="82" t="s">
        <v>1642</v>
      </c>
      <c r="N498" s="82" t="s">
        <v>163</v>
      </c>
      <c r="O498" s="36" t="s">
        <v>108</v>
      </c>
      <c r="P498" s="18"/>
      <c r="Q498" s="28" t="s">
        <v>108</v>
      </c>
      <c r="R498" s="18"/>
      <c r="S498" s="28" t="s">
        <v>108</v>
      </c>
      <c r="T498" s="18"/>
      <c r="U498" s="28" t="s">
        <v>108</v>
      </c>
      <c r="V498" s="18"/>
      <c r="W498" s="28" t="s">
        <v>108</v>
      </c>
      <c r="X498" s="18"/>
      <c r="Y498" s="28" t="s">
        <v>14</v>
      </c>
      <c r="Z498" s="18"/>
      <c r="AA498" s="28" t="s">
        <v>108</v>
      </c>
      <c r="AB498" s="18"/>
      <c r="AC498" s="28" t="s">
        <v>108</v>
      </c>
      <c r="AD498" s="18"/>
      <c r="AE498" s="28" t="s">
        <v>108</v>
      </c>
      <c r="AF498" s="47" t="str">
        <f t="shared" si="64"/>
        <v>C</v>
      </c>
      <c r="AG498" s="8" t="str">
        <f t="shared" si="63"/>
        <v>UTILIZOU O PDA CORRETAMENTE</v>
      </c>
      <c r="AH498" s="26" t="s">
        <v>108</v>
      </c>
      <c r="AI498" s="66" t="s">
        <v>1</v>
      </c>
      <c r="AJ498" s="22" t="str">
        <f t="shared" si="65"/>
        <v>GUARULHOS</v>
      </c>
      <c r="AK498" s="69" t="s">
        <v>4</v>
      </c>
    </row>
    <row r="499" spans="1:37" ht="30" customHeight="1" x14ac:dyDescent="0.2">
      <c r="A499" s="82" t="s">
        <v>101</v>
      </c>
      <c r="B499" s="82">
        <v>2617947571</v>
      </c>
      <c r="C499" s="82" t="s">
        <v>41</v>
      </c>
      <c r="D499" s="82" t="s">
        <v>25</v>
      </c>
      <c r="E499" s="82" t="s">
        <v>102</v>
      </c>
      <c r="F499" s="82" t="s">
        <v>609</v>
      </c>
      <c r="G499" s="82">
        <v>62</v>
      </c>
      <c r="H499" s="82" t="s">
        <v>121</v>
      </c>
      <c r="I499" s="82" t="s">
        <v>498</v>
      </c>
      <c r="J499" s="82" t="s">
        <v>41</v>
      </c>
      <c r="K499" s="82" t="s">
        <v>1646</v>
      </c>
      <c r="L499" s="82" t="s">
        <v>1624</v>
      </c>
      <c r="M499" s="82" t="s">
        <v>1645</v>
      </c>
      <c r="N499" s="82" t="s">
        <v>119</v>
      </c>
      <c r="O499" s="36" t="s">
        <v>108</v>
      </c>
      <c r="P499" s="18"/>
      <c r="Q499" s="28" t="s">
        <v>14</v>
      </c>
      <c r="R499" s="18"/>
      <c r="S499" s="28" t="s">
        <v>14</v>
      </c>
      <c r="T499" s="18"/>
      <c r="U499" s="28" t="s">
        <v>14</v>
      </c>
      <c r="V499" s="18"/>
      <c r="W499" s="28" t="s">
        <v>14</v>
      </c>
      <c r="X499" s="18"/>
      <c r="Y499" s="28" t="s">
        <v>14</v>
      </c>
      <c r="Z499" s="18"/>
      <c r="AA499" s="28" t="s">
        <v>108</v>
      </c>
      <c r="AB499" s="18"/>
      <c r="AC499" s="28" t="s">
        <v>108</v>
      </c>
      <c r="AD499" s="18"/>
      <c r="AE499" s="28" t="s">
        <v>108</v>
      </c>
      <c r="AF499" s="47" t="str">
        <f t="shared" si="64"/>
        <v>C</v>
      </c>
      <c r="AG499" s="8" t="str">
        <f t="shared" si="63"/>
        <v>UTILIZOU O PDA CORRETAMENTE</v>
      </c>
      <c r="AH499" s="28" t="s">
        <v>108</v>
      </c>
      <c r="AI499" s="66" t="s">
        <v>1</v>
      </c>
      <c r="AJ499" s="22" t="str">
        <f t="shared" si="65"/>
        <v>GUARULHOS</v>
      </c>
      <c r="AK499" s="69" t="s">
        <v>4</v>
      </c>
    </row>
    <row r="500" spans="1:37" ht="30" customHeight="1" x14ac:dyDescent="0.2">
      <c r="A500" s="82" t="s">
        <v>101</v>
      </c>
      <c r="B500" s="82">
        <v>2617947569</v>
      </c>
      <c r="C500" s="82" t="s">
        <v>41</v>
      </c>
      <c r="D500" s="82" t="s">
        <v>25</v>
      </c>
      <c r="E500" s="82" t="s">
        <v>102</v>
      </c>
      <c r="F500" s="82" t="s">
        <v>609</v>
      </c>
      <c r="G500" s="82">
        <v>62</v>
      </c>
      <c r="H500" s="82" t="s">
        <v>115</v>
      </c>
      <c r="I500" s="82" t="s">
        <v>498</v>
      </c>
      <c r="J500" s="82" t="s">
        <v>41</v>
      </c>
      <c r="K500" s="82" t="s">
        <v>1646</v>
      </c>
      <c r="L500" s="82" t="s">
        <v>1624</v>
      </c>
      <c r="M500" s="82" t="s">
        <v>1647</v>
      </c>
      <c r="N500" s="82" t="s">
        <v>119</v>
      </c>
      <c r="O500" s="36" t="s">
        <v>108</v>
      </c>
      <c r="P500" s="18"/>
      <c r="Q500" s="28" t="s">
        <v>14</v>
      </c>
      <c r="R500" s="18"/>
      <c r="S500" s="28" t="s">
        <v>14</v>
      </c>
      <c r="T500" s="18"/>
      <c r="U500" s="28" t="s">
        <v>14</v>
      </c>
      <c r="V500" s="18"/>
      <c r="W500" s="28" t="s">
        <v>14</v>
      </c>
      <c r="X500" s="18"/>
      <c r="Y500" s="28" t="s">
        <v>14</v>
      </c>
      <c r="Z500" s="18"/>
      <c r="AA500" s="28" t="s">
        <v>108</v>
      </c>
      <c r="AB500" s="18"/>
      <c r="AC500" s="28" t="s">
        <v>108</v>
      </c>
      <c r="AD500" s="18"/>
      <c r="AE500" s="28" t="s">
        <v>108</v>
      </c>
      <c r="AF500" s="47" t="str">
        <f t="shared" si="64"/>
        <v>C</v>
      </c>
      <c r="AG500" s="8" t="str">
        <f t="shared" si="63"/>
        <v>UTILIZOU O PDA CORRETAMENTE</v>
      </c>
      <c r="AH500" s="28" t="s">
        <v>108</v>
      </c>
      <c r="AI500" s="66" t="s">
        <v>1</v>
      </c>
      <c r="AJ500" s="22" t="str">
        <f t="shared" si="65"/>
        <v>GUARULHOS</v>
      </c>
      <c r="AK500" s="69" t="s">
        <v>4</v>
      </c>
    </row>
    <row r="501" spans="1:37" ht="30" customHeight="1" x14ac:dyDescent="0.2">
      <c r="A501" s="82" t="s">
        <v>101</v>
      </c>
      <c r="B501" s="82">
        <v>2617934073</v>
      </c>
      <c r="C501" s="82" t="s">
        <v>41</v>
      </c>
      <c r="D501" s="82" t="s">
        <v>25</v>
      </c>
      <c r="E501" s="82" t="s">
        <v>102</v>
      </c>
      <c r="F501" s="82" t="s">
        <v>1648</v>
      </c>
      <c r="G501" s="82">
        <v>63</v>
      </c>
      <c r="H501" s="82" t="s">
        <v>1146</v>
      </c>
      <c r="I501" s="82" t="s">
        <v>1649</v>
      </c>
      <c r="J501" s="82" t="s">
        <v>41</v>
      </c>
      <c r="K501" s="82"/>
      <c r="L501" s="82" t="s">
        <v>1624</v>
      </c>
      <c r="M501" s="82" t="s">
        <v>1650</v>
      </c>
      <c r="N501" s="82" t="s">
        <v>119</v>
      </c>
      <c r="O501" s="36" t="s">
        <v>108</v>
      </c>
      <c r="P501" s="18"/>
      <c r="Q501" s="28" t="s">
        <v>14</v>
      </c>
      <c r="R501" s="18"/>
      <c r="S501" s="28" t="s">
        <v>14</v>
      </c>
      <c r="T501" s="18"/>
      <c r="U501" s="28" t="s">
        <v>14</v>
      </c>
      <c r="V501" s="18"/>
      <c r="W501" s="28" t="s">
        <v>14</v>
      </c>
      <c r="X501" s="18"/>
      <c r="Y501" s="28" t="s">
        <v>14</v>
      </c>
      <c r="Z501" s="18"/>
      <c r="AA501" s="28" t="s">
        <v>108</v>
      </c>
      <c r="AB501" s="18"/>
      <c r="AC501" s="28" t="s">
        <v>108</v>
      </c>
      <c r="AD501" s="18"/>
      <c r="AE501" s="28" t="s">
        <v>108</v>
      </c>
      <c r="AF501" s="47" t="str">
        <f t="shared" si="64"/>
        <v>C</v>
      </c>
      <c r="AG501" s="8" t="str">
        <f t="shared" si="63"/>
        <v>UTILIZOU O PDA CORRETAMENTE</v>
      </c>
      <c r="AH501" s="28" t="s">
        <v>108</v>
      </c>
      <c r="AI501" s="66" t="s">
        <v>1</v>
      </c>
      <c r="AJ501" s="22" t="str">
        <f t="shared" si="65"/>
        <v>GUARULHOS</v>
      </c>
      <c r="AK501" s="69" t="s">
        <v>4</v>
      </c>
    </row>
    <row r="502" spans="1:37" ht="30" customHeight="1" x14ac:dyDescent="0.2">
      <c r="A502" s="82" t="s">
        <v>101</v>
      </c>
      <c r="B502" s="82">
        <v>2617184401</v>
      </c>
      <c r="C502" s="82" t="s">
        <v>33</v>
      </c>
      <c r="D502" s="82" t="s">
        <v>25</v>
      </c>
      <c r="E502" s="82" t="s">
        <v>102</v>
      </c>
      <c r="F502" s="82" t="s">
        <v>935</v>
      </c>
      <c r="G502" s="82">
        <v>662</v>
      </c>
      <c r="H502" s="82"/>
      <c r="I502" s="82" t="s">
        <v>459</v>
      </c>
      <c r="J502" s="82" t="s">
        <v>33</v>
      </c>
      <c r="K502" s="82"/>
      <c r="L502" s="82" t="s">
        <v>1624</v>
      </c>
      <c r="M502" s="82" t="s">
        <v>1651</v>
      </c>
      <c r="N502" s="82" t="s">
        <v>113</v>
      </c>
      <c r="O502" s="36" t="s">
        <v>108</v>
      </c>
      <c r="P502" s="18"/>
      <c r="Q502" s="28" t="s">
        <v>108</v>
      </c>
      <c r="R502" s="18"/>
      <c r="S502" s="28" t="s">
        <v>108</v>
      </c>
      <c r="T502" s="18"/>
      <c r="U502" s="28" t="s">
        <v>108</v>
      </c>
      <c r="V502" s="18"/>
      <c r="W502" s="28" t="s">
        <v>108</v>
      </c>
      <c r="X502" s="18"/>
      <c r="Y502" s="28" t="s">
        <v>14</v>
      </c>
      <c r="Z502" s="18"/>
      <c r="AA502" s="28" t="s">
        <v>114</v>
      </c>
      <c r="AB502" s="18" t="s">
        <v>455</v>
      </c>
      <c r="AC502" s="28" t="s">
        <v>108</v>
      </c>
      <c r="AD502" s="18"/>
      <c r="AE502" s="28" t="s">
        <v>108</v>
      </c>
      <c r="AF502" s="47" t="str">
        <f t="shared" si="64"/>
        <v>NC</v>
      </c>
      <c r="AG502" s="8" t="str">
        <f t="shared" si="63"/>
        <v>UTILIZOU O PDA CORRETAMENTE. NÃO HÁ FOTOS DE TODAS AS ETAPAS</v>
      </c>
      <c r="AH502" s="28" t="s">
        <v>108</v>
      </c>
      <c r="AI502" s="66" t="s">
        <v>1</v>
      </c>
      <c r="AJ502" s="22" t="str">
        <f t="shared" si="65"/>
        <v>GUARULHOS</v>
      </c>
      <c r="AK502" s="69" t="s">
        <v>4</v>
      </c>
    </row>
    <row r="503" spans="1:37" ht="30" customHeight="1" x14ac:dyDescent="0.2">
      <c r="A503" s="82" t="s">
        <v>101</v>
      </c>
      <c r="B503" s="82">
        <v>2617353966</v>
      </c>
      <c r="C503" s="82" t="s">
        <v>40</v>
      </c>
      <c r="D503" s="82" t="s">
        <v>25</v>
      </c>
      <c r="E503" s="82" t="s">
        <v>102</v>
      </c>
      <c r="F503" s="82" t="s">
        <v>1652</v>
      </c>
      <c r="G503" s="82">
        <v>135</v>
      </c>
      <c r="H503" s="82" t="s">
        <v>110</v>
      </c>
      <c r="I503" s="82" t="s">
        <v>245</v>
      </c>
      <c r="J503" s="82" t="s">
        <v>40</v>
      </c>
      <c r="K503" s="82" t="s">
        <v>117</v>
      </c>
      <c r="L503" s="82" t="s">
        <v>1624</v>
      </c>
      <c r="M503" s="82" t="s">
        <v>1653</v>
      </c>
      <c r="N503" s="82" t="s">
        <v>274</v>
      </c>
      <c r="O503" s="36" t="s">
        <v>108</v>
      </c>
      <c r="P503" s="18"/>
      <c r="Q503" s="28" t="s">
        <v>108</v>
      </c>
      <c r="R503" s="18"/>
      <c r="S503" s="28" t="s">
        <v>108</v>
      </c>
      <c r="T503" s="18"/>
      <c r="U503" s="28" t="s">
        <v>108</v>
      </c>
      <c r="V503" s="18"/>
      <c r="W503" s="28" t="s">
        <v>108</v>
      </c>
      <c r="X503" s="18"/>
      <c r="Y503" s="28" t="s">
        <v>108</v>
      </c>
      <c r="Z503" s="18"/>
      <c r="AA503" s="28" t="s">
        <v>108</v>
      </c>
      <c r="AB503" s="18"/>
      <c r="AC503" s="28" t="s">
        <v>108</v>
      </c>
      <c r="AD503" s="18"/>
      <c r="AE503" s="28" t="s">
        <v>108</v>
      </c>
      <c r="AF503" s="47" t="str">
        <f t="shared" si="64"/>
        <v>C</v>
      </c>
      <c r="AG503" s="8" t="str">
        <f t="shared" si="63"/>
        <v>UTILIZOU O PDA CORRETAMENTE</v>
      </c>
      <c r="AH503" s="28"/>
      <c r="AI503" s="66" t="s">
        <v>1</v>
      </c>
      <c r="AJ503" s="22" t="str">
        <f t="shared" si="65"/>
        <v>GUARULHOS</v>
      </c>
      <c r="AK503" s="69" t="s">
        <v>4</v>
      </c>
    </row>
    <row r="504" spans="1:37" ht="30" customHeight="1" x14ac:dyDescent="0.2">
      <c r="A504" s="82" t="s">
        <v>101</v>
      </c>
      <c r="B504" s="82">
        <v>2617273711</v>
      </c>
      <c r="C504" s="82" t="s">
        <v>132</v>
      </c>
      <c r="D504" s="82" t="s">
        <v>25</v>
      </c>
      <c r="E504" s="82" t="s">
        <v>102</v>
      </c>
      <c r="F504" s="82" t="s">
        <v>547</v>
      </c>
      <c r="G504" s="82">
        <v>53</v>
      </c>
      <c r="H504" s="82" t="s">
        <v>1654</v>
      </c>
      <c r="I504" s="82" t="s">
        <v>1593</v>
      </c>
      <c r="J504" s="82" t="s">
        <v>135</v>
      </c>
      <c r="K504" s="82" t="s">
        <v>1655</v>
      </c>
      <c r="L504" s="82" t="s">
        <v>1624</v>
      </c>
      <c r="M504" s="82" t="s">
        <v>1656</v>
      </c>
      <c r="N504" s="82" t="s">
        <v>107</v>
      </c>
      <c r="O504" s="36" t="s">
        <v>108</v>
      </c>
      <c r="P504" s="18"/>
      <c r="Q504" s="28" t="s">
        <v>108</v>
      </c>
      <c r="R504" s="18"/>
      <c r="S504" s="28" t="s">
        <v>108</v>
      </c>
      <c r="T504" s="18"/>
      <c r="U504" s="28" t="s">
        <v>108</v>
      </c>
      <c r="V504" s="18"/>
      <c r="W504" s="28" t="s">
        <v>108</v>
      </c>
      <c r="X504" s="18"/>
      <c r="Y504" s="28" t="s">
        <v>14</v>
      </c>
      <c r="Z504" s="18"/>
      <c r="AA504" s="28" t="s">
        <v>114</v>
      </c>
      <c r="AB504" s="18" t="s">
        <v>455</v>
      </c>
      <c r="AC504" s="28" t="s">
        <v>108</v>
      </c>
      <c r="AD504" s="18"/>
      <c r="AE504" s="28" t="s">
        <v>108</v>
      </c>
      <c r="AF504" s="47" t="str">
        <f t="shared" si="64"/>
        <v>NC</v>
      </c>
      <c r="AG504" s="8" t="str">
        <f t="shared" si="63"/>
        <v>UTILIZOU O PDA CORRETAMENTE. NÃO HÁ FOTOS DE TODAS AS ETAPAS</v>
      </c>
      <c r="AH504" s="28" t="s">
        <v>108</v>
      </c>
      <c r="AI504" s="66" t="s">
        <v>1</v>
      </c>
      <c r="AJ504" s="22" t="str">
        <f t="shared" si="65"/>
        <v>GUARULHOS</v>
      </c>
      <c r="AK504" s="69" t="s">
        <v>4</v>
      </c>
    </row>
    <row r="505" spans="1:37" ht="30" customHeight="1" x14ac:dyDescent="0.2">
      <c r="A505" s="82" t="s">
        <v>101</v>
      </c>
      <c r="B505" s="82">
        <v>2617306579</v>
      </c>
      <c r="C505" s="82" t="s">
        <v>132</v>
      </c>
      <c r="D505" s="82" t="s">
        <v>25</v>
      </c>
      <c r="E505" s="82" t="s">
        <v>102</v>
      </c>
      <c r="F505" s="82" t="s">
        <v>1231</v>
      </c>
      <c r="G505" s="82">
        <v>456</v>
      </c>
      <c r="H505" s="82" t="s">
        <v>115</v>
      </c>
      <c r="I505" s="82" t="s">
        <v>204</v>
      </c>
      <c r="J505" s="82" t="s">
        <v>135</v>
      </c>
      <c r="K505" s="82" t="s">
        <v>1657</v>
      </c>
      <c r="L505" s="82" t="s">
        <v>1624</v>
      </c>
      <c r="M505" s="82" t="s">
        <v>1658</v>
      </c>
      <c r="N505" s="82" t="s">
        <v>107</v>
      </c>
      <c r="O505" s="36" t="s">
        <v>108</v>
      </c>
      <c r="P505" s="18"/>
      <c r="Q505" s="28" t="s">
        <v>108</v>
      </c>
      <c r="R505" s="18"/>
      <c r="S505" s="28" t="s">
        <v>108</v>
      </c>
      <c r="T505" s="18"/>
      <c r="U505" s="28" t="s">
        <v>108</v>
      </c>
      <c r="V505" s="18"/>
      <c r="W505" s="28" t="s">
        <v>108</v>
      </c>
      <c r="X505" s="18"/>
      <c r="Y505" s="28" t="s">
        <v>14</v>
      </c>
      <c r="Z505" s="18"/>
      <c r="AA505" s="28" t="s">
        <v>114</v>
      </c>
      <c r="AB505" s="18" t="s">
        <v>455</v>
      </c>
      <c r="AC505" s="28" t="s">
        <v>108</v>
      </c>
      <c r="AD505" s="18"/>
      <c r="AE505" s="28" t="s">
        <v>108</v>
      </c>
      <c r="AF505" s="47" t="str">
        <f t="shared" si="64"/>
        <v>NC</v>
      </c>
      <c r="AG505" s="8" t="str">
        <f t="shared" si="63"/>
        <v>UTILIZOU O PDA CORRETAMENTE. NÃO HÁ FOTOS DE TODAS AS ETAPAS</v>
      </c>
      <c r="AH505" s="28" t="s">
        <v>108</v>
      </c>
      <c r="AI505" s="66" t="s">
        <v>1</v>
      </c>
      <c r="AJ505" s="22" t="str">
        <f t="shared" si="65"/>
        <v>GUARULHOS</v>
      </c>
      <c r="AK505" s="69" t="s">
        <v>4</v>
      </c>
    </row>
    <row r="506" spans="1:37" ht="30" customHeight="1" x14ac:dyDescent="0.2">
      <c r="A506" s="82" t="s">
        <v>101</v>
      </c>
      <c r="B506" s="82">
        <v>2617997273</v>
      </c>
      <c r="C506" s="82" t="s">
        <v>37</v>
      </c>
      <c r="D506" s="82" t="s">
        <v>26</v>
      </c>
      <c r="E506" s="82" t="s">
        <v>102</v>
      </c>
      <c r="F506" s="82" t="s">
        <v>1237</v>
      </c>
      <c r="G506" s="82">
        <v>77</v>
      </c>
      <c r="H506" s="82" t="s">
        <v>117</v>
      </c>
      <c r="I506" s="82" t="s">
        <v>282</v>
      </c>
      <c r="J506" s="82" t="s">
        <v>230</v>
      </c>
      <c r="K506" s="82" t="s">
        <v>117</v>
      </c>
      <c r="L506" s="82" t="s">
        <v>1624</v>
      </c>
      <c r="M506" s="82" t="s">
        <v>1659</v>
      </c>
      <c r="N506" s="82" t="s">
        <v>146</v>
      </c>
      <c r="O506" s="36" t="s">
        <v>108</v>
      </c>
      <c r="P506" s="28"/>
      <c r="Q506" s="28" t="s">
        <v>108</v>
      </c>
      <c r="R506" s="65"/>
      <c r="S506" s="28" t="s">
        <v>108</v>
      </c>
      <c r="T506" s="28"/>
      <c r="U506" s="28" t="s">
        <v>108</v>
      </c>
      <c r="V506" s="28"/>
      <c r="W506" s="28" t="s">
        <v>108</v>
      </c>
      <c r="X506" s="28"/>
      <c r="Y506" s="28" t="s">
        <v>14</v>
      </c>
      <c r="Z506" s="28"/>
      <c r="AA506" s="28" t="s">
        <v>108</v>
      </c>
      <c r="AB506" s="28"/>
      <c r="AC506" s="28" t="s">
        <v>108</v>
      </c>
      <c r="AD506" s="28"/>
      <c r="AE506" s="28" t="s">
        <v>108</v>
      </c>
      <c r="AF506" s="47" t="str">
        <f t="shared" si="64"/>
        <v>C</v>
      </c>
      <c r="AG506" s="8" t="str">
        <f t="shared" si="63"/>
        <v>UTILIZOU O PDA CORRETAMENTE</v>
      </c>
      <c r="AH506" s="28"/>
      <c r="AI506" s="66" t="s">
        <v>1</v>
      </c>
      <c r="AJ506" s="22" t="str">
        <f t="shared" si="65"/>
        <v>GUARULHOS</v>
      </c>
      <c r="AK506" s="69" t="s">
        <v>4</v>
      </c>
    </row>
    <row r="507" spans="1:37" ht="30" customHeight="1" x14ac:dyDescent="0.2">
      <c r="A507" s="82" t="s">
        <v>101</v>
      </c>
      <c r="B507" s="82">
        <v>2618067168</v>
      </c>
      <c r="C507" s="82" t="s">
        <v>47</v>
      </c>
      <c r="D507" s="82" t="s">
        <v>29</v>
      </c>
      <c r="E507" s="82" t="s">
        <v>102</v>
      </c>
      <c r="F507" s="82" t="s">
        <v>1660</v>
      </c>
      <c r="G507" s="82">
        <v>102</v>
      </c>
      <c r="H507" s="82"/>
      <c r="I507" s="82" t="s">
        <v>1661</v>
      </c>
      <c r="J507" s="82" t="s">
        <v>170</v>
      </c>
      <c r="K507" s="82"/>
      <c r="L507" s="82" t="s">
        <v>1624</v>
      </c>
      <c r="M507" s="82" t="s">
        <v>1640</v>
      </c>
      <c r="N507" s="82" t="s">
        <v>192</v>
      </c>
      <c r="O507" s="36" t="s">
        <v>108</v>
      </c>
      <c r="P507" s="18"/>
      <c r="Q507" s="28" t="s">
        <v>108</v>
      </c>
      <c r="R507" s="18"/>
      <c r="S507" s="28" t="s">
        <v>108</v>
      </c>
      <c r="T507" s="18"/>
      <c r="U507" s="28" t="s">
        <v>108</v>
      </c>
      <c r="V507" s="18"/>
      <c r="W507" s="28" t="s">
        <v>108</v>
      </c>
      <c r="X507" s="18"/>
      <c r="Y507" s="28" t="s">
        <v>14</v>
      </c>
      <c r="Z507" s="18"/>
      <c r="AA507" s="28" t="s">
        <v>108</v>
      </c>
      <c r="AB507" s="18"/>
      <c r="AC507" s="28" t="s">
        <v>108</v>
      </c>
      <c r="AD507" s="18"/>
      <c r="AE507" s="28" t="s">
        <v>108</v>
      </c>
      <c r="AF507" s="47" t="str">
        <f t="shared" si="64"/>
        <v>C</v>
      </c>
      <c r="AG507" s="8" t="str">
        <f t="shared" si="63"/>
        <v>UTILIZOU O PDA CORRETAMENTE</v>
      </c>
      <c r="AH507" s="26" t="s">
        <v>108</v>
      </c>
      <c r="AI507" s="66" t="s">
        <v>1</v>
      </c>
      <c r="AJ507" s="22" t="str">
        <f t="shared" si="65"/>
        <v>GUARULHOS</v>
      </c>
      <c r="AK507" s="69" t="s">
        <v>4</v>
      </c>
    </row>
    <row r="508" spans="1:37" ht="30" customHeight="1" x14ac:dyDescent="0.2">
      <c r="A508" s="82" t="s">
        <v>101</v>
      </c>
      <c r="B508" s="82">
        <v>2691999302</v>
      </c>
      <c r="C508" s="82" t="s">
        <v>47</v>
      </c>
      <c r="D508" s="82" t="s">
        <v>29</v>
      </c>
      <c r="E508" s="82" t="s">
        <v>102</v>
      </c>
      <c r="F508" s="82" t="s">
        <v>534</v>
      </c>
      <c r="G508" s="82">
        <v>725</v>
      </c>
      <c r="H508" s="82" t="s">
        <v>1663</v>
      </c>
      <c r="I508" s="82" t="s">
        <v>154</v>
      </c>
      <c r="J508" s="82" t="s">
        <v>170</v>
      </c>
      <c r="K508" s="82"/>
      <c r="L508" s="82" t="s">
        <v>1624</v>
      </c>
      <c r="M508" s="82" t="s">
        <v>1664</v>
      </c>
      <c r="N508" s="82" t="s">
        <v>160</v>
      </c>
      <c r="O508" s="36" t="s">
        <v>108</v>
      </c>
      <c r="P508" s="18"/>
      <c r="Q508" s="28" t="s">
        <v>108</v>
      </c>
      <c r="R508" s="18"/>
      <c r="S508" s="28" t="s">
        <v>108</v>
      </c>
      <c r="T508" s="18"/>
      <c r="U508" s="28" t="s">
        <v>108</v>
      </c>
      <c r="V508" s="18"/>
      <c r="W508" s="28" t="s">
        <v>108</v>
      </c>
      <c r="X508" s="18"/>
      <c r="Y508" s="28" t="s">
        <v>14</v>
      </c>
      <c r="Z508" s="18"/>
      <c r="AA508" s="28" t="s">
        <v>108</v>
      </c>
      <c r="AB508" s="18"/>
      <c r="AC508" s="28" t="s">
        <v>108</v>
      </c>
      <c r="AD508" s="18"/>
      <c r="AE508" s="28" t="s">
        <v>108</v>
      </c>
      <c r="AF508" s="47" t="str">
        <f t="shared" si="64"/>
        <v>C</v>
      </c>
      <c r="AG508" s="8" t="str">
        <f t="shared" si="63"/>
        <v>UTILIZOU O PDA CORRETAMENTE</v>
      </c>
      <c r="AH508" s="26" t="s">
        <v>108</v>
      </c>
      <c r="AI508" s="66" t="s">
        <v>1</v>
      </c>
      <c r="AJ508" s="22" t="str">
        <f t="shared" si="65"/>
        <v>GUARULHOS</v>
      </c>
      <c r="AK508" s="69" t="s">
        <v>4</v>
      </c>
    </row>
    <row r="509" spans="1:37" ht="30" customHeight="1" x14ac:dyDescent="0.2">
      <c r="A509" s="82" t="s">
        <v>101</v>
      </c>
      <c r="B509" s="82">
        <v>2618074341</v>
      </c>
      <c r="C509" s="82" t="s">
        <v>51</v>
      </c>
      <c r="D509" s="82" t="s">
        <v>29</v>
      </c>
      <c r="E509" s="82" t="s">
        <v>102</v>
      </c>
      <c r="F509" s="82" t="s">
        <v>932</v>
      </c>
      <c r="G509" s="82">
        <v>2378</v>
      </c>
      <c r="H509" s="82" t="s">
        <v>117</v>
      </c>
      <c r="I509" s="82" t="s">
        <v>264</v>
      </c>
      <c r="J509" s="82" t="s">
        <v>170</v>
      </c>
      <c r="K509" s="82" t="s">
        <v>117</v>
      </c>
      <c r="L509" s="82" t="s">
        <v>1624</v>
      </c>
      <c r="M509" s="82" t="s">
        <v>1665</v>
      </c>
      <c r="N509" s="101" t="s">
        <v>205</v>
      </c>
      <c r="O509" s="36" t="s">
        <v>108</v>
      </c>
      <c r="P509" s="18"/>
      <c r="Q509" s="28" t="s">
        <v>108</v>
      </c>
      <c r="R509" s="18"/>
      <c r="S509" s="28" t="s">
        <v>108</v>
      </c>
      <c r="T509" s="18"/>
      <c r="U509" s="28" t="s">
        <v>108</v>
      </c>
      <c r="V509" s="18"/>
      <c r="W509" s="28" t="s">
        <v>108</v>
      </c>
      <c r="X509" s="18"/>
      <c r="Y509" s="28" t="s">
        <v>14</v>
      </c>
      <c r="Z509" s="18"/>
      <c r="AA509" s="28" t="s">
        <v>108</v>
      </c>
      <c r="AB509" s="18"/>
      <c r="AC509" s="28" t="s">
        <v>108</v>
      </c>
      <c r="AD509" s="18"/>
      <c r="AE509" s="28" t="s">
        <v>108</v>
      </c>
      <c r="AF509" s="47" t="str">
        <f>IF(AND(O509="",Q509="",S509="",U509="",W509="",Y509="",AA509="",AC509=""),"",IF(OR(AND(O509&lt;&gt;"NA",O509&lt;&gt;"C",O509&lt;&gt;"NC",O509&lt;&gt;"SF",O509&lt;&gt;""),AND(Q509&lt;&gt;"NA",Q509&lt;&gt;"C",Q509&lt;&gt;"NC",Q509&lt;&gt;"SF",Q509&lt;&gt;""),AND(S509&lt;&gt;"NA",S509&lt;&gt;"C",S509&lt;&gt;"NC",S509&lt;&gt;"SF",S509&lt;&gt;""),AND(U509&lt;&gt;"NA",U509&lt;&gt;"C",U509&lt;&gt;"NC",U509&lt;&gt;"SF",U509&lt;&gt;""),AND(W509&lt;&gt;"NA",W509&lt;&gt;"C",W509&lt;&gt;"NC",W509&lt;&gt;"SF",W509&lt;&gt;""),AND(Y509&lt;&gt;"NA",Y509&lt;&gt;"C",Y509&lt;&gt;"NC",Y509&lt;&gt;"SF",Y509&lt;&gt;""),AND(AA509&lt;&gt;"NA",AA509&lt;&gt;"C",AA509&lt;&gt;"NC",AA509&lt;&gt;"SF",AA509&lt;&gt;""),AND(AC509&lt;&gt;"NA",AC509&lt;&gt;"C",AC509&lt;&gt;"NC",AC509&lt;&gt;"SF",AC509&lt;&gt;"")),"FALSO",IF(AND(O509="NA",Q509="NA",S509="NA",U509="NA",W509="NA",Y509="NA",AA509="NA",AC509="NA"),"NA",IF(OR(O509="NC",Q509="NC",S509="NC",U509="NC",W509="NC",Y509="NC",AA509="NC",AC509="NC",O509="SF",Q509="SF",S509="SF",U509="SF",W509="SF",Y509="SF",AA509="SF",AC509="SF"),"NC",IF(OR(O509="C",Q509="C",S509="C",U509="C",W509="C",Y509="C",AA509="C",AC509="C"),"C","")))))</f>
        <v>C</v>
      </c>
      <c r="AG509" s="97" t="str">
        <f t="shared" si="63"/>
        <v>UTILIZOU O PDA CORRETAMENTE</v>
      </c>
      <c r="AH509" s="26" t="s">
        <v>108</v>
      </c>
      <c r="AI509" s="98" t="s">
        <v>1</v>
      </c>
      <c r="AJ509" s="99" t="str">
        <f t="shared" si="65"/>
        <v>GUARULHOS</v>
      </c>
      <c r="AK509" s="100" t="s">
        <v>4</v>
      </c>
    </row>
    <row r="510" spans="1:37" ht="30" customHeight="1" x14ac:dyDescent="0.2">
      <c r="A510" s="82" t="s">
        <v>101</v>
      </c>
      <c r="B510" s="82">
        <v>2618089786</v>
      </c>
      <c r="C510" s="82" t="s">
        <v>50</v>
      </c>
      <c r="D510" s="82" t="s">
        <v>29</v>
      </c>
      <c r="E510" s="82" t="s">
        <v>102</v>
      </c>
      <c r="F510" s="82" t="s">
        <v>1666</v>
      </c>
      <c r="G510" s="82">
        <v>408</v>
      </c>
      <c r="H510" s="82" t="s">
        <v>174</v>
      </c>
      <c r="I510" s="82" t="s">
        <v>1073</v>
      </c>
      <c r="J510" s="82" t="s">
        <v>176</v>
      </c>
      <c r="K510" s="82" t="s">
        <v>117</v>
      </c>
      <c r="L510" s="82" t="s">
        <v>1624</v>
      </c>
      <c r="M510" s="82" t="s">
        <v>1667</v>
      </c>
      <c r="N510" s="101" t="s">
        <v>131</v>
      </c>
      <c r="O510" s="36" t="s">
        <v>108</v>
      </c>
      <c r="P510" s="18"/>
      <c r="Q510" s="28" t="s">
        <v>108</v>
      </c>
      <c r="R510" s="18"/>
      <c r="S510" s="28" t="s">
        <v>108</v>
      </c>
      <c r="T510" s="18"/>
      <c r="U510" s="28" t="s">
        <v>108</v>
      </c>
      <c r="V510" s="18"/>
      <c r="W510" s="28" t="s">
        <v>108</v>
      </c>
      <c r="X510" s="18"/>
      <c r="Y510" s="28" t="s">
        <v>14</v>
      </c>
      <c r="Z510" s="18"/>
      <c r="AA510" s="28" t="s">
        <v>108</v>
      </c>
      <c r="AB510" s="18"/>
      <c r="AC510" s="28" t="s">
        <v>108</v>
      </c>
      <c r="AD510" s="18"/>
      <c r="AE510" s="28" t="s">
        <v>108</v>
      </c>
      <c r="AF510" s="47" t="str">
        <f>IF(AND(O510="",Q510="",S510="",U510="",W510="",Y510="",AA510="",AC510=""),"",IF(OR(AND(O510&lt;&gt;"NA",O510&lt;&gt;"C",O510&lt;&gt;"NC",O510&lt;&gt;"SF",O510&lt;&gt;""),AND(Q510&lt;&gt;"NA",Q510&lt;&gt;"C",Q510&lt;&gt;"NC",Q510&lt;&gt;"SF",Q510&lt;&gt;""),AND(S510&lt;&gt;"NA",S510&lt;&gt;"C",S510&lt;&gt;"NC",S510&lt;&gt;"SF",S510&lt;&gt;""),AND(U510&lt;&gt;"NA",U510&lt;&gt;"C",U510&lt;&gt;"NC",U510&lt;&gt;"SF",U510&lt;&gt;""),AND(W510&lt;&gt;"NA",W510&lt;&gt;"C",W510&lt;&gt;"NC",W510&lt;&gt;"SF",W510&lt;&gt;""),AND(Y510&lt;&gt;"NA",Y510&lt;&gt;"C",Y510&lt;&gt;"NC",Y510&lt;&gt;"SF",Y510&lt;&gt;""),AND(AA510&lt;&gt;"NA",AA510&lt;&gt;"C",AA510&lt;&gt;"NC",AA510&lt;&gt;"SF",AA510&lt;&gt;""),AND(AC510&lt;&gt;"NA",AC510&lt;&gt;"C",AC510&lt;&gt;"NC",AC510&lt;&gt;"SF",AC510&lt;&gt;"")),"FALSO",IF(AND(O510="NA",Q510="NA",S510="NA",U510="NA",W510="NA",Y510="NA",AA510="NA",AC510="NA"),"NA",IF(OR(O510="NC",Q510="NC",S510="NC",U510="NC",W510="NC",Y510="NC",AA510="NC",AC510="NC",O510="SF",Q510="SF",S510="SF",U510="SF",W510="SF",Y510="SF",AA510="SF",AC510="SF"),"NC",IF(OR(O510="C",Q510="C",S510="C",U510="C",W510="C",Y510="C",AA510="C",AC510="C"),"C","")))))</f>
        <v>C</v>
      </c>
      <c r="AG510" s="97" t="str">
        <f t="shared" si="63"/>
        <v>UTILIZOU O PDA CORRETAMENTE</v>
      </c>
      <c r="AH510" s="26" t="s">
        <v>108</v>
      </c>
      <c r="AI510" s="98" t="s">
        <v>1</v>
      </c>
      <c r="AJ510" s="99" t="str">
        <f t="shared" si="65"/>
        <v>GUARULHOS</v>
      </c>
      <c r="AK510" s="100" t="s">
        <v>4</v>
      </c>
    </row>
    <row r="511" spans="1:37" ht="30" customHeight="1" x14ac:dyDescent="0.2">
      <c r="A511" s="82" t="s">
        <v>101</v>
      </c>
      <c r="B511" s="82">
        <v>2617773224</v>
      </c>
      <c r="C511" s="82" t="s">
        <v>41</v>
      </c>
      <c r="D511" s="82" t="s">
        <v>25</v>
      </c>
      <c r="E511" s="82" t="s">
        <v>102</v>
      </c>
      <c r="F511" s="82" t="s">
        <v>1668</v>
      </c>
      <c r="G511" s="82">
        <v>70</v>
      </c>
      <c r="H511" s="82" t="s">
        <v>1377</v>
      </c>
      <c r="I511" s="82" t="s">
        <v>832</v>
      </c>
      <c r="J511" s="82" t="s">
        <v>41</v>
      </c>
      <c r="K511" s="82" t="s">
        <v>117</v>
      </c>
      <c r="L511" s="82" t="s">
        <v>1624</v>
      </c>
      <c r="M511" s="82" t="s">
        <v>1669</v>
      </c>
      <c r="N511" s="101" t="s">
        <v>119</v>
      </c>
      <c r="O511" s="36" t="s">
        <v>108</v>
      </c>
      <c r="P511" s="18"/>
      <c r="Q511" s="28" t="s">
        <v>14</v>
      </c>
      <c r="R511" s="18"/>
      <c r="S511" s="28" t="s">
        <v>14</v>
      </c>
      <c r="T511" s="18"/>
      <c r="U511" s="28" t="s">
        <v>14</v>
      </c>
      <c r="V511" s="18"/>
      <c r="W511" s="28" t="s">
        <v>14</v>
      </c>
      <c r="X511" s="18"/>
      <c r="Y511" s="28" t="s">
        <v>14</v>
      </c>
      <c r="Z511" s="18"/>
      <c r="AA511" s="28" t="s">
        <v>108</v>
      </c>
      <c r="AB511" s="18"/>
      <c r="AC511" s="28" t="s">
        <v>108</v>
      </c>
      <c r="AD511" s="18"/>
      <c r="AE511" s="28" t="s">
        <v>108</v>
      </c>
      <c r="AF511" s="47" t="str">
        <f t="shared" ref="AF511" si="66">IF(AND(O511="",Q511="",S511="",U511="",W511="",Y511="",AA511="",AC511=""),"",IF(OR(AND(O511&lt;&gt;"NA",O511&lt;&gt;"C",O511&lt;&gt;"NC",O511&lt;&gt;"SF",O511&lt;&gt;""),AND(Q511&lt;&gt;"NA",Q511&lt;&gt;"C",Q511&lt;&gt;"NC",Q511&lt;&gt;"SF",Q511&lt;&gt;""),AND(S511&lt;&gt;"NA",S511&lt;&gt;"C",S511&lt;&gt;"NC",S511&lt;&gt;"SF",S511&lt;&gt;""),AND(U511&lt;&gt;"NA",U511&lt;&gt;"C",U511&lt;&gt;"NC",U511&lt;&gt;"SF",U511&lt;&gt;""),AND(W511&lt;&gt;"NA",W511&lt;&gt;"C",W511&lt;&gt;"NC",W511&lt;&gt;"SF",W511&lt;&gt;""),AND(Y511&lt;&gt;"NA",Y511&lt;&gt;"C",Y511&lt;&gt;"NC",Y511&lt;&gt;"SF",Y511&lt;&gt;""),AND(AA511&lt;&gt;"NA",AA511&lt;&gt;"C",AA511&lt;&gt;"NC",AA511&lt;&gt;"SF",AA511&lt;&gt;""),AND(AC511&lt;&gt;"NA",AC511&lt;&gt;"C",AC511&lt;&gt;"NC",AC511&lt;&gt;"SF",AC511&lt;&gt;"")),"FALSO",IF(AND(O511="NA",Q511="NA",S511="NA",U511="NA",W511="NA",Y511="NA",AA511="NA",AC511="NA"),"NA",IF(OR(O511="NC",Q511="NC",S511="NC",U511="NC",W511="NC",Y511="NC",AA511="NC",AC511="NC",O511="SF",Q511="SF",S511="SF",U511="SF",W511="SF",Y511="SF",AA511="SF",AC511="SF"),"NC",IF(OR(O511="C",Q511="C",S511="C",U511="C",W511="C",Y511="C",AA511="C",AC511="C"),"C","")))))</f>
        <v>C</v>
      </c>
      <c r="AG511" s="97" t="str">
        <f t="shared" ref="AG511:AG516" si="67">IF(AND(AE511="C",AF511="C"),"UTILIZOU O PDA CORRETAMENTE",IF(AND(AE511="C",AF511="NC"),"UTILIZOU O PDA CORRETAMENTE. NÃO HÁ FOTOS DE TODAS AS ETAPAS",IF(AND(AE511="NC",AF511="NC"),"NÃO UTILIZOU O PDA",IF(AND(AE511="NA",AF511="NA"),"NÃO AVALIADO POR FALHA DE SINCRONISMO"))))</f>
        <v>UTILIZOU O PDA CORRETAMENTE</v>
      </c>
      <c r="AH511" s="28" t="s">
        <v>108</v>
      </c>
      <c r="AI511" s="98" t="s">
        <v>1</v>
      </c>
      <c r="AJ511" s="99" t="str">
        <f t="shared" ref="AJ511:AJ516" si="68">E511</f>
        <v>GUARULHOS</v>
      </c>
      <c r="AK511" s="100" t="s">
        <v>4</v>
      </c>
    </row>
    <row r="512" spans="1:37" ht="30" customHeight="1" x14ac:dyDescent="0.2">
      <c r="A512" s="82" t="s">
        <v>101</v>
      </c>
      <c r="B512" s="82">
        <v>2618096348</v>
      </c>
      <c r="C512" s="82" t="s">
        <v>50</v>
      </c>
      <c r="D512" s="82" t="s">
        <v>29</v>
      </c>
      <c r="E512" s="82" t="s">
        <v>102</v>
      </c>
      <c r="F512" s="82" t="s">
        <v>706</v>
      </c>
      <c r="G512" s="82">
        <v>393</v>
      </c>
      <c r="H512" s="82" t="s">
        <v>1670</v>
      </c>
      <c r="I512" s="82" t="s">
        <v>707</v>
      </c>
      <c r="J512" s="82" t="s">
        <v>130</v>
      </c>
      <c r="K512" s="82" t="s">
        <v>172</v>
      </c>
      <c r="L512" s="82" t="s">
        <v>1624</v>
      </c>
      <c r="M512" s="82" t="s">
        <v>1671</v>
      </c>
      <c r="N512" s="101" t="s">
        <v>140</v>
      </c>
      <c r="O512" s="36" t="s">
        <v>108</v>
      </c>
      <c r="P512" s="18"/>
      <c r="Q512" s="28" t="s">
        <v>108</v>
      </c>
      <c r="R512" s="18"/>
      <c r="S512" s="28" t="s">
        <v>108</v>
      </c>
      <c r="T512" s="18"/>
      <c r="U512" s="28" t="s">
        <v>108</v>
      </c>
      <c r="V512" s="18"/>
      <c r="W512" s="28" t="s">
        <v>108</v>
      </c>
      <c r="X512" s="18"/>
      <c r="Y512" s="28" t="s">
        <v>14</v>
      </c>
      <c r="Z512" s="18"/>
      <c r="AA512" s="28" t="s">
        <v>108</v>
      </c>
      <c r="AB512" s="18"/>
      <c r="AC512" s="28" t="s">
        <v>108</v>
      </c>
      <c r="AD512" s="18"/>
      <c r="AE512" s="28" t="s">
        <v>108</v>
      </c>
      <c r="AF512" s="47" t="str">
        <f t="shared" ref="AF512" si="69">IF(AND(O512="",Q512="",S512="",U512="",W512="",Y512="",AA512="",AC512=""),"",IF(OR(AND(O512&lt;&gt;"NA",O512&lt;&gt;"C",O512&lt;&gt;"NC",O512&lt;&gt;"SF",O512&lt;&gt;""),AND(Q512&lt;&gt;"NA",Q512&lt;&gt;"C",Q512&lt;&gt;"NC",Q512&lt;&gt;"SF",Q512&lt;&gt;""),AND(S512&lt;&gt;"NA",S512&lt;&gt;"C",S512&lt;&gt;"NC",S512&lt;&gt;"SF",S512&lt;&gt;""),AND(U512&lt;&gt;"NA",U512&lt;&gt;"C",U512&lt;&gt;"NC",U512&lt;&gt;"SF",U512&lt;&gt;""),AND(W512&lt;&gt;"NA",W512&lt;&gt;"C",W512&lt;&gt;"NC",W512&lt;&gt;"SF",W512&lt;&gt;""),AND(Y512&lt;&gt;"NA",Y512&lt;&gt;"C",Y512&lt;&gt;"NC",Y512&lt;&gt;"SF",Y512&lt;&gt;""),AND(AA512&lt;&gt;"NA",AA512&lt;&gt;"C",AA512&lt;&gt;"NC",AA512&lt;&gt;"SF",AA512&lt;&gt;""),AND(AC512&lt;&gt;"NA",AC512&lt;&gt;"C",AC512&lt;&gt;"NC",AC512&lt;&gt;"SF",AC512&lt;&gt;"")),"FALSO",IF(AND(O512="NA",Q512="NA",S512="NA",U512="NA",W512="NA",Y512="NA",AA512="NA",AC512="NA"),"NA",IF(OR(O512="NC",Q512="NC",S512="NC",U512="NC",W512="NC",Y512="NC",AA512="NC",AC512="NC",O512="SF",Q512="SF",S512="SF",U512="SF",W512="SF",Y512="SF",AA512="SF",AC512="SF"),"NC",IF(OR(O512="C",Q512="C",S512="C",U512="C",W512="C",Y512="C",AA512="C",AC512="C"),"C","")))))</f>
        <v>C</v>
      </c>
      <c r="AG512" s="97" t="str">
        <f t="shared" si="67"/>
        <v>UTILIZOU O PDA CORRETAMENTE</v>
      </c>
      <c r="AH512" s="26" t="s">
        <v>108</v>
      </c>
      <c r="AI512" s="98" t="s">
        <v>1</v>
      </c>
      <c r="AJ512" s="99" t="str">
        <f t="shared" si="68"/>
        <v>GUARULHOS</v>
      </c>
      <c r="AK512" s="100" t="s">
        <v>4</v>
      </c>
    </row>
    <row r="513" spans="1:37" ht="30" customHeight="1" x14ac:dyDescent="0.2">
      <c r="A513" s="82" t="s">
        <v>101</v>
      </c>
      <c r="B513" s="82">
        <v>2617944852</v>
      </c>
      <c r="C513" s="82" t="s">
        <v>44</v>
      </c>
      <c r="D513" s="82" t="s">
        <v>29</v>
      </c>
      <c r="E513" s="82" t="s">
        <v>102</v>
      </c>
      <c r="F513" s="82" t="s">
        <v>1672</v>
      </c>
      <c r="G513" s="82">
        <v>6</v>
      </c>
      <c r="H513" s="82"/>
      <c r="I513" s="82" t="s">
        <v>177</v>
      </c>
      <c r="J513" s="82" t="s">
        <v>194</v>
      </c>
      <c r="K513" s="82" t="s">
        <v>1673</v>
      </c>
      <c r="L513" s="82" t="s">
        <v>1624</v>
      </c>
      <c r="M513" s="82" t="s">
        <v>1674</v>
      </c>
      <c r="N513" s="101" t="s">
        <v>151</v>
      </c>
      <c r="O513" s="35" t="s">
        <v>108</v>
      </c>
      <c r="P513" s="25"/>
      <c r="Q513" s="26" t="s">
        <v>108</v>
      </c>
      <c r="R513" s="25"/>
      <c r="S513" s="26" t="s">
        <v>108</v>
      </c>
      <c r="T513" s="25"/>
      <c r="U513" s="26" t="s">
        <v>108</v>
      </c>
      <c r="V513" s="25"/>
      <c r="W513" s="26" t="s">
        <v>108</v>
      </c>
      <c r="X513" s="25"/>
      <c r="Y513" s="26" t="s">
        <v>108</v>
      </c>
      <c r="Z513" s="25"/>
      <c r="AA513" s="26" t="s">
        <v>108</v>
      </c>
      <c r="AB513" s="25"/>
      <c r="AC513" s="26" t="s">
        <v>108</v>
      </c>
      <c r="AD513" s="10"/>
      <c r="AE513" s="26" t="s">
        <v>108</v>
      </c>
      <c r="AF513" s="47" t="str">
        <f t="shared" ref="AF513:AF514" si="70">IF(AND(O513="",Q513="",S513="",U513="",W513="",Y513="",AA513="",AC513=""),"",IF(OR(AND(O513&lt;&gt;"NA",O513&lt;&gt;"C",O513&lt;&gt;"NC",O513&lt;&gt;"SF",O513&lt;&gt;""),AND(Q513&lt;&gt;"NA",Q513&lt;&gt;"C",Q513&lt;&gt;"NC",Q513&lt;&gt;"SF",Q513&lt;&gt;""),AND(S513&lt;&gt;"NA",S513&lt;&gt;"C",S513&lt;&gt;"NC",S513&lt;&gt;"SF",S513&lt;&gt;""),AND(U513&lt;&gt;"NA",U513&lt;&gt;"C",U513&lt;&gt;"NC",U513&lt;&gt;"SF",U513&lt;&gt;""),AND(W513&lt;&gt;"NA",W513&lt;&gt;"C",W513&lt;&gt;"NC",W513&lt;&gt;"SF",W513&lt;&gt;""),AND(Y513&lt;&gt;"NA",Y513&lt;&gt;"C",Y513&lt;&gt;"NC",Y513&lt;&gt;"SF",Y513&lt;&gt;""),AND(AA513&lt;&gt;"NA",AA513&lt;&gt;"C",AA513&lt;&gt;"NC",AA513&lt;&gt;"SF",AA513&lt;&gt;""),AND(AC513&lt;&gt;"NA",AC513&lt;&gt;"C",AC513&lt;&gt;"NC",AC513&lt;&gt;"SF",AC513&lt;&gt;"")),"FALSO",IF(AND(O513="NA",Q513="NA",S513="NA",U513="NA",W513="NA",Y513="NA",AA513="NA",AC513="NA"),"NA",IF(OR(O513="NC",Q513="NC",S513="NC",U513="NC",W513="NC",Y513="NC",AA513="NC",AC513="NC",O513="SF",Q513="SF",S513="SF",U513="SF",W513="SF",Y513="SF",AA513="SF",AC513="SF"),"NC",IF(OR(O513="C",Q513="C",S513="C",U513="C",W513="C",Y513="C",AA513="C",AC513="C"),"C","")))))</f>
        <v>C</v>
      </c>
      <c r="AG513" s="97" t="str">
        <f t="shared" si="67"/>
        <v>UTILIZOU O PDA CORRETAMENTE</v>
      </c>
      <c r="AH513" s="26" t="s">
        <v>108</v>
      </c>
      <c r="AI513" s="98" t="s">
        <v>1</v>
      </c>
      <c r="AJ513" s="99" t="str">
        <f t="shared" si="68"/>
        <v>GUARULHOS</v>
      </c>
      <c r="AK513" s="100" t="s">
        <v>4</v>
      </c>
    </row>
    <row r="514" spans="1:37" ht="30" customHeight="1" x14ac:dyDescent="0.2">
      <c r="A514" s="82" t="s">
        <v>101</v>
      </c>
      <c r="B514" s="82">
        <v>2691999302</v>
      </c>
      <c r="C514" s="82" t="s">
        <v>37</v>
      </c>
      <c r="D514" s="82" t="s">
        <v>26</v>
      </c>
      <c r="E514" s="82" t="s">
        <v>102</v>
      </c>
      <c r="F514" s="82" t="s">
        <v>534</v>
      </c>
      <c r="G514" s="82">
        <v>725</v>
      </c>
      <c r="H514" s="82" t="s">
        <v>1663</v>
      </c>
      <c r="I514" s="82" t="s">
        <v>154</v>
      </c>
      <c r="J514" s="82" t="s">
        <v>230</v>
      </c>
      <c r="K514" s="82" t="s">
        <v>1675</v>
      </c>
      <c r="L514" s="82" t="s">
        <v>1624</v>
      </c>
      <c r="M514" s="82" t="s">
        <v>1676</v>
      </c>
      <c r="N514" s="101" t="s">
        <v>160</v>
      </c>
      <c r="O514" s="36" t="s">
        <v>108</v>
      </c>
      <c r="P514" s="28"/>
      <c r="Q514" s="28" t="s">
        <v>108</v>
      </c>
      <c r="R514" s="65"/>
      <c r="S514" s="28" t="s">
        <v>108</v>
      </c>
      <c r="T514" s="28"/>
      <c r="U514" s="28" t="s">
        <v>108</v>
      </c>
      <c r="V514" s="28"/>
      <c r="W514" s="28" t="s">
        <v>108</v>
      </c>
      <c r="X514" s="28"/>
      <c r="Y514" s="28" t="s">
        <v>14</v>
      </c>
      <c r="Z514" s="28"/>
      <c r="AA514" s="28" t="s">
        <v>108</v>
      </c>
      <c r="AB514" s="28"/>
      <c r="AC514" s="28" t="s">
        <v>108</v>
      </c>
      <c r="AD514" s="28"/>
      <c r="AE514" s="28" t="s">
        <v>108</v>
      </c>
      <c r="AF514" s="47" t="str">
        <f t="shared" si="70"/>
        <v>C</v>
      </c>
      <c r="AG514" s="97" t="str">
        <f t="shared" si="67"/>
        <v>UTILIZOU O PDA CORRETAMENTE</v>
      </c>
      <c r="AH514" s="10"/>
      <c r="AI514" s="98" t="s">
        <v>1</v>
      </c>
      <c r="AJ514" s="99" t="str">
        <f t="shared" si="68"/>
        <v>GUARULHOS</v>
      </c>
      <c r="AK514" s="100" t="s">
        <v>4</v>
      </c>
    </row>
    <row r="515" spans="1:37" ht="30" customHeight="1" x14ac:dyDescent="0.2">
      <c r="A515" s="82" t="s">
        <v>101</v>
      </c>
      <c r="B515" s="82">
        <v>2692002023</v>
      </c>
      <c r="C515" s="82" t="s">
        <v>518</v>
      </c>
      <c r="D515" s="82" t="s">
        <v>29</v>
      </c>
      <c r="E515" s="82" t="s">
        <v>102</v>
      </c>
      <c r="F515" s="82" t="s">
        <v>1662</v>
      </c>
      <c r="G515" s="82">
        <v>264</v>
      </c>
      <c r="H515" s="82" t="s">
        <v>774</v>
      </c>
      <c r="I515" s="82" t="s">
        <v>370</v>
      </c>
      <c r="J515" s="82" t="s">
        <v>159</v>
      </c>
      <c r="K515" s="82" t="s">
        <v>117</v>
      </c>
      <c r="L515" s="82" t="s">
        <v>1624</v>
      </c>
      <c r="M515" s="82" t="s">
        <v>1677</v>
      </c>
      <c r="N515" s="101" t="s">
        <v>192</v>
      </c>
      <c r="O515" s="36" t="s">
        <v>108</v>
      </c>
      <c r="P515" s="18"/>
      <c r="Q515" s="28" t="s">
        <v>108</v>
      </c>
      <c r="R515" s="18"/>
      <c r="S515" s="28" t="s">
        <v>108</v>
      </c>
      <c r="T515" s="18"/>
      <c r="U515" s="28" t="s">
        <v>108</v>
      </c>
      <c r="V515" s="18"/>
      <c r="W515" s="28" t="s">
        <v>108</v>
      </c>
      <c r="X515" s="18"/>
      <c r="Y515" s="28" t="s">
        <v>14</v>
      </c>
      <c r="Z515" s="18"/>
      <c r="AA515" s="28" t="s">
        <v>108</v>
      </c>
      <c r="AB515" s="18"/>
      <c r="AC515" s="28" t="s">
        <v>108</v>
      </c>
      <c r="AD515" s="18"/>
      <c r="AE515" s="28" t="s">
        <v>108</v>
      </c>
      <c r="AF515" s="47" t="str">
        <f t="shared" ref="AF515" si="71">IF(AND(O515="",Q515="",S515="",U515="",W515="",Y515="",AA515="",AC515=""),"",IF(OR(AND(O515&lt;&gt;"NA",O515&lt;&gt;"C",O515&lt;&gt;"NC",O515&lt;&gt;"SF",O515&lt;&gt;""),AND(Q515&lt;&gt;"NA",Q515&lt;&gt;"C",Q515&lt;&gt;"NC",Q515&lt;&gt;"SF",Q515&lt;&gt;""),AND(S515&lt;&gt;"NA",S515&lt;&gt;"C",S515&lt;&gt;"NC",S515&lt;&gt;"SF",S515&lt;&gt;""),AND(U515&lt;&gt;"NA",U515&lt;&gt;"C",U515&lt;&gt;"NC",U515&lt;&gt;"SF",U515&lt;&gt;""),AND(W515&lt;&gt;"NA",W515&lt;&gt;"C",W515&lt;&gt;"NC",W515&lt;&gt;"SF",W515&lt;&gt;""),AND(Y515&lt;&gt;"NA",Y515&lt;&gt;"C",Y515&lt;&gt;"NC",Y515&lt;&gt;"SF",Y515&lt;&gt;""),AND(AA515&lt;&gt;"NA",AA515&lt;&gt;"C",AA515&lt;&gt;"NC",AA515&lt;&gt;"SF",AA515&lt;&gt;""),AND(AC515&lt;&gt;"NA",AC515&lt;&gt;"C",AC515&lt;&gt;"NC",AC515&lt;&gt;"SF",AC515&lt;&gt;"")),"FALSO",IF(AND(O515="NA",Q515="NA",S515="NA",U515="NA",W515="NA",Y515="NA",AA515="NA",AC515="NA"),"NA",IF(OR(O515="NC",Q515="NC",S515="NC",U515="NC",W515="NC",Y515="NC",AA515="NC",AC515="NC",O515="SF",Q515="SF",S515="SF",U515="SF",W515="SF",Y515="SF",AA515="SF",AC515="SF"),"NC",IF(OR(O515="C",Q515="C",S515="C",U515="C",W515="C",Y515="C",AA515="C",AC515="C"),"C","")))))</f>
        <v>C</v>
      </c>
      <c r="AG515" s="97" t="str">
        <f t="shared" si="67"/>
        <v>UTILIZOU O PDA CORRETAMENTE</v>
      </c>
      <c r="AH515" s="26" t="s">
        <v>108</v>
      </c>
      <c r="AI515" s="98" t="s">
        <v>1</v>
      </c>
      <c r="AJ515" s="99" t="str">
        <f t="shared" si="68"/>
        <v>GUARULHOS</v>
      </c>
      <c r="AK515" s="100" t="s">
        <v>4</v>
      </c>
    </row>
    <row r="516" spans="1:37" ht="30" customHeight="1" x14ac:dyDescent="0.2">
      <c r="A516" s="82" t="s">
        <v>101</v>
      </c>
      <c r="B516" s="82">
        <v>2617944840</v>
      </c>
      <c r="C516" s="82" t="s">
        <v>44</v>
      </c>
      <c r="D516" s="82" t="s">
        <v>29</v>
      </c>
      <c r="E516" s="82" t="s">
        <v>102</v>
      </c>
      <c r="F516" s="82" t="s">
        <v>1034</v>
      </c>
      <c r="G516" s="82">
        <v>275</v>
      </c>
      <c r="H516" s="82" t="s">
        <v>1680</v>
      </c>
      <c r="I516" s="82" t="s">
        <v>576</v>
      </c>
      <c r="J516" s="82" t="s">
        <v>194</v>
      </c>
      <c r="K516" s="82" t="s">
        <v>1681</v>
      </c>
      <c r="L516" s="82" t="s">
        <v>1624</v>
      </c>
      <c r="M516" s="82" t="s">
        <v>1682</v>
      </c>
      <c r="N516" s="101" t="s">
        <v>163</v>
      </c>
      <c r="O516" s="35" t="s">
        <v>108</v>
      </c>
      <c r="P516" s="25"/>
      <c r="Q516" s="26" t="s">
        <v>108</v>
      </c>
      <c r="R516" s="25"/>
      <c r="S516" s="26" t="s">
        <v>108</v>
      </c>
      <c r="T516" s="25"/>
      <c r="U516" s="26" t="s">
        <v>108</v>
      </c>
      <c r="V516" s="25"/>
      <c r="W516" s="26" t="s">
        <v>108</v>
      </c>
      <c r="X516" s="25"/>
      <c r="Y516" s="26" t="s">
        <v>108</v>
      </c>
      <c r="Z516" s="25"/>
      <c r="AA516" s="26" t="s">
        <v>108</v>
      </c>
      <c r="AB516" s="25"/>
      <c r="AC516" s="26" t="s">
        <v>108</v>
      </c>
      <c r="AD516" s="10"/>
      <c r="AE516" s="26" t="s">
        <v>108</v>
      </c>
      <c r="AF516" s="47" t="str">
        <f t="shared" ref="AF516" si="72">IF(AND(O516="",Q516="",S516="",U516="",W516="",Y516="",AA516="",AC516=""),"",IF(OR(AND(O516&lt;&gt;"NA",O516&lt;&gt;"C",O516&lt;&gt;"NC",O516&lt;&gt;"SF",O516&lt;&gt;""),AND(Q516&lt;&gt;"NA",Q516&lt;&gt;"C",Q516&lt;&gt;"NC",Q516&lt;&gt;"SF",Q516&lt;&gt;""),AND(S516&lt;&gt;"NA",S516&lt;&gt;"C",S516&lt;&gt;"NC",S516&lt;&gt;"SF",S516&lt;&gt;""),AND(U516&lt;&gt;"NA",U516&lt;&gt;"C",U516&lt;&gt;"NC",U516&lt;&gt;"SF",U516&lt;&gt;""),AND(W516&lt;&gt;"NA",W516&lt;&gt;"C",W516&lt;&gt;"NC",W516&lt;&gt;"SF",W516&lt;&gt;""),AND(Y516&lt;&gt;"NA",Y516&lt;&gt;"C",Y516&lt;&gt;"NC",Y516&lt;&gt;"SF",Y516&lt;&gt;""),AND(AA516&lt;&gt;"NA",AA516&lt;&gt;"C",AA516&lt;&gt;"NC",AA516&lt;&gt;"SF",AA516&lt;&gt;""),AND(AC516&lt;&gt;"NA",AC516&lt;&gt;"C",AC516&lt;&gt;"NC",AC516&lt;&gt;"SF",AC516&lt;&gt;"")),"FALSO",IF(AND(O516="NA",Q516="NA",S516="NA",U516="NA",W516="NA",Y516="NA",AA516="NA",AC516="NA"),"NA",IF(OR(O516="NC",Q516="NC",S516="NC",U516="NC",W516="NC",Y516="NC",AA516="NC",AC516="NC",O516="SF",Q516="SF",S516="SF",U516="SF",W516="SF",Y516="SF",AA516="SF",AC516="SF"),"NC",IF(OR(O516="C",Q516="C",S516="C",U516="C",W516="C",Y516="C",AA516="C",AC516="C"),"C","")))))</f>
        <v>C</v>
      </c>
      <c r="AG516" s="97" t="str">
        <f t="shared" si="67"/>
        <v>UTILIZOU O PDA CORRETAMENTE</v>
      </c>
      <c r="AH516" s="26" t="s">
        <v>108</v>
      </c>
      <c r="AI516" s="98" t="s">
        <v>1</v>
      </c>
      <c r="AJ516" s="99" t="str">
        <f t="shared" si="68"/>
        <v>GUARULHOS</v>
      </c>
      <c r="AK516" s="100" t="s">
        <v>4</v>
      </c>
    </row>
  </sheetData>
  <autoFilter ref="A1:AK516" xr:uid="{00000000-0001-0000-0500-000000000000}"/>
  <conditionalFormatting sqref="A1 C1 E1">
    <cfRule type="duplicateValues" dxfId="30" priority="142"/>
  </conditionalFormatting>
  <conditionalFormatting sqref="AF511:AF514 AE147:AF509 AH142:AH513 Q114:Q509 S114:S509 U114:U509 W114:W516 Y114:Y516 AA114:AA516 AC114:AC516 AE114:AE146 Q1:Q102 S1:S102 U1:U102 AF2:AF146 O1:O516 AH1:AH139 W1:W102 Y1:Y102 AC1:AC102 AA1:AA102 AE2:AE102">
    <cfRule type="expression" dxfId="29" priority="18">
      <formula>O1=""</formula>
    </cfRule>
    <cfRule type="expression" dxfId="28" priority="19" stopIfTrue="1">
      <formula>NOT(OR(O1="C",O1="NC",O1="SF",O1="NA"))</formula>
    </cfRule>
  </conditionalFormatting>
  <conditionalFormatting sqref="Q111:Q113 Q511:Q514 Q516">
    <cfRule type="expression" dxfId="27" priority="52">
      <formula>Q111=""</formula>
    </cfRule>
    <cfRule type="expression" dxfId="26" priority="53" stopIfTrue="1">
      <formula>NOT(OR(Q111="C",Q111="NC",Q111="SF",Q111="NA"))</formula>
    </cfRule>
  </conditionalFormatting>
  <conditionalFormatting sqref="S111:S113 S511:S514 S516">
    <cfRule type="expression" dxfId="25" priority="48">
      <formula>S111=""</formula>
    </cfRule>
    <cfRule type="expression" dxfId="24" priority="49" stopIfTrue="1">
      <formula>NOT(OR(S111="C",S111="NC",S111="SF",S111="NA"))</formula>
    </cfRule>
  </conditionalFormatting>
  <conditionalFormatting sqref="U111:U113 U511:U514 U516">
    <cfRule type="expression" dxfId="23" priority="44">
      <formula>U111=""</formula>
    </cfRule>
    <cfRule type="expression" dxfId="22" priority="45" stopIfTrue="1">
      <formula>NOT(OR(U111="C",U111="NC",U111="SF",U111="NA"))</formula>
    </cfRule>
  </conditionalFormatting>
  <conditionalFormatting sqref="AE1:AF1 Q103 S103 U103 W103 Y103 AA103 AC103 AE103 Q107:Q108 S107:S108 U107:U108 W107:W108 Y107:Y108 AA107:AA108 AC107:AC108 AE107:AE108 Q110 S110 U110 W110:W113 Y110:Y113 AA110:AA113 AC110:AC113 AE110:AE113 AH141 Q510 S510 U510 AE510:AF510 AE511:AE514 Q515 S515 U515 AE515:AF516 AH515:AH516">
    <cfRule type="expression" dxfId="21" priority="56">
      <formula>Q1=""</formula>
    </cfRule>
    <cfRule type="expression" dxfId="20" priority="57" stopIfTrue="1">
      <formula>NOT(OR(Q1="C",Q1="NC",Q1="SF",Q1="NA"))</formula>
    </cfRule>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AK298"/>
  <sheetViews>
    <sheetView topLeftCell="AH1" zoomScale="55" zoomScaleNormal="55" workbookViewId="0">
      <pane ySplit="1" topLeftCell="A2" activePane="bottomLeft" state="frozen"/>
      <selection activeCell="K1" sqref="K1"/>
      <selection pane="bottomLeft" activeCell="AK1" sqref="AK1"/>
    </sheetView>
  </sheetViews>
  <sheetFormatPr defaultColWidth="9.140625" defaultRowHeight="30" customHeight="1" x14ac:dyDescent="0.2"/>
  <cols>
    <col min="1" max="1" width="61.7109375" style="4" bestFit="1" customWidth="1"/>
    <col min="2" max="2" width="25.28515625" style="4" bestFit="1" customWidth="1"/>
    <col min="3" max="3" width="53.28515625" style="4" bestFit="1" customWidth="1"/>
    <col min="4" max="4" width="20.140625" style="4" bestFit="1" customWidth="1"/>
    <col min="5" max="5" width="23.5703125" style="4" bestFit="1" customWidth="1"/>
    <col min="6" max="6" width="48.140625" style="4" bestFit="1" customWidth="1"/>
    <col min="7" max="7" width="20.7109375" style="4" bestFit="1" customWidth="1"/>
    <col min="8" max="8" width="27.42578125" style="4" bestFit="1" customWidth="1"/>
    <col min="9" max="9" width="18.85546875" style="4" bestFit="1" customWidth="1"/>
    <col min="10" max="10" width="51.85546875" style="4" bestFit="1" customWidth="1"/>
    <col min="11" max="11" width="37.5703125" style="4" bestFit="1" customWidth="1"/>
    <col min="12" max="12" width="24.85546875" style="4" customWidth="1"/>
    <col min="13" max="13" width="23" style="4" customWidth="1"/>
    <col min="14" max="14" width="35" style="70" bestFit="1" customWidth="1"/>
    <col min="15" max="15" width="24.85546875" style="7" bestFit="1" customWidth="1"/>
    <col min="16" max="16" width="38.85546875" style="7" bestFit="1" customWidth="1"/>
    <col min="17" max="17" width="29.42578125" style="7" bestFit="1" customWidth="1"/>
    <col min="18" max="18" width="43" style="7" bestFit="1" customWidth="1"/>
    <col min="19" max="19" width="26.85546875" style="7" bestFit="1" customWidth="1"/>
    <col min="20" max="20" width="39.85546875" style="7" bestFit="1" customWidth="1"/>
    <col min="21" max="21" width="28" style="7" bestFit="1" customWidth="1"/>
    <col min="22" max="22" width="41.42578125" style="7" bestFit="1" customWidth="1"/>
    <col min="23" max="23" width="35" style="7" bestFit="1" customWidth="1"/>
    <col min="24" max="24" width="48" style="7" bestFit="1" customWidth="1"/>
    <col min="25" max="25" width="33.42578125" style="7" bestFit="1" customWidth="1"/>
    <col min="26" max="26" width="45.5703125" style="7" bestFit="1" customWidth="1"/>
    <col min="27" max="27" width="34.42578125" style="7" bestFit="1" customWidth="1"/>
    <col min="28" max="28" width="46.42578125" style="7" bestFit="1" customWidth="1"/>
    <col min="29" max="29" width="28" style="7" bestFit="1" customWidth="1"/>
    <col min="30" max="30" width="42" style="7" bestFit="1" customWidth="1"/>
    <col min="31" max="32" width="42.42578125" style="7" bestFit="1" customWidth="1"/>
    <col min="33" max="33" width="43.28515625" style="11" customWidth="1"/>
    <col min="34" max="34" width="41.42578125" style="7" customWidth="1"/>
    <col min="35" max="35" width="23.5703125" style="7" bestFit="1" customWidth="1"/>
    <col min="36" max="36" width="25.5703125" style="7" customWidth="1"/>
    <col min="37" max="37" width="55.42578125" style="7" customWidth="1"/>
    <col min="38" max="16384" width="9.140625" style="3"/>
  </cols>
  <sheetData>
    <row r="1" spans="1:37" s="7" customFormat="1" ht="33" customHeight="1" x14ac:dyDescent="0.25">
      <c r="A1" s="77" t="s">
        <v>72</v>
      </c>
      <c r="B1" s="77" t="s">
        <v>73</v>
      </c>
      <c r="C1" s="77" t="s">
        <v>74</v>
      </c>
      <c r="D1" s="77" t="s">
        <v>75</v>
      </c>
      <c r="E1" s="77" t="s">
        <v>76</v>
      </c>
      <c r="F1" s="77" t="s">
        <v>77</v>
      </c>
      <c r="G1" s="77" t="s">
        <v>78</v>
      </c>
      <c r="H1" s="78" t="s">
        <v>79</v>
      </c>
      <c r="I1" s="78" t="s">
        <v>80</v>
      </c>
      <c r="J1" s="78" t="s">
        <v>81</v>
      </c>
      <c r="K1" s="78" t="s">
        <v>82</v>
      </c>
      <c r="L1" s="78" t="s">
        <v>83</v>
      </c>
      <c r="M1" s="78" t="s">
        <v>84</v>
      </c>
      <c r="N1" s="78" t="s">
        <v>1683</v>
      </c>
      <c r="O1" s="5" t="s">
        <v>5</v>
      </c>
      <c r="P1" s="5" t="s">
        <v>85</v>
      </c>
      <c r="Q1" s="5" t="s">
        <v>6</v>
      </c>
      <c r="R1" s="5" t="s">
        <v>86</v>
      </c>
      <c r="S1" s="5" t="s">
        <v>7</v>
      </c>
      <c r="T1" s="5" t="s">
        <v>87</v>
      </c>
      <c r="U1" s="5" t="s">
        <v>8</v>
      </c>
      <c r="V1" s="5" t="s">
        <v>88</v>
      </c>
      <c r="W1" s="5" t="s">
        <v>9</v>
      </c>
      <c r="X1" s="5" t="s">
        <v>89</v>
      </c>
      <c r="Y1" s="5" t="s">
        <v>15</v>
      </c>
      <c r="Z1" s="5" t="s">
        <v>1684</v>
      </c>
      <c r="AA1" s="5" t="s">
        <v>91</v>
      </c>
      <c r="AB1" s="5" t="s">
        <v>92</v>
      </c>
      <c r="AC1" s="5" t="s">
        <v>1685</v>
      </c>
      <c r="AD1" s="5" t="s">
        <v>1686</v>
      </c>
      <c r="AE1" s="24" t="s">
        <v>2</v>
      </c>
      <c r="AF1" s="24" t="s">
        <v>1687</v>
      </c>
      <c r="AG1" s="60" t="s">
        <v>96</v>
      </c>
      <c r="AH1" s="23" t="s">
        <v>3</v>
      </c>
      <c r="AI1" s="6" t="s">
        <v>98</v>
      </c>
      <c r="AJ1" s="6" t="s">
        <v>99</v>
      </c>
      <c r="AK1" s="6" t="s">
        <v>100</v>
      </c>
    </row>
    <row r="2" spans="1:37" s="7" customFormat="1" ht="30" customHeight="1" x14ac:dyDescent="0.2">
      <c r="A2" s="82" t="s">
        <v>101</v>
      </c>
      <c r="B2" s="82">
        <v>2613675713</v>
      </c>
      <c r="C2" s="82" t="s">
        <v>57</v>
      </c>
      <c r="D2" s="82" t="s">
        <v>52</v>
      </c>
      <c r="E2" s="82" t="s">
        <v>102</v>
      </c>
      <c r="F2" s="82" t="s">
        <v>1688</v>
      </c>
      <c r="G2" s="82">
        <v>293</v>
      </c>
      <c r="H2" s="82" t="s">
        <v>117</v>
      </c>
      <c r="I2" s="82" t="s">
        <v>969</v>
      </c>
      <c r="J2" s="82" t="s">
        <v>1689</v>
      </c>
      <c r="K2" s="82" t="s">
        <v>117</v>
      </c>
      <c r="L2" s="86" t="s">
        <v>106</v>
      </c>
      <c r="M2" s="86">
        <v>46026.619444444441</v>
      </c>
      <c r="N2" s="82" t="s">
        <v>1690</v>
      </c>
      <c r="O2" s="45" t="s">
        <v>108</v>
      </c>
      <c r="P2" s="46"/>
      <c r="Q2" s="39" t="s">
        <v>108</v>
      </c>
      <c r="R2" s="46"/>
      <c r="S2" s="39" t="s">
        <v>108</v>
      </c>
      <c r="T2" s="46"/>
      <c r="U2" s="39" t="s">
        <v>108</v>
      </c>
      <c r="V2" s="46"/>
      <c r="W2" s="39" t="s">
        <v>108</v>
      </c>
      <c r="X2" s="46"/>
      <c r="Y2" s="39" t="s">
        <v>108</v>
      </c>
      <c r="Z2" s="46"/>
      <c r="AA2" s="39" t="s">
        <v>108</v>
      </c>
      <c r="AB2" s="46"/>
      <c r="AC2" s="39" t="s">
        <v>108</v>
      </c>
      <c r="AD2" s="46"/>
      <c r="AE2" s="39" t="s">
        <v>108</v>
      </c>
      <c r="AF2" s="46"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C</v>
      </c>
      <c r="AG2" s="59" t="str">
        <f t="shared" ref="AG2:AG28" si="0">IF(AND(AE2="C",AF2="C"),"UTILIZOU O PDA CORRETAMENTE",IF(AND(AE2="C",AF2="NC"),"UTILIZOU O PDA CORRETAMENTE. NÃO HÁ FOTOS DE TODAS AS ETAPAS",IF(AND(AE2="NC",AF2="NC"),"NÃO UTILIZOU O PDA",IF(AND(AE2="NA",AF2="NA"),"NÃO AVALIADO POR FALHA DE SINCRONISMO"))))</f>
        <v>UTILIZOU O PDA CORRETAMENTE</v>
      </c>
      <c r="AH2" s="39" t="s">
        <v>108</v>
      </c>
      <c r="AI2" s="50" t="s">
        <v>1</v>
      </c>
      <c r="AJ2" s="50" t="str">
        <f>E2</f>
        <v>GUARULHOS</v>
      </c>
      <c r="AK2" s="31" t="s">
        <v>13</v>
      </c>
    </row>
    <row r="3" spans="1:37" ht="30" customHeight="1" x14ac:dyDescent="0.2">
      <c r="A3" s="82" t="s">
        <v>101</v>
      </c>
      <c r="B3" s="82">
        <v>2613572072</v>
      </c>
      <c r="C3" s="82" t="s">
        <v>55</v>
      </c>
      <c r="D3" s="82" t="s">
        <v>54</v>
      </c>
      <c r="E3" s="82" t="s">
        <v>102</v>
      </c>
      <c r="F3" s="82" t="s">
        <v>1691</v>
      </c>
      <c r="G3" s="82">
        <v>57</v>
      </c>
      <c r="H3" s="82" t="s">
        <v>1692</v>
      </c>
      <c r="I3" s="82" t="s">
        <v>177</v>
      </c>
      <c r="J3" s="82" t="s">
        <v>1693</v>
      </c>
      <c r="K3" s="82"/>
      <c r="L3" s="86" t="s">
        <v>106</v>
      </c>
      <c r="M3" s="86">
        <v>46026.376388888886</v>
      </c>
      <c r="N3" s="82" t="s">
        <v>1694</v>
      </c>
      <c r="O3" s="45" t="s">
        <v>108</v>
      </c>
      <c r="P3" s="46"/>
      <c r="Q3" s="39" t="s">
        <v>108</v>
      </c>
      <c r="R3" s="46"/>
      <c r="S3" s="39" t="s">
        <v>108</v>
      </c>
      <c r="T3" s="46"/>
      <c r="U3" s="39" t="s">
        <v>108</v>
      </c>
      <c r="V3" s="46"/>
      <c r="W3" s="39" t="s">
        <v>108</v>
      </c>
      <c r="X3" s="46"/>
      <c r="Y3" s="39" t="s">
        <v>108</v>
      </c>
      <c r="Z3" s="46"/>
      <c r="AA3" s="39" t="s">
        <v>108</v>
      </c>
      <c r="AB3" s="46"/>
      <c r="AC3" s="39" t="s">
        <v>108</v>
      </c>
      <c r="AD3" s="46"/>
      <c r="AE3" s="39" t="s">
        <v>108</v>
      </c>
      <c r="AF3" s="25" t="str">
        <f t="shared" ref="AF3:AF28" si="1">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C</v>
      </c>
      <c r="AG3" s="59" t="str">
        <f t="shared" si="0"/>
        <v>UTILIZOU O PDA CORRETAMENTE</v>
      </c>
      <c r="AH3" s="26" t="s">
        <v>108</v>
      </c>
      <c r="AI3" s="29" t="s">
        <v>1</v>
      </c>
      <c r="AJ3" s="29" t="str">
        <f t="shared" ref="AJ3:AJ22" si="2">E3</f>
        <v>GUARULHOS</v>
      </c>
      <c r="AK3" s="14" t="s">
        <v>13</v>
      </c>
    </row>
    <row r="4" spans="1:37" ht="30" customHeight="1" x14ac:dyDescent="0.2">
      <c r="A4" s="82" t="s">
        <v>101</v>
      </c>
      <c r="B4" s="82">
        <v>2613846631</v>
      </c>
      <c r="C4" s="82" t="s">
        <v>55</v>
      </c>
      <c r="D4" s="82" t="s">
        <v>54</v>
      </c>
      <c r="E4" s="82" t="s">
        <v>102</v>
      </c>
      <c r="F4" s="82" t="s">
        <v>1058</v>
      </c>
      <c r="G4" s="82">
        <v>1659</v>
      </c>
      <c r="H4" s="82" t="s">
        <v>117</v>
      </c>
      <c r="I4" s="82" t="s">
        <v>1679</v>
      </c>
      <c r="J4" s="82" t="s">
        <v>1693</v>
      </c>
      <c r="K4" s="82" t="s">
        <v>117</v>
      </c>
      <c r="L4" s="86" t="s">
        <v>106</v>
      </c>
      <c r="M4" s="86">
        <v>46026.454861111109</v>
      </c>
      <c r="N4" s="82" t="s">
        <v>1694</v>
      </c>
      <c r="O4" s="35" t="s">
        <v>214</v>
      </c>
      <c r="P4" s="25"/>
      <c r="Q4" s="26" t="s">
        <v>214</v>
      </c>
      <c r="R4" s="25"/>
      <c r="S4" s="26" t="s">
        <v>214</v>
      </c>
      <c r="T4" s="25"/>
      <c r="U4" s="26" t="s">
        <v>214</v>
      </c>
      <c r="V4" s="25"/>
      <c r="W4" s="26" t="s">
        <v>214</v>
      </c>
      <c r="X4" s="25"/>
      <c r="Y4" s="26" t="s">
        <v>214</v>
      </c>
      <c r="Z4" s="25"/>
      <c r="AA4" s="26" t="s">
        <v>214</v>
      </c>
      <c r="AB4" s="25"/>
      <c r="AC4" s="26" t="s">
        <v>214</v>
      </c>
      <c r="AD4" s="25"/>
      <c r="AE4" s="26" t="s">
        <v>114</v>
      </c>
      <c r="AF4" s="25" t="str">
        <f t="shared" si="1"/>
        <v>NC</v>
      </c>
      <c r="AG4" s="59" t="str">
        <f t="shared" si="0"/>
        <v>NÃO UTILIZOU O PDA</v>
      </c>
      <c r="AH4" s="26" t="s">
        <v>108</v>
      </c>
      <c r="AI4" s="29" t="s">
        <v>1</v>
      </c>
      <c r="AJ4" s="29" t="str">
        <f t="shared" si="2"/>
        <v>GUARULHOS</v>
      </c>
      <c r="AK4" s="14" t="s">
        <v>13</v>
      </c>
    </row>
    <row r="5" spans="1:37" ht="30" customHeight="1" x14ac:dyDescent="0.2">
      <c r="A5" s="82" t="s">
        <v>101</v>
      </c>
      <c r="B5" s="82">
        <v>2614130776</v>
      </c>
      <c r="C5" s="82" t="s">
        <v>55</v>
      </c>
      <c r="D5" s="82" t="s">
        <v>54</v>
      </c>
      <c r="E5" s="82" t="s">
        <v>102</v>
      </c>
      <c r="F5" s="82" t="s">
        <v>344</v>
      </c>
      <c r="G5" s="82">
        <v>71</v>
      </c>
      <c r="H5" s="82"/>
      <c r="I5" s="82" t="s">
        <v>650</v>
      </c>
      <c r="J5" s="82" t="s">
        <v>1693</v>
      </c>
      <c r="K5" s="82" t="s">
        <v>1702</v>
      </c>
      <c r="L5" s="86" t="s">
        <v>217</v>
      </c>
      <c r="M5" s="86">
        <v>46057.627083333333</v>
      </c>
      <c r="N5" s="82" t="s">
        <v>1694</v>
      </c>
      <c r="O5" s="35" t="s">
        <v>214</v>
      </c>
      <c r="P5" s="25"/>
      <c r="Q5" s="26" t="s">
        <v>214</v>
      </c>
      <c r="R5" s="25"/>
      <c r="S5" s="26" t="s">
        <v>214</v>
      </c>
      <c r="T5" s="25"/>
      <c r="U5" s="26" t="s">
        <v>214</v>
      </c>
      <c r="V5" s="25"/>
      <c r="W5" s="26" t="s">
        <v>214</v>
      </c>
      <c r="X5" s="25"/>
      <c r="Y5" s="26" t="s">
        <v>214</v>
      </c>
      <c r="Z5" s="25"/>
      <c r="AA5" s="26" t="s">
        <v>214</v>
      </c>
      <c r="AB5" s="25"/>
      <c r="AC5" s="26" t="s">
        <v>214</v>
      </c>
      <c r="AD5" s="25"/>
      <c r="AE5" s="26" t="s">
        <v>114</v>
      </c>
      <c r="AF5" s="25" t="str">
        <f t="shared" si="1"/>
        <v>NC</v>
      </c>
      <c r="AG5" s="59" t="str">
        <f t="shared" si="0"/>
        <v>NÃO UTILIZOU O PDA</v>
      </c>
      <c r="AH5" s="26" t="s">
        <v>108</v>
      </c>
      <c r="AI5" s="29" t="s">
        <v>1</v>
      </c>
      <c r="AJ5" s="29" t="str">
        <f t="shared" si="2"/>
        <v>GUARULHOS</v>
      </c>
      <c r="AK5" s="14" t="s">
        <v>13</v>
      </c>
    </row>
    <row r="6" spans="1:37" ht="30" customHeight="1" x14ac:dyDescent="0.2">
      <c r="A6" s="82" t="s">
        <v>101</v>
      </c>
      <c r="B6" s="82">
        <v>2614131037</v>
      </c>
      <c r="C6" s="82" t="s">
        <v>55</v>
      </c>
      <c r="D6" s="82" t="s">
        <v>54</v>
      </c>
      <c r="E6" s="82" t="s">
        <v>102</v>
      </c>
      <c r="F6" s="82" t="s">
        <v>935</v>
      </c>
      <c r="G6" s="82">
        <v>1235</v>
      </c>
      <c r="H6" s="82" t="s">
        <v>1703</v>
      </c>
      <c r="I6" s="82" t="s">
        <v>459</v>
      </c>
      <c r="J6" s="82" t="s">
        <v>1693</v>
      </c>
      <c r="K6" s="82" t="s">
        <v>1704</v>
      </c>
      <c r="L6" s="86" t="s">
        <v>217</v>
      </c>
      <c r="M6" s="86">
        <v>46057.621527777781</v>
      </c>
      <c r="N6" s="82" t="s">
        <v>1694</v>
      </c>
      <c r="O6" s="35" t="s">
        <v>214</v>
      </c>
      <c r="P6" s="25"/>
      <c r="Q6" s="26" t="s">
        <v>214</v>
      </c>
      <c r="R6" s="25"/>
      <c r="S6" s="26" t="s">
        <v>214</v>
      </c>
      <c r="T6" s="25"/>
      <c r="U6" s="26" t="s">
        <v>214</v>
      </c>
      <c r="V6" s="25"/>
      <c r="W6" s="26" t="s">
        <v>214</v>
      </c>
      <c r="X6" s="25"/>
      <c r="Y6" s="26" t="s">
        <v>214</v>
      </c>
      <c r="Z6" s="25"/>
      <c r="AA6" s="26" t="s">
        <v>214</v>
      </c>
      <c r="AB6" s="25"/>
      <c r="AC6" s="26" t="s">
        <v>214</v>
      </c>
      <c r="AD6" s="25"/>
      <c r="AE6" s="26" t="s">
        <v>114</v>
      </c>
      <c r="AF6" s="25" t="str">
        <f t="shared" si="1"/>
        <v>NC</v>
      </c>
      <c r="AG6" s="59" t="str">
        <f t="shared" si="0"/>
        <v>NÃO UTILIZOU O PDA</v>
      </c>
      <c r="AH6" s="26" t="s">
        <v>108</v>
      </c>
      <c r="AI6" s="29" t="s">
        <v>1</v>
      </c>
      <c r="AJ6" s="29" t="str">
        <f t="shared" si="2"/>
        <v>GUARULHOS</v>
      </c>
      <c r="AK6" s="15" t="s">
        <v>13</v>
      </c>
    </row>
    <row r="7" spans="1:37" ht="30" customHeight="1" x14ac:dyDescent="0.2">
      <c r="A7" s="82" t="s">
        <v>101</v>
      </c>
      <c r="B7" s="82">
        <v>2614104946</v>
      </c>
      <c r="C7" s="82" t="s">
        <v>56</v>
      </c>
      <c r="D7" s="82" t="s">
        <v>53</v>
      </c>
      <c r="E7" s="82" t="s">
        <v>102</v>
      </c>
      <c r="F7" s="82" t="s">
        <v>1707</v>
      </c>
      <c r="G7" s="82">
        <v>327</v>
      </c>
      <c r="H7" s="82" t="s">
        <v>1708</v>
      </c>
      <c r="I7" s="82" t="s">
        <v>179</v>
      </c>
      <c r="J7" s="82" t="s">
        <v>1709</v>
      </c>
      <c r="K7" s="88" t="s">
        <v>1710</v>
      </c>
      <c r="L7" s="86" t="s">
        <v>273</v>
      </c>
      <c r="M7" s="86">
        <v>46085.354861111111</v>
      </c>
      <c r="N7" s="82" t="s">
        <v>1409</v>
      </c>
      <c r="O7" s="35" t="s">
        <v>14</v>
      </c>
      <c r="P7" s="25"/>
      <c r="Q7" s="26" t="s">
        <v>14</v>
      </c>
      <c r="R7" s="25"/>
      <c r="S7" s="26" t="s">
        <v>14</v>
      </c>
      <c r="T7" s="25"/>
      <c r="U7" s="26" t="s">
        <v>14</v>
      </c>
      <c r="V7" s="25"/>
      <c r="W7" s="26" t="s">
        <v>14</v>
      </c>
      <c r="X7" s="25"/>
      <c r="Y7" s="26" t="s">
        <v>14</v>
      </c>
      <c r="Z7" s="25"/>
      <c r="AA7" s="26" t="s">
        <v>14</v>
      </c>
      <c r="AB7" s="25"/>
      <c r="AC7" s="26" t="s">
        <v>14</v>
      </c>
      <c r="AD7" s="25"/>
      <c r="AE7" s="26" t="s">
        <v>14</v>
      </c>
      <c r="AF7" s="25" t="str">
        <f t="shared" si="1"/>
        <v>NA</v>
      </c>
      <c r="AG7" s="59" t="str">
        <f t="shared" si="0"/>
        <v>NÃO AVALIADO POR FALHA DE SINCRONISMO</v>
      </c>
      <c r="AH7" s="26" t="s">
        <v>108</v>
      </c>
      <c r="AI7" s="29" t="s">
        <v>1</v>
      </c>
      <c r="AJ7" s="29" t="str">
        <f t="shared" si="2"/>
        <v>GUARULHOS</v>
      </c>
      <c r="AK7" s="14" t="s">
        <v>13</v>
      </c>
    </row>
    <row r="8" spans="1:37" ht="30" customHeight="1" x14ac:dyDescent="0.2">
      <c r="A8" s="82" t="s">
        <v>101</v>
      </c>
      <c r="B8" s="82">
        <v>2614223845</v>
      </c>
      <c r="C8" s="82" t="s">
        <v>55</v>
      </c>
      <c r="D8" s="82" t="s">
        <v>54</v>
      </c>
      <c r="E8" s="82" t="s">
        <v>102</v>
      </c>
      <c r="F8" s="82" t="s">
        <v>1713</v>
      </c>
      <c r="G8" s="82">
        <v>835</v>
      </c>
      <c r="H8" s="82" t="s">
        <v>1714</v>
      </c>
      <c r="I8" s="82" t="s">
        <v>327</v>
      </c>
      <c r="J8" s="82" t="s">
        <v>1715</v>
      </c>
      <c r="K8" s="82" t="s">
        <v>1716</v>
      </c>
      <c r="L8" s="86" t="s">
        <v>310</v>
      </c>
      <c r="M8" s="86">
        <v>46116.292361111111</v>
      </c>
      <c r="N8" s="82" t="s">
        <v>1409</v>
      </c>
      <c r="O8" s="35" t="s">
        <v>108</v>
      </c>
      <c r="P8" s="25"/>
      <c r="Q8" s="26" t="s">
        <v>108</v>
      </c>
      <c r="R8" s="25"/>
      <c r="S8" s="26" t="s">
        <v>14</v>
      </c>
      <c r="T8" s="25"/>
      <c r="U8" s="26" t="s">
        <v>14</v>
      </c>
      <c r="V8" s="25"/>
      <c r="W8" s="26" t="s">
        <v>14</v>
      </c>
      <c r="X8" s="25"/>
      <c r="Y8" s="26" t="s">
        <v>14</v>
      </c>
      <c r="Z8" s="25"/>
      <c r="AA8" s="26" t="s">
        <v>14</v>
      </c>
      <c r="AB8" s="25"/>
      <c r="AC8" s="26" t="s">
        <v>114</v>
      </c>
      <c r="AD8" s="25" t="s">
        <v>1717</v>
      </c>
      <c r="AE8" s="26" t="s">
        <v>108</v>
      </c>
      <c r="AF8" s="25" t="str">
        <f t="shared" si="1"/>
        <v>NC</v>
      </c>
      <c r="AG8" s="59" t="str">
        <f t="shared" si="0"/>
        <v>UTILIZOU O PDA CORRETAMENTE. NÃO HÁ FOTOS DE TODAS AS ETAPAS</v>
      </c>
      <c r="AH8" s="26" t="s">
        <v>108</v>
      </c>
      <c r="AI8" s="29" t="s">
        <v>1</v>
      </c>
      <c r="AJ8" s="29" t="str">
        <f t="shared" si="2"/>
        <v>GUARULHOS</v>
      </c>
      <c r="AK8" s="14" t="s">
        <v>13</v>
      </c>
    </row>
    <row r="9" spans="1:37" ht="30" customHeight="1" x14ac:dyDescent="0.2">
      <c r="A9" s="82" t="s">
        <v>101</v>
      </c>
      <c r="B9" s="82">
        <v>2614104946</v>
      </c>
      <c r="C9" s="82" t="s">
        <v>1718</v>
      </c>
      <c r="D9" s="82" t="s">
        <v>54</v>
      </c>
      <c r="E9" s="82" t="s">
        <v>102</v>
      </c>
      <c r="F9" s="82" t="s">
        <v>1707</v>
      </c>
      <c r="G9" s="82">
        <v>327</v>
      </c>
      <c r="H9" s="82" t="s">
        <v>1708</v>
      </c>
      <c r="I9" s="82" t="s">
        <v>179</v>
      </c>
      <c r="J9" s="82" t="s">
        <v>1719</v>
      </c>
      <c r="K9" s="88" t="s">
        <v>1720</v>
      </c>
      <c r="L9" s="86" t="s">
        <v>273</v>
      </c>
      <c r="M9" s="86">
        <v>46085.359722222223</v>
      </c>
      <c r="N9" s="82" t="s">
        <v>1409</v>
      </c>
      <c r="O9" s="35" t="s">
        <v>14</v>
      </c>
      <c r="P9" s="41"/>
      <c r="Q9" s="26" t="s">
        <v>14</v>
      </c>
      <c r="R9" s="25"/>
      <c r="S9" s="26" t="s">
        <v>14</v>
      </c>
      <c r="T9" s="25"/>
      <c r="U9" s="26" t="s">
        <v>14</v>
      </c>
      <c r="V9" s="25"/>
      <c r="W9" s="26" t="s">
        <v>14</v>
      </c>
      <c r="X9" s="25"/>
      <c r="Y9" s="26" t="s">
        <v>14</v>
      </c>
      <c r="Z9" s="25"/>
      <c r="AA9" s="26" t="s">
        <v>14</v>
      </c>
      <c r="AB9" s="25"/>
      <c r="AC9" s="26" t="s">
        <v>14</v>
      </c>
      <c r="AD9" s="25"/>
      <c r="AE9" s="26" t="s">
        <v>14</v>
      </c>
      <c r="AF9" s="25" t="str">
        <f t="shared" si="1"/>
        <v>NA</v>
      </c>
      <c r="AG9" s="59" t="str">
        <f t="shared" si="0"/>
        <v>NÃO AVALIADO POR FALHA DE SINCRONISMO</v>
      </c>
      <c r="AH9" s="26" t="s">
        <v>108</v>
      </c>
      <c r="AI9" s="29" t="s">
        <v>1</v>
      </c>
      <c r="AJ9" s="29" t="str">
        <f t="shared" si="2"/>
        <v>GUARULHOS</v>
      </c>
      <c r="AK9" s="30" t="s">
        <v>13</v>
      </c>
    </row>
    <row r="10" spans="1:37" ht="30" customHeight="1" x14ac:dyDescent="0.2">
      <c r="A10" s="82" t="s">
        <v>101</v>
      </c>
      <c r="B10" s="82">
        <v>2614104946</v>
      </c>
      <c r="C10" s="82" t="s">
        <v>1721</v>
      </c>
      <c r="D10" s="82" t="s">
        <v>54</v>
      </c>
      <c r="E10" s="82" t="s">
        <v>102</v>
      </c>
      <c r="F10" s="82" t="s">
        <v>1707</v>
      </c>
      <c r="G10" s="82">
        <v>327</v>
      </c>
      <c r="H10" s="82" t="s">
        <v>1708</v>
      </c>
      <c r="I10" s="82" t="s">
        <v>179</v>
      </c>
      <c r="J10" s="82" t="s">
        <v>1715</v>
      </c>
      <c r="K10" s="88" t="s">
        <v>1720</v>
      </c>
      <c r="L10" s="86" t="s">
        <v>273</v>
      </c>
      <c r="M10" s="86">
        <v>46085.423611111109</v>
      </c>
      <c r="N10" s="82" t="s">
        <v>1409</v>
      </c>
      <c r="O10" s="35" t="s">
        <v>14</v>
      </c>
      <c r="P10" s="42"/>
      <c r="Q10" s="26" t="s">
        <v>14</v>
      </c>
      <c r="R10" s="10"/>
      <c r="S10" s="26" t="s">
        <v>14</v>
      </c>
      <c r="T10" s="10"/>
      <c r="U10" s="26" t="s">
        <v>14</v>
      </c>
      <c r="V10" s="10"/>
      <c r="W10" s="26" t="s">
        <v>14</v>
      </c>
      <c r="X10" s="10"/>
      <c r="Y10" s="26" t="s">
        <v>14</v>
      </c>
      <c r="Z10" s="10"/>
      <c r="AA10" s="26" t="s">
        <v>14</v>
      </c>
      <c r="AB10" s="10"/>
      <c r="AC10" s="26" t="s">
        <v>14</v>
      </c>
      <c r="AD10" s="10"/>
      <c r="AE10" s="26" t="s">
        <v>14</v>
      </c>
      <c r="AF10" s="25" t="str">
        <f t="shared" si="1"/>
        <v>NA</v>
      </c>
      <c r="AG10" s="59" t="str">
        <f t="shared" si="0"/>
        <v>NÃO AVALIADO POR FALHA DE SINCRONISMO</v>
      </c>
      <c r="AH10" s="26" t="s">
        <v>108</v>
      </c>
      <c r="AI10" s="29" t="s">
        <v>1</v>
      </c>
      <c r="AJ10" s="29" t="str">
        <f t="shared" si="2"/>
        <v>GUARULHOS</v>
      </c>
      <c r="AK10" s="30" t="s">
        <v>13</v>
      </c>
    </row>
    <row r="11" spans="1:37" ht="30" customHeight="1" x14ac:dyDescent="0.2">
      <c r="A11" s="82" t="s">
        <v>101</v>
      </c>
      <c r="B11" s="82">
        <v>2614318419</v>
      </c>
      <c r="C11" s="82" t="s">
        <v>55</v>
      </c>
      <c r="D11" s="82" t="s">
        <v>54</v>
      </c>
      <c r="E11" s="82" t="s">
        <v>102</v>
      </c>
      <c r="F11" s="82" t="s">
        <v>1726</v>
      </c>
      <c r="G11" s="82">
        <v>1296</v>
      </c>
      <c r="H11" s="82" t="s">
        <v>117</v>
      </c>
      <c r="I11" s="82" t="s">
        <v>149</v>
      </c>
      <c r="J11" s="82" t="s">
        <v>1727</v>
      </c>
      <c r="K11" s="82" t="s">
        <v>1728</v>
      </c>
      <c r="L11" s="86" t="s">
        <v>316</v>
      </c>
      <c r="M11" s="86">
        <v>46146.418055555558</v>
      </c>
      <c r="N11" s="82" t="s">
        <v>1698</v>
      </c>
      <c r="O11" s="35" t="s">
        <v>108</v>
      </c>
      <c r="P11" s="10"/>
      <c r="Q11" s="26" t="s">
        <v>108</v>
      </c>
      <c r="R11" s="10"/>
      <c r="S11" s="26" t="s">
        <v>14</v>
      </c>
      <c r="T11" s="10"/>
      <c r="U11" s="26" t="s">
        <v>14</v>
      </c>
      <c r="V11" s="10"/>
      <c r="W11" s="26" t="s">
        <v>14</v>
      </c>
      <c r="X11" s="10"/>
      <c r="Y11" s="26" t="s">
        <v>14</v>
      </c>
      <c r="Z11" s="10"/>
      <c r="AA11" s="26" t="s">
        <v>14</v>
      </c>
      <c r="AB11" s="10"/>
      <c r="AC11" s="26" t="s">
        <v>108</v>
      </c>
      <c r="AD11" s="10"/>
      <c r="AE11" s="26" t="s">
        <v>108</v>
      </c>
      <c r="AF11" s="25" t="str">
        <f t="shared" si="1"/>
        <v>C</v>
      </c>
      <c r="AG11" s="59" t="str">
        <f t="shared" si="0"/>
        <v>UTILIZOU O PDA CORRETAMENTE</v>
      </c>
      <c r="AH11" s="26" t="s">
        <v>108</v>
      </c>
      <c r="AI11" s="29" t="s">
        <v>1</v>
      </c>
      <c r="AJ11" s="29" t="str">
        <f t="shared" si="2"/>
        <v>GUARULHOS</v>
      </c>
      <c r="AK11" s="30" t="s">
        <v>13</v>
      </c>
    </row>
    <row r="12" spans="1:37" ht="30" customHeight="1" x14ac:dyDescent="0.2">
      <c r="A12" s="82" t="s">
        <v>101</v>
      </c>
      <c r="B12" s="82">
        <v>2614168094</v>
      </c>
      <c r="C12" s="82" t="s">
        <v>55</v>
      </c>
      <c r="D12" s="82" t="s">
        <v>54</v>
      </c>
      <c r="E12" s="82" t="s">
        <v>102</v>
      </c>
      <c r="F12" s="82" t="s">
        <v>1729</v>
      </c>
      <c r="G12" s="82">
        <v>138</v>
      </c>
      <c r="H12" s="82" t="s">
        <v>1730</v>
      </c>
      <c r="I12" s="82" t="s">
        <v>1731</v>
      </c>
      <c r="J12" s="82" t="s">
        <v>1693</v>
      </c>
      <c r="K12" s="82"/>
      <c r="L12" s="86" t="s">
        <v>377</v>
      </c>
      <c r="M12" s="86">
        <v>46177.42291666667</v>
      </c>
      <c r="N12" s="82" t="s">
        <v>1694</v>
      </c>
      <c r="O12" s="35" t="s">
        <v>108</v>
      </c>
      <c r="P12" s="10"/>
      <c r="Q12" s="26" t="s">
        <v>108</v>
      </c>
      <c r="R12" s="10"/>
      <c r="S12" s="26" t="s">
        <v>14</v>
      </c>
      <c r="T12" s="10"/>
      <c r="U12" s="26" t="s">
        <v>14</v>
      </c>
      <c r="V12" s="10"/>
      <c r="W12" s="26" t="s">
        <v>14</v>
      </c>
      <c r="X12" s="10"/>
      <c r="Y12" s="26" t="s">
        <v>14</v>
      </c>
      <c r="Z12" s="10"/>
      <c r="AA12" s="26" t="s">
        <v>14</v>
      </c>
      <c r="AB12" s="10"/>
      <c r="AC12" s="26" t="s">
        <v>114</v>
      </c>
      <c r="AD12" s="10" t="s">
        <v>164</v>
      </c>
      <c r="AE12" s="26" t="s">
        <v>108</v>
      </c>
      <c r="AF12" s="25" t="str">
        <f t="shared" si="1"/>
        <v>NC</v>
      </c>
      <c r="AG12" s="59" t="str">
        <f t="shared" si="0"/>
        <v>UTILIZOU O PDA CORRETAMENTE. NÃO HÁ FOTOS DE TODAS AS ETAPAS</v>
      </c>
      <c r="AH12" s="26" t="s">
        <v>108</v>
      </c>
      <c r="AI12" s="29" t="s">
        <v>1</v>
      </c>
      <c r="AJ12" s="29" t="str">
        <f t="shared" si="2"/>
        <v>GUARULHOS</v>
      </c>
      <c r="AK12" s="14" t="s">
        <v>13</v>
      </c>
    </row>
    <row r="13" spans="1:37" ht="30" customHeight="1" x14ac:dyDescent="0.2">
      <c r="A13" s="82" t="s">
        <v>101</v>
      </c>
      <c r="B13" s="82">
        <v>2614194668</v>
      </c>
      <c r="C13" s="82" t="s">
        <v>55</v>
      </c>
      <c r="D13" s="82" t="s">
        <v>54</v>
      </c>
      <c r="E13" s="82" t="s">
        <v>102</v>
      </c>
      <c r="F13" s="82" t="s">
        <v>1732</v>
      </c>
      <c r="G13" s="82">
        <v>234</v>
      </c>
      <c r="H13" s="82" t="s">
        <v>117</v>
      </c>
      <c r="I13" s="82" t="s">
        <v>531</v>
      </c>
      <c r="J13" s="82" t="s">
        <v>1693</v>
      </c>
      <c r="K13" s="82" t="s">
        <v>117</v>
      </c>
      <c r="L13" s="86" t="s">
        <v>377</v>
      </c>
      <c r="M13" s="86">
        <v>46177.652083333334</v>
      </c>
      <c r="N13" s="82" t="s">
        <v>1694</v>
      </c>
      <c r="O13" s="35" t="s">
        <v>108</v>
      </c>
      <c r="P13" s="10"/>
      <c r="Q13" s="26" t="s">
        <v>108</v>
      </c>
      <c r="R13" s="10"/>
      <c r="S13" s="26" t="s">
        <v>14</v>
      </c>
      <c r="T13" s="10"/>
      <c r="U13" s="26" t="s">
        <v>14</v>
      </c>
      <c r="V13" s="10"/>
      <c r="W13" s="26" t="s">
        <v>14</v>
      </c>
      <c r="X13" s="10"/>
      <c r="Y13" s="26" t="s">
        <v>14</v>
      </c>
      <c r="Z13" s="10"/>
      <c r="AA13" s="26" t="s">
        <v>14</v>
      </c>
      <c r="AB13" s="10"/>
      <c r="AC13" s="26" t="s">
        <v>114</v>
      </c>
      <c r="AD13" s="10" t="s">
        <v>164</v>
      </c>
      <c r="AE13" s="26" t="s">
        <v>108</v>
      </c>
      <c r="AF13" s="25" t="str">
        <f t="shared" si="1"/>
        <v>NC</v>
      </c>
      <c r="AG13" s="59" t="str">
        <f t="shared" si="0"/>
        <v>UTILIZOU O PDA CORRETAMENTE. NÃO HÁ FOTOS DE TODAS AS ETAPAS</v>
      </c>
      <c r="AH13" s="26" t="s">
        <v>108</v>
      </c>
      <c r="AI13" s="29" t="s">
        <v>1</v>
      </c>
      <c r="AJ13" s="29" t="str">
        <f t="shared" si="2"/>
        <v>GUARULHOS</v>
      </c>
      <c r="AK13" s="14" t="s">
        <v>13</v>
      </c>
    </row>
    <row r="14" spans="1:37" ht="30" customHeight="1" x14ac:dyDescent="0.2">
      <c r="A14" s="82" t="s">
        <v>101</v>
      </c>
      <c r="B14" s="82">
        <v>2613698947</v>
      </c>
      <c r="C14" s="82" t="s">
        <v>1734</v>
      </c>
      <c r="D14" s="82" t="s">
        <v>53</v>
      </c>
      <c r="E14" s="82" t="s">
        <v>102</v>
      </c>
      <c r="F14" s="82" t="s">
        <v>238</v>
      </c>
      <c r="G14" s="82">
        <v>1062</v>
      </c>
      <c r="H14" s="82" t="s">
        <v>1735</v>
      </c>
      <c r="I14" s="82" t="s">
        <v>162</v>
      </c>
      <c r="J14" s="82" t="s">
        <v>1736</v>
      </c>
      <c r="K14" s="88" t="s">
        <v>1737</v>
      </c>
      <c r="L14" s="86" t="s">
        <v>377</v>
      </c>
      <c r="M14" s="86">
        <v>46177.570138888892</v>
      </c>
      <c r="N14" s="82" t="s">
        <v>1738</v>
      </c>
      <c r="O14" s="35" t="s">
        <v>14</v>
      </c>
      <c r="P14" s="10"/>
      <c r="Q14" s="26" t="s">
        <v>14</v>
      </c>
      <c r="R14" s="10"/>
      <c r="S14" s="26" t="s">
        <v>14</v>
      </c>
      <c r="T14" s="10"/>
      <c r="U14" s="26" t="s">
        <v>14</v>
      </c>
      <c r="V14" s="10"/>
      <c r="W14" s="26" t="s">
        <v>14</v>
      </c>
      <c r="X14" s="10"/>
      <c r="Y14" s="26" t="s">
        <v>14</v>
      </c>
      <c r="Z14" s="10"/>
      <c r="AA14" s="26" t="s">
        <v>14</v>
      </c>
      <c r="AB14" s="10"/>
      <c r="AC14" s="26" t="s">
        <v>14</v>
      </c>
      <c r="AD14" s="10"/>
      <c r="AE14" s="26" t="s">
        <v>14</v>
      </c>
      <c r="AF14" s="25" t="str">
        <f t="shared" si="1"/>
        <v>NA</v>
      </c>
      <c r="AG14" s="59" t="str">
        <f t="shared" si="0"/>
        <v>NÃO AVALIADO POR FALHA DE SINCRONISMO</v>
      </c>
      <c r="AH14" s="26" t="s">
        <v>108</v>
      </c>
      <c r="AI14" s="29" t="s">
        <v>1</v>
      </c>
      <c r="AJ14" s="29" t="str">
        <f t="shared" si="2"/>
        <v>GUARULHOS</v>
      </c>
      <c r="AK14" s="14" t="s">
        <v>13</v>
      </c>
    </row>
    <row r="15" spans="1:37" ht="30" customHeight="1" x14ac:dyDescent="0.2">
      <c r="A15" s="82" t="s">
        <v>101</v>
      </c>
      <c r="B15" s="82">
        <v>2613698470</v>
      </c>
      <c r="C15" s="82" t="s">
        <v>1734</v>
      </c>
      <c r="D15" s="82" t="s">
        <v>53</v>
      </c>
      <c r="E15" s="82" t="s">
        <v>102</v>
      </c>
      <c r="F15" s="82" t="s">
        <v>161</v>
      </c>
      <c r="G15" s="82">
        <v>212</v>
      </c>
      <c r="H15" s="82"/>
      <c r="I15" s="82" t="s">
        <v>162</v>
      </c>
      <c r="J15" s="82" t="s">
        <v>1736</v>
      </c>
      <c r="K15" s="88" t="s">
        <v>1739</v>
      </c>
      <c r="L15" s="86" t="s">
        <v>377</v>
      </c>
      <c r="M15" s="86">
        <v>46177.582638888889</v>
      </c>
      <c r="N15" s="82" t="s">
        <v>1740</v>
      </c>
      <c r="O15" s="35" t="s">
        <v>14</v>
      </c>
      <c r="P15" s="10"/>
      <c r="Q15" s="26" t="s">
        <v>14</v>
      </c>
      <c r="R15" s="10"/>
      <c r="S15" s="26" t="s">
        <v>14</v>
      </c>
      <c r="T15" s="10"/>
      <c r="U15" s="26" t="s">
        <v>14</v>
      </c>
      <c r="V15" s="10"/>
      <c r="W15" s="26" t="s">
        <v>14</v>
      </c>
      <c r="X15" s="10"/>
      <c r="Y15" s="26" t="s">
        <v>14</v>
      </c>
      <c r="Z15" s="10"/>
      <c r="AA15" s="26" t="s">
        <v>14</v>
      </c>
      <c r="AB15" s="10"/>
      <c r="AC15" s="26" t="s">
        <v>14</v>
      </c>
      <c r="AD15" s="10"/>
      <c r="AE15" s="26" t="s">
        <v>14</v>
      </c>
      <c r="AF15" s="25" t="str">
        <f t="shared" si="1"/>
        <v>NA</v>
      </c>
      <c r="AG15" s="59" t="str">
        <f t="shared" si="0"/>
        <v>NÃO AVALIADO POR FALHA DE SINCRONISMO</v>
      </c>
      <c r="AH15" s="26" t="s">
        <v>108</v>
      </c>
      <c r="AI15" s="29" t="s">
        <v>1</v>
      </c>
      <c r="AJ15" s="29" t="str">
        <f t="shared" si="2"/>
        <v>GUARULHOS</v>
      </c>
      <c r="AK15" s="14" t="s">
        <v>13</v>
      </c>
    </row>
    <row r="16" spans="1:37" ht="30" customHeight="1" x14ac:dyDescent="0.2">
      <c r="A16" s="82" t="s">
        <v>101</v>
      </c>
      <c r="B16" s="82">
        <v>2613699010</v>
      </c>
      <c r="C16" s="82" t="s">
        <v>1734</v>
      </c>
      <c r="D16" s="82" t="s">
        <v>53</v>
      </c>
      <c r="E16" s="82" t="s">
        <v>102</v>
      </c>
      <c r="F16" s="82" t="s">
        <v>161</v>
      </c>
      <c r="G16" s="82">
        <v>240</v>
      </c>
      <c r="H16" s="82" t="s">
        <v>1741</v>
      </c>
      <c r="I16" s="82" t="s">
        <v>162</v>
      </c>
      <c r="J16" s="82" t="s">
        <v>1736</v>
      </c>
      <c r="K16" s="88" t="s">
        <v>1742</v>
      </c>
      <c r="L16" s="86" t="s">
        <v>377</v>
      </c>
      <c r="M16" s="86">
        <v>46177.584722222222</v>
      </c>
      <c r="N16" s="82" t="s">
        <v>1740</v>
      </c>
      <c r="O16" s="35" t="s">
        <v>14</v>
      </c>
      <c r="P16" s="10"/>
      <c r="Q16" s="26" t="s">
        <v>14</v>
      </c>
      <c r="R16" s="10"/>
      <c r="S16" s="26" t="s">
        <v>14</v>
      </c>
      <c r="T16" s="10"/>
      <c r="U16" s="26" t="s">
        <v>14</v>
      </c>
      <c r="V16" s="10"/>
      <c r="W16" s="26" t="s">
        <v>14</v>
      </c>
      <c r="X16" s="10"/>
      <c r="Y16" s="26" t="s">
        <v>14</v>
      </c>
      <c r="Z16" s="10"/>
      <c r="AA16" s="26" t="s">
        <v>14</v>
      </c>
      <c r="AB16" s="10"/>
      <c r="AC16" s="26" t="s">
        <v>14</v>
      </c>
      <c r="AD16" s="10"/>
      <c r="AE16" s="26" t="s">
        <v>14</v>
      </c>
      <c r="AF16" s="25" t="str">
        <f t="shared" si="1"/>
        <v>NA</v>
      </c>
      <c r="AG16" s="59" t="str">
        <f t="shared" si="0"/>
        <v>NÃO AVALIADO POR FALHA DE SINCRONISMO</v>
      </c>
      <c r="AH16" s="26" t="s">
        <v>108</v>
      </c>
      <c r="AI16" s="29" t="s">
        <v>1</v>
      </c>
      <c r="AJ16" s="29" t="str">
        <f t="shared" si="2"/>
        <v>GUARULHOS</v>
      </c>
      <c r="AK16" s="14" t="s">
        <v>13</v>
      </c>
    </row>
    <row r="17" spans="1:37" ht="30" customHeight="1" x14ac:dyDescent="0.2">
      <c r="A17" s="82" t="s">
        <v>101</v>
      </c>
      <c r="B17" s="82">
        <v>2613727920</v>
      </c>
      <c r="C17" s="82" t="s">
        <v>1734</v>
      </c>
      <c r="D17" s="82" t="s">
        <v>53</v>
      </c>
      <c r="E17" s="82" t="s">
        <v>102</v>
      </c>
      <c r="F17" s="82" t="s">
        <v>161</v>
      </c>
      <c r="G17" s="82">
        <v>329</v>
      </c>
      <c r="H17" s="82" t="s">
        <v>1743</v>
      </c>
      <c r="I17" s="82" t="s">
        <v>162</v>
      </c>
      <c r="J17" s="82" t="s">
        <v>1736</v>
      </c>
      <c r="K17" s="88" t="s">
        <v>1742</v>
      </c>
      <c r="L17" s="86" t="s">
        <v>377</v>
      </c>
      <c r="M17" s="86">
        <v>46177.595138888886</v>
      </c>
      <c r="N17" s="82" t="s">
        <v>1740</v>
      </c>
      <c r="O17" s="35" t="s">
        <v>14</v>
      </c>
      <c r="P17" s="10"/>
      <c r="Q17" s="26" t="s">
        <v>14</v>
      </c>
      <c r="R17" s="10"/>
      <c r="S17" s="26" t="s">
        <v>14</v>
      </c>
      <c r="T17" s="10"/>
      <c r="U17" s="26" t="s">
        <v>14</v>
      </c>
      <c r="V17" s="10"/>
      <c r="W17" s="26" t="s">
        <v>14</v>
      </c>
      <c r="X17" s="10"/>
      <c r="Y17" s="26" t="s">
        <v>14</v>
      </c>
      <c r="Z17" s="10"/>
      <c r="AA17" s="26" t="s">
        <v>14</v>
      </c>
      <c r="AB17" s="10"/>
      <c r="AC17" s="26" t="s">
        <v>14</v>
      </c>
      <c r="AD17" s="10"/>
      <c r="AE17" s="26" t="s">
        <v>14</v>
      </c>
      <c r="AF17" s="25" t="str">
        <f t="shared" si="1"/>
        <v>NA</v>
      </c>
      <c r="AG17" s="59" t="str">
        <f t="shared" si="0"/>
        <v>NÃO AVALIADO POR FALHA DE SINCRONISMO</v>
      </c>
      <c r="AH17" s="26" t="s">
        <v>108</v>
      </c>
      <c r="AI17" s="29" t="s">
        <v>1</v>
      </c>
      <c r="AJ17" s="29" t="str">
        <f t="shared" si="2"/>
        <v>GUARULHOS</v>
      </c>
      <c r="AK17" s="14" t="s">
        <v>13</v>
      </c>
    </row>
    <row r="18" spans="1:37" ht="30" customHeight="1" x14ac:dyDescent="0.2">
      <c r="A18" s="82" t="s">
        <v>101</v>
      </c>
      <c r="B18" s="82">
        <v>2613727834</v>
      </c>
      <c r="C18" s="82" t="s">
        <v>1734</v>
      </c>
      <c r="D18" s="82" t="s">
        <v>53</v>
      </c>
      <c r="E18" s="82" t="s">
        <v>102</v>
      </c>
      <c r="F18" s="82" t="s">
        <v>161</v>
      </c>
      <c r="G18" s="82">
        <v>264</v>
      </c>
      <c r="H18" s="82" t="s">
        <v>1744</v>
      </c>
      <c r="I18" s="82" t="s">
        <v>162</v>
      </c>
      <c r="J18" s="82" t="s">
        <v>1736</v>
      </c>
      <c r="K18" s="88" t="s">
        <v>1742</v>
      </c>
      <c r="L18" s="86" t="s">
        <v>377</v>
      </c>
      <c r="M18" s="86">
        <v>46177.590277777781</v>
      </c>
      <c r="N18" s="82" t="s">
        <v>1740</v>
      </c>
      <c r="O18" s="35" t="s">
        <v>14</v>
      </c>
      <c r="P18" s="10"/>
      <c r="Q18" s="26" t="s">
        <v>14</v>
      </c>
      <c r="R18" s="10"/>
      <c r="S18" s="26" t="s">
        <v>14</v>
      </c>
      <c r="T18" s="10"/>
      <c r="U18" s="26" t="s">
        <v>14</v>
      </c>
      <c r="V18" s="10"/>
      <c r="W18" s="26" t="s">
        <v>14</v>
      </c>
      <c r="X18" s="10"/>
      <c r="Y18" s="26" t="s">
        <v>14</v>
      </c>
      <c r="Z18" s="10"/>
      <c r="AA18" s="26" t="s">
        <v>14</v>
      </c>
      <c r="AB18" s="10"/>
      <c r="AC18" s="26" t="s">
        <v>14</v>
      </c>
      <c r="AD18" s="10"/>
      <c r="AE18" s="26" t="s">
        <v>14</v>
      </c>
      <c r="AF18" s="25" t="str">
        <f t="shared" si="1"/>
        <v>NA</v>
      </c>
      <c r="AG18" s="59" t="str">
        <f t="shared" si="0"/>
        <v>NÃO AVALIADO POR FALHA DE SINCRONISMO</v>
      </c>
      <c r="AH18" s="26" t="s">
        <v>108</v>
      </c>
      <c r="AI18" s="29" t="s">
        <v>1</v>
      </c>
      <c r="AJ18" s="29" t="str">
        <f t="shared" si="2"/>
        <v>GUARULHOS</v>
      </c>
      <c r="AK18" s="14" t="s">
        <v>13</v>
      </c>
    </row>
    <row r="19" spans="1:37" ht="30" customHeight="1" x14ac:dyDescent="0.2">
      <c r="A19" s="82" t="s">
        <v>101</v>
      </c>
      <c r="B19" s="82">
        <v>2613699300</v>
      </c>
      <c r="C19" s="82" t="s">
        <v>1734</v>
      </c>
      <c r="D19" s="82" t="s">
        <v>53</v>
      </c>
      <c r="E19" s="82" t="s">
        <v>102</v>
      </c>
      <c r="F19" s="82" t="s">
        <v>161</v>
      </c>
      <c r="G19" s="82">
        <v>229</v>
      </c>
      <c r="H19" s="82" t="s">
        <v>1745</v>
      </c>
      <c r="I19" s="82" t="s">
        <v>162</v>
      </c>
      <c r="J19" s="82" t="s">
        <v>1736</v>
      </c>
      <c r="K19" s="88" t="s">
        <v>1742</v>
      </c>
      <c r="L19" s="86" t="s">
        <v>377</v>
      </c>
      <c r="M19" s="86">
        <v>46177.586805555555</v>
      </c>
      <c r="N19" s="82" t="s">
        <v>1740</v>
      </c>
      <c r="O19" s="35" t="s">
        <v>14</v>
      </c>
      <c r="P19" s="10"/>
      <c r="Q19" s="26" t="s">
        <v>14</v>
      </c>
      <c r="R19" s="10"/>
      <c r="S19" s="26" t="s">
        <v>14</v>
      </c>
      <c r="T19" s="10"/>
      <c r="U19" s="26" t="s">
        <v>14</v>
      </c>
      <c r="V19" s="10"/>
      <c r="W19" s="26" t="s">
        <v>14</v>
      </c>
      <c r="X19" s="10"/>
      <c r="Y19" s="26" t="s">
        <v>14</v>
      </c>
      <c r="Z19" s="10"/>
      <c r="AA19" s="26" t="s">
        <v>14</v>
      </c>
      <c r="AB19" s="10"/>
      <c r="AC19" s="26" t="s">
        <v>14</v>
      </c>
      <c r="AD19" s="10"/>
      <c r="AE19" s="26" t="s">
        <v>14</v>
      </c>
      <c r="AF19" s="25" t="str">
        <f t="shared" si="1"/>
        <v>NA</v>
      </c>
      <c r="AG19" s="59" t="str">
        <f t="shared" si="0"/>
        <v>NÃO AVALIADO POR FALHA DE SINCRONISMO</v>
      </c>
      <c r="AH19" s="26" t="s">
        <v>108</v>
      </c>
      <c r="AI19" s="29" t="s">
        <v>1</v>
      </c>
      <c r="AJ19" s="29" t="str">
        <f t="shared" si="2"/>
        <v>GUARULHOS</v>
      </c>
      <c r="AK19" s="14" t="s">
        <v>13</v>
      </c>
    </row>
    <row r="20" spans="1:37" ht="30" customHeight="1" x14ac:dyDescent="0.2">
      <c r="A20" s="82" t="s">
        <v>101</v>
      </c>
      <c r="B20" s="82">
        <v>2613726606</v>
      </c>
      <c r="C20" s="82" t="s">
        <v>1734</v>
      </c>
      <c r="D20" s="82" t="s">
        <v>53</v>
      </c>
      <c r="E20" s="82" t="s">
        <v>102</v>
      </c>
      <c r="F20" s="82" t="s">
        <v>197</v>
      </c>
      <c r="G20" s="82">
        <v>355</v>
      </c>
      <c r="H20" s="82" t="s">
        <v>1746</v>
      </c>
      <c r="I20" s="82" t="s">
        <v>162</v>
      </c>
      <c r="J20" s="82" t="s">
        <v>1736</v>
      </c>
      <c r="K20" s="88" t="s">
        <v>1747</v>
      </c>
      <c r="L20" s="86" t="s">
        <v>377</v>
      </c>
      <c r="M20" s="86">
        <v>46177.57708333333</v>
      </c>
      <c r="N20" s="82" t="s">
        <v>1740</v>
      </c>
      <c r="O20" s="35" t="s">
        <v>14</v>
      </c>
      <c r="P20" s="10"/>
      <c r="Q20" s="26" t="s">
        <v>14</v>
      </c>
      <c r="R20" s="10"/>
      <c r="S20" s="26" t="s">
        <v>14</v>
      </c>
      <c r="T20" s="10"/>
      <c r="U20" s="26" t="s">
        <v>14</v>
      </c>
      <c r="V20" s="10"/>
      <c r="W20" s="26" t="s">
        <v>14</v>
      </c>
      <c r="X20" s="10"/>
      <c r="Y20" s="26" t="s">
        <v>14</v>
      </c>
      <c r="Z20" s="10"/>
      <c r="AA20" s="26" t="s">
        <v>14</v>
      </c>
      <c r="AB20" s="10"/>
      <c r="AC20" s="26" t="s">
        <v>14</v>
      </c>
      <c r="AD20" s="10"/>
      <c r="AE20" s="26" t="s">
        <v>14</v>
      </c>
      <c r="AF20" s="25" t="str">
        <f t="shared" si="1"/>
        <v>NA</v>
      </c>
      <c r="AG20" s="59" t="str">
        <f t="shared" si="0"/>
        <v>NÃO AVALIADO POR FALHA DE SINCRONISMO</v>
      </c>
      <c r="AH20" s="26" t="s">
        <v>108</v>
      </c>
      <c r="AI20" s="29" t="s">
        <v>1</v>
      </c>
      <c r="AJ20" s="29" t="str">
        <f t="shared" si="2"/>
        <v>GUARULHOS</v>
      </c>
      <c r="AK20" s="14" t="s">
        <v>13</v>
      </c>
    </row>
    <row r="21" spans="1:37" ht="30" customHeight="1" x14ac:dyDescent="0.2">
      <c r="A21" s="82" t="s">
        <v>101</v>
      </c>
      <c r="B21" s="82">
        <v>2613699185</v>
      </c>
      <c r="C21" s="82" t="s">
        <v>1734</v>
      </c>
      <c r="D21" s="82" t="s">
        <v>53</v>
      </c>
      <c r="E21" s="82" t="s">
        <v>102</v>
      </c>
      <c r="F21" s="82" t="s">
        <v>161</v>
      </c>
      <c r="G21" s="82">
        <v>223</v>
      </c>
      <c r="H21" s="82"/>
      <c r="I21" s="82" t="s">
        <v>162</v>
      </c>
      <c r="J21" s="82" t="s">
        <v>1736</v>
      </c>
      <c r="K21" s="88" t="s">
        <v>1742</v>
      </c>
      <c r="L21" s="86" t="s">
        <v>377</v>
      </c>
      <c r="M21" s="86">
        <v>46177.585416666669</v>
      </c>
      <c r="N21" s="82" t="s">
        <v>1740</v>
      </c>
      <c r="O21" s="35" t="s">
        <v>14</v>
      </c>
      <c r="P21" s="10"/>
      <c r="Q21" s="26" t="s">
        <v>14</v>
      </c>
      <c r="R21" s="10"/>
      <c r="S21" s="26" t="s">
        <v>14</v>
      </c>
      <c r="T21" s="10"/>
      <c r="U21" s="26" t="s">
        <v>14</v>
      </c>
      <c r="V21" s="10"/>
      <c r="W21" s="26" t="s">
        <v>14</v>
      </c>
      <c r="X21" s="10"/>
      <c r="Y21" s="26" t="s">
        <v>14</v>
      </c>
      <c r="Z21" s="10"/>
      <c r="AA21" s="26" t="s">
        <v>14</v>
      </c>
      <c r="AB21" s="10"/>
      <c r="AC21" s="26" t="s">
        <v>14</v>
      </c>
      <c r="AD21" s="10"/>
      <c r="AE21" s="26" t="s">
        <v>14</v>
      </c>
      <c r="AF21" s="25" t="str">
        <f t="shared" si="1"/>
        <v>NA</v>
      </c>
      <c r="AG21" s="59" t="str">
        <f t="shared" si="0"/>
        <v>NÃO AVALIADO POR FALHA DE SINCRONISMO</v>
      </c>
      <c r="AH21" s="26" t="s">
        <v>108</v>
      </c>
      <c r="AI21" s="29" t="s">
        <v>1</v>
      </c>
      <c r="AJ21" s="29" t="str">
        <f t="shared" si="2"/>
        <v>GUARULHOS</v>
      </c>
      <c r="AK21" s="14" t="s">
        <v>13</v>
      </c>
    </row>
    <row r="22" spans="1:37" ht="30" customHeight="1" x14ac:dyDescent="0.2">
      <c r="A22" s="82" t="s">
        <v>101</v>
      </c>
      <c r="B22" s="82">
        <v>2613726079</v>
      </c>
      <c r="C22" s="82" t="s">
        <v>1734</v>
      </c>
      <c r="D22" s="82" t="s">
        <v>53</v>
      </c>
      <c r="E22" s="82" t="s">
        <v>102</v>
      </c>
      <c r="F22" s="82" t="s">
        <v>272</v>
      </c>
      <c r="G22" s="82">
        <v>532</v>
      </c>
      <c r="H22" s="82" t="s">
        <v>117</v>
      </c>
      <c r="I22" s="82" t="s">
        <v>162</v>
      </c>
      <c r="J22" s="82" t="s">
        <v>1736</v>
      </c>
      <c r="K22" s="88" t="s">
        <v>1748</v>
      </c>
      <c r="L22" s="86" t="s">
        <v>377</v>
      </c>
      <c r="M22" s="86">
        <v>46177.57916666667</v>
      </c>
      <c r="N22" s="82" t="s">
        <v>1740</v>
      </c>
      <c r="O22" s="35" t="s">
        <v>14</v>
      </c>
      <c r="P22" s="10"/>
      <c r="Q22" s="26" t="s">
        <v>14</v>
      </c>
      <c r="R22" s="10"/>
      <c r="S22" s="26" t="s">
        <v>14</v>
      </c>
      <c r="T22" s="10"/>
      <c r="U22" s="26" t="s">
        <v>14</v>
      </c>
      <c r="V22" s="10"/>
      <c r="W22" s="26" t="s">
        <v>14</v>
      </c>
      <c r="X22" s="10"/>
      <c r="Y22" s="26" t="s">
        <v>14</v>
      </c>
      <c r="Z22" s="10"/>
      <c r="AA22" s="26" t="s">
        <v>14</v>
      </c>
      <c r="AB22" s="10"/>
      <c r="AC22" s="26" t="s">
        <v>14</v>
      </c>
      <c r="AD22" s="10"/>
      <c r="AE22" s="26" t="s">
        <v>14</v>
      </c>
      <c r="AF22" s="25" t="str">
        <f t="shared" si="1"/>
        <v>NA</v>
      </c>
      <c r="AG22" s="59" t="str">
        <f t="shared" si="0"/>
        <v>NÃO AVALIADO POR FALHA DE SINCRONISMO</v>
      </c>
      <c r="AH22" s="26" t="s">
        <v>108</v>
      </c>
      <c r="AI22" s="29" t="s">
        <v>1</v>
      </c>
      <c r="AJ22" s="29" t="str">
        <f t="shared" si="2"/>
        <v>GUARULHOS</v>
      </c>
      <c r="AK22" s="14" t="s">
        <v>13</v>
      </c>
    </row>
    <row r="23" spans="1:37" ht="30" customHeight="1" x14ac:dyDescent="0.2">
      <c r="A23" s="82" t="s">
        <v>101</v>
      </c>
      <c r="B23" s="82">
        <v>2613727740</v>
      </c>
      <c r="C23" s="82" t="s">
        <v>1734</v>
      </c>
      <c r="D23" s="82" t="s">
        <v>53</v>
      </c>
      <c r="E23" s="82" t="s">
        <v>102</v>
      </c>
      <c r="F23" s="82" t="s">
        <v>161</v>
      </c>
      <c r="G23" s="82">
        <v>323</v>
      </c>
      <c r="H23" s="82"/>
      <c r="I23" s="82" t="s">
        <v>162</v>
      </c>
      <c r="J23" s="82" t="s">
        <v>1736</v>
      </c>
      <c r="K23" s="88" t="s">
        <v>1742</v>
      </c>
      <c r="L23" s="86" t="s">
        <v>377</v>
      </c>
      <c r="M23" s="86">
        <v>46177.589583333334</v>
      </c>
      <c r="N23" s="82" t="s">
        <v>1740</v>
      </c>
      <c r="O23" s="35" t="s">
        <v>14</v>
      </c>
      <c r="P23" s="10"/>
      <c r="Q23" s="26" t="s">
        <v>14</v>
      </c>
      <c r="R23" s="10"/>
      <c r="S23" s="26" t="s">
        <v>14</v>
      </c>
      <c r="T23" s="10"/>
      <c r="U23" s="26" t="s">
        <v>14</v>
      </c>
      <c r="V23" s="10"/>
      <c r="W23" s="26" t="s">
        <v>14</v>
      </c>
      <c r="X23" s="10"/>
      <c r="Y23" s="26" t="s">
        <v>14</v>
      </c>
      <c r="Z23" s="10"/>
      <c r="AA23" s="26" t="s">
        <v>14</v>
      </c>
      <c r="AB23" s="10"/>
      <c r="AC23" s="26" t="s">
        <v>14</v>
      </c>
      <c r="AD23" s="10"/>
      <c r="AE23" s="26" t="s">
        <v>14</v>
      </c>
      <c r="AF23" s="25" t="str">
        <f t="shared" si="1"/>
        <v>NA</v>
      </c>
      <c r="AG23" s="59" t="str">
        <f t="shared" si="0"/>
        <v>NÃO AVALIADO POR FALHA DE SINCRONISMO</v>
      </c>
      <c r="AH23" s="26" t="s">
        <v>108</v>
      </c>
      <c r="AI23" s="29" t="s">
        <v>1</v>
      </c>
      <c r="AJ23" s="29" t="str">
        <f t="shared" ref="AJ23:AJ35" si="3">E23</f>
        <v>GUARULHOS</v>
      </c>
      <c r="AK23" s="14" t="s">
        <v>13</v>
      </c>
    </row>
    <row r="24" spans="1:37" ht="30" customHeight="1" x14ac:dyDescent="0.2">
      <c r="A24" s="82" t="s">
        <v>101</v>
      </c>
      <c r="B24" s="82">
        <v>2613726269</v>
      </c>
      <c r="C24" s="82" t="s">
        <v>1734</v>
      </c>
      <c r="D24" s="82" t="s">
        <v>53</v>
      </c>
      <c r="E24" s="82" t="s">
        <v>102</v>
      </c>
      <c r="F24" s="82" t="s">
        <v>272</v>
      </c>
      <c r="G24" s="82">
        <v>522</v>
      </c>
      <c r="H24" s="82" t="s">
        <v>117</v>
      </c>
      <c r="I24" s="82" t="s">
        <v>162</v>
      </c>
      <c r="J24" s="82" t="s">
        <v>1736</v>
      </c>
      <c r="K24" s="88" t="s">
        <v>1748</v>
      </c>
      <c r="L24" s="86" t="s">
        <v>377</v>
      </c>
      <c r="M24" s="86">
        <v>46177.580555555556</v>
      </c>
      <c r="N24" s="82" t="s">
        <v>1740</v>
      </c>
      <c r="O24" s="35" t="s">
        <v>14</v>
      </c>
      <c r="P24" s="10"/>
      <c r="Q24" s="26" t="s">
        <v>14</v>
      </c>
      <c r="R24" s="10"/>
      <c r="S24" s="26" t="s">
        <v>14</v>
      </c>
      <c r="T24" s="10"/>
      <c r="U24" s="26" t="s">
        <v>14</v>
      </c>
      <c r="V24" s="10"/>
      <c r="W24" s="26" t="s">
        <v>14</v>
      </c>
      <c r="X24" s="10"/>
      <c r="Y24" s="26" t="s">
        <v>14</v>
      </c>
      <c r="Z24" s="10"/>
      <c r="AA24" s="26" t="s">
        <v>14</v>
      </c>
      <c r="AB24" s="10"/>
      <c r="AC24" s="26" t="s">
        <v>14</v>
      </c>
      <c r="AD24" s="10"/>
      <c r="AE24" s="26" t="s">
        <v>14</v>
      </c>
      <c r="AF24" s="25" t="str">
        <f t="shared" si="1"/>
        <v>NA</v>
      </c>
      <c r="AG24" s="59" t="str">
        <f t="shared" si="0"/>
        <v>NÃO AVALIADO POR FALHA DE SINCRONISMO</v>
      </c>
      <c r="AH24" s="26" t="s">
        <v>108</v>
      </c>
      <c r="AI24" s="29" t="s">
        <v>1</v>
      </c>
      <c r="AJ24" s="29" t="str">
        <f t="shared" si="3"/>
        <v>GUARULHOS</v>
      </c>
      <c r="AK24" s="14" t="s">
        <v>13</v>
      </c>
    </row>
    <row r="25" spans="1:37" ht="30" customHeight="1" x14ac:dyDescent="0.2">
      <c r="A25" s="82" t="s">
        <v>101</v>
      </c>
      <c r="B25" s="82">
        <v>2613728021</v>
      </c>
      <c r="C25" s="82" t="s">
        <v>1734</v>
      </c>
      <c r="D25" s="82" t="s">
        <v>53</v>
      </c>
      <c r="E25" s="82" t="s">
        <v>102</v>
      </c>
      <c r="F25" s="82" t="s">
        <v>161</v>
      </c>
      <c r="G25" s="82">
        <v>270</v>
      </c>
      <c r="H25" s="82" t="s">
        <v>1749</v>
      </c>
      <c r="I25" s="82" t="s">
        <v>162</v>
      </c>
      <c r="J25" s="82" t="s">
        <v>1736</v>
      </c>
      <c r="K25" s="88" t="s">
        <v>1742</v>
      </c>
      <c r="L25" s="86" t="s">
        <v>377</v>
      </c>
      <c r="M25" s="86">
        <v>46177.595833333333</v>
      </c>
      <c r="N25" s="82" t="s">
        <v>1740</v>
      </c>
      <c r="O25" s="35" t="s">
        <v>14</v>
      </c>
      <c r="P25" s="10"/>
      <c r="Q25" s="26" t="s">
        <v>14</v>
      </c>
      <c r="R25" s="10"/>
      <c r="S25" s="26" t="s">
        <v>14</v>
      </c>
      <c r="T25" s="10"/>
      <c r="U25" s="26" t="s">
        <v>14</v>
      </c>
      <c r="V25" s="10"/>
      <c r="W25" s="26" t="s">
        <v>14</v>
      </c>
      <c r="X25" s="10"/>
      <c r="Y25" s="26" t="s">
        <v>14</v>
      </c>
      <c r="Z25" s="10"/>
      <c r="AA25" s="26" t="s">
        <v>14</v>
      </c>
      <c r="AB25" s="10"/>
      <c r="AC25" s="26" t="s">
        <v>14</v>
      </c>
      <c r="AD25" s="10"/>
      <c r="AE25" s="26" t="s">
        <v>14</v>
      </c>
      <c r="AF25" s="25" t="str">
        <f t="shared" si="1"/>
        <v>NA</v>
      </c>
      <c r="AG25" s="59" t="str">
        <f t="shared" si="0"/>
        <v>NÃO AVALIADO POR FALHA DE SINCRONISMO</v>
      </c>
      <c r="AH25" s="26" t="s">
        <v>108</v>
      </c>
      <c r="AI25" s="29" t="s">
        <v>1</v>
      </c>
      <c r="AJ25" s="29" t="str">
        <f t="shared" si="3"/>
        <v>GUARULHOS</v>
      </c>
      <c r="AK25" s="14" t="s">
        <v>13</v>
      </c>
    </row>
    <row r="26" spans="1:37" ht="30" customHeight="1" x14ac:dyDescent="0.2">
      <c r="A26" s="82" t="s">
        <v>101</v>
      </c>
      <c r="B26" s="82">
        <v>2613727742</v>
      </c>
      <c r="C26" s="82" t="s">
        <v>1734</v>
      </c>
      <c r="D26" s="82" t="s">
        <v>53</v>
      </c>
      <c r="E26" s="82" t="s">
        <v>102</v>
      </c>
      <c r="F26" s="82" t="s">
        <v>161</v>
      </c>
      <c r="G26" s="82">
        <v>262</v>
      </c>
      <c r="H26" s="82" t="s">
        <v>117</v>
      </c>
      <c r="I26" s="82" t="s">
        <v>162</v>
      </c>
      <c r="J26" s="82" t="s">
        <v>1736</v>
      </c>
      <c r="K26" s="88" t="s">
        <v>1742</v>
      </c>
      <c r="L26" s="86" t="s">
        <v>377</v>
      </c>
      <c r="M26" s="86">
        <v>46177.588888888888</v>
      </c>
      <c r="N26" s="82" t="s">
        <v>1740</v>
      </c>
      <c r="O26" s="35" t="s">
        <v>14</v>
      </c>
      <c r="P26" s="10"/>
      <c r="Q26" s="26" t="s">
        <v>14</v>
      </c>
      <c r="R26" s="10"/>
      <c r="S26" s="26" t="s">
        <v>14</v>
      </c>
      <c r="T26" s="10"/>
      <c r="U26" s="26" t="s">
        <v>14</v>
      </c>
      <c r="V26" s="10"/>
      <c r="W26" s="26" t="s">
        <v>14</v>
      </c>
      <c r="X26" s="10"/>
      <c r="Y26" s="26" t="s">
        <v>14</v>
      </c>
      <c r="Z26" s="10"/>
      <c r="AA26" s="26" t="s">
        <v>14</v>
      </c>
      <c r="AB26" s="10"/>
      <c r="AC26" s="26" t="s">
        <v>14</v>
      </c>
      <c r="AD26" s="10"/>
      <c r="AE26" s="26" t="s">
        <v>14</v>
      </c>
      <c r="AF26" s="25" t="str">
        <f t="shared" si="1"/>
        <v>NA</v>
      </c>
      <c r="AG26" s="59" t="str">
        <f t="shared" si="0"/>
        <v>NÃO AVALIADO POR FALHA DE SINCRONISMO</v>
      </c>
      <c r="AH26" s="26" t="s">
        <v>108</v>
      </c>
      <c r="AI26" s="29" t="s">
        <v>1</v>
      </c>
      <c r="AJ26" s="29" t="str">
        <f t="shared" si="3"/>
        <v>GUARULHOS</v>
      </c>
      <c r="AK26" s="14" t="s">
        <v>13</v>
      </c>
    </row>
    <row r="27" spans="1:37" ht="30" customHeight="1" x14ac:dyDescent="0.2">
      <c r="A27" s="82" t="s">
        <v>101</v>
      </c>
      <c r="B27" s="82">
        <v>2613699924</v>
      </c>
      <c r="C27" s="82" t="s">
        <v>1734</v>
      </c>
      <c r="D27" s="82" t="s">
        <v>53</v>
      </c>
      <c r="E27" s="82" t="s">
        <v>102</v>
      </c>
      <c r="F27" s="82" t="s">
        <v>161</v>
      </c>
      <c r="G27" s="82">
        <v>232</v>
      </c>
      <c r="H27" s="82" t="s">
        <v>1750</v>
      </c>
      <c r="I27" s="82" t="s">
        <v>162</v>
      </c>
      <c r="J27" s="82" t="s">
        <v>1736</v>
      </c>
      <c r="K27" s="88" t="s">
        <v>1742</v>
      </c>
      <c r="L27" s="86" t="s">
        <v>377</v>
      </c>
      <c r="M27" s="86">
        <v>46177.587500000001</v>
      </c>
      <c r="N27" s="82" t="s">
        <v>1740</v>
      </c>
      <c r="O27" s="35" t="s">
        <v>14</v>
      </c>
      <c r="P27" s="10"/>
      <c r="Q27" s="26" t="s">
        <v>14</v>
      </c>
      <c r="R27" s="10"/>
      <c r="S27" s="26" t="s">
        <v>14</v>
      </c>
      <c r="T27" s="10"/>
      <c r="U27" s="26" t="s">
        <v>14</v>
      </c>
      <c r="V27" s="10"/>
      <c r="W27" s="26" t="s">
        <v>14</v>
      </c>
      <c r="X27" s="10"/>
      <c r="Y27" s="26" t="s">
        <v>14</v>
      </c>
      <c r="Z27" s="10"/>
      <c r="AA27" s="26" t="s">
        <v>14</v>
      </c>
      <c r="AB27" s="10"/>
      <c r="AC27" s="26" t="s">
        <v>14</v>
      </c>
      <c r="AD27" s="10"/>
      <c r="AE27" s="26" t="s">
        <v>14</v>
      </c>
      <c r="AF27" s="25" t="str">
        <f t="shared" si="1"/>
        <v>NA</v>
      </c>
      <c r="AG27" s="59" t="str">
        <f t="shared" si="0"/>
        <v>NÃO AVALIADO POR FALHA DE SINCRONISMO</v>
      </c>
      <c r="AH27" s="26" t="s">
        <v>108</v>
      </c>
      <c r="AI27" s="29" t="s">
        <v>1</v>
      </c>
      <c r="AJ27" s="29" t="str">
        <f t="shared" si="3"/>
        <v>GUARULHOS</v>
      </c>
      <c r="AK27" s="14" t="s">
        <v>13</v>
      </c>
    </row>
    <row r="28" spans="1:37" ht="30" customHeight="1" x14ac:dyDescent="0.2">
      <c r="A28" s="82" t="s">
        <v>101</v>
      </c>
      <c r="B28" s="82">
        <v>2613726858</v>
      </c>
      <c r="C28" s="82" t="s">
        <v>1734</v>
      </c>
      <c r="D28" s="82" t="s">
        <v>53</v>
      </c>
      <c r="E28" s="82" t="s">
        <v>102</v>
      </c>
      <c r="F28" s="82" t="s">
        <v>1751</v>
      </c>
      <c r="G28" s="82">
        <v>12</v>
      </c>
      <c r="H28" s="82" t="s">
        <v>174</v>
      </c>
      <c r="I28" s="82" t="s">
        <v>162</v>
      </c>
      <c r="J28" s="82" t="s">
        <v>1736</v>
      </c>
      <c r="K28" s="88" t="s">
        <v>1739</v>
      </c>
      <c r="L28" s="86" t="s">
        <v>377</v>
      </c>
      <c r="M28" s="86">
        <v>46177.584027777775</v>
      </c>
      <c r="N28" s="82" t="s">
        <v>1740</v>
      </c>
      <c r="O28" s="35" t="s">
        <v>14</v>
      </c>
      <c r="P28" s="10"/>
      <c r="Q28" s="26" t="s">
        <v>14</v>
      </c>
      <c r="R28" s="10"/>
      <c r="S28" s="26" t="s">
        <v>14</v>
      </c>
      <c r="T28" s="10"/>
      <c r="U28" s="26" t="s">
        <v>14</v>
      </c>
      <c r="V28" s="10"/>
      <c r="W28" s="26" t="s">
        <v>14</v>
      </c>
      <c r="X28" s="10"/>
      <c r="Y28" s="26" t="s">
        <v>14</v>
      </c>
      <c r="Z28" s="10"/>
      <c r="AA28" s="26" t="s">
        <v>14</v>
      </c>
      <c r="AB28" s="10"/>
      <c r="AC28" s="26" t="s">
        <v>14</v>
      </c>
      <c r="AD28" s="10"/>
      <c r="AE28" s="26" t="s">
        <v>14</v>
      </c>
      <c r="AF28" s="25" t="str">
        <f t="shared" si="1"/>
        <v>NA</v>
      </c>
      <c r="AG28" s="59" t="str">
        <f t="shared" si="0"/>
        <v>NÃO AVALIADO POR FALHA DE SINCRONISMO</v>
      </c>
      <c r="AH28" s="26" t="s">
        <v>108</v>
      </c>
      <c r="AI28" s="29" t="s">
        <v>1</v>
      </c>
      <c r="AJ28" s="29" t="str">
        <f t="shared" si="3"/>
        <v>GUARULHOS</v>
      </c>
      <c r="AK28" s="14" t="s">
        <v>13</v>
      </c>
    </row>
    <row r="29" spans="1:37" ht="30" customHeight="1" x14ac:dyDescent="0.2">
      <c r="A29" s="82" t="s">
        <v>101</v>
      </c>
      <c r="B29" s="82">
        <v>2615142578</v>
      </c>
      <c r="C29" s="82" t="s">
        <v>1734</v>
      </c>
      <c r="D29" s="82" t="s">
        <v>53</v>
      </c>
      <c r="E29" s="82" t="s">
        <v>102</v>
      </c>
      <c r="F29" s="82" t="s">
        <v>197</v>
      </c>
      <c r="G29" s="82">
        <v>561</v>
      </c>
      <c r="H29" s="82" t="s">
        <v>1764</v>
      </c>
      <c r="I29" s="82" t="s">
        <v>162</v>
      </c>
      <c r="J29" s="82" t="s">
        <v>1736</v>
      </c>
      <c r="K29" s="82" t="s">
        <v>1765</v>
      </c>
      <c r="L29" s="82" t="s">
        <v>653</v>
      </c>
      <c r="M29" s="82" t="s">
        <v>1766</v>
      </c>
      <c r="N29" s="82" t="s">
        <v>1738</v>
      </c>
      <c r="O29" s="36" t="s">
        <v>14</v>
      </c>
      <c r="P29" s="18"/>
      <c r="Q29" s="28" t="s">
        <v>14</v>
      </c>
      <c r="R29" s="18"/>
      <c r="S29" s="28" t="s">
        <v>14</v>
      </c>
      <c r="T29" s="18"/>
      <c r="U29" s="28" t="s">
        <v>14</v>
      </c>
      <c r="V29" s="18"/>
      <c r="W29" s="28" t="s">
        <v>14</v>
      </c>
      <c r="X29" s="18"/>
      <c r="Y29" s="28" t="s">
        <v>14</v>
      </c>
      <c r="Z29" s="18"/>
      <c r="AA29" s="28" t="s">
        <v>14</v>
      </c>
      <c r="AB29" s="18"/>
      <c r="AC29" s="28" t="s">
        <v>14</v>
      </c>
      <c r="AD29" s="18"/>
      <c r="AE29" s="28" t="s">
        <v>14</v>
      </c>
      <c r="AF29" s="25" t="str">
        <f t="shared" ref="AF29:AF61" si="4">IF(AND(O29="",Q29="",S29="",U29="",W29="",Y29="",AA29="",AC29=""),"",IF(OR(AND(O29&lt;&gt;"NA",O29&lt;&gt;"C",O29&lt;&gt;"NC",O29&lt;&gt;"SF",O29&lt;&gt;""),AND(Q29&lt;&gt;"NA",Q29&lt;&gt;"C",Q29&lt;&gt;"NC",Q29&lt;&gt;"SF",Q29&lt;&gt;""),AND(S29&lt;&gt;"NA",S29&lt;&gt;"C",S29&lt;&gt;"NC",S29&lt;&gt;"SF",S29&lt;&gt;""),AND(U29&lt;&gt;"NA",U29&lt;&gt;"C",U29&lt;&gt;"NC",U29&lt;&gt;"SF",U29&lt;&gt;""),AND(W29&lt;&gt;"NA",W29&lt;&gt;"C",W29&lt;&gt;"NC",W29&lt;&gt;"SF",W29&lt;&gt;""),AND(Y29&lt;&gt;"NA",Y29&lt;&gt;"C",Y29&lt;&gt;"NC",Y29&lt;&gt;"SF",Y29&lt;&gt;""),AND(AA29&lt;&gt;"NA",AA29&lt;&gt;"C",AA29&lt;&gt;"NC",AA29&lt;&gt;"SF",AA29&lt;&gt;""),AND(AC29&lt;&gt;"NA",AC29&lt;&gt;"C",AC29&lt;&gt;"NC",AC29&lt;&gt;"SF",AC29&lt;&gt;"")),"FALSO",IF(AND(O29="NA",Q29="NA",S29="NA",U29="NA",W29="NA",Y29="NA",AA29="NA",AC29="NA"),"NA",IF(OR(O29="NC",Q29="NC",S29="NC",U29="NC",W29="NC",Y29="NC",AA29="NC",AC29="NC",O29="SF",Q29="SF",S29="SF",U29="SF",W29="SF",Y29="SF",AA29="SF",AC29="SF"),"NC",IF(OR(O29="C",Q29="C",S29="C",U29="C",W29="C",Y29="C",AA29="C",AC29="C"),"C","")))))</f>
        <v>NA</v>
      </c>
      <c r="AG29" s="59" t="str">
        <f t="shared" ref="AG29:AG60" si="5">IF(AND(AE29="C",AF29="C"),"UTILIZOU O PDA CORRETAMENTE",IF(AND(AE29="C",AF29="NC"),"UTILIZOU O PDA CORRETAMENTE. NÃO HÁ FOTOS DE TODAS AS ETAPAS",IF(AND(AE29="NC",AF29="NC"),"NÃO UTILIZOU O PDA",IF(AND(AE29="NA",AF29="NA"),"NÃO AVALIADO POR FALHA DE SINCRONISMO"))))</f>
        <v>NÃO AVALIADO POR FALHA DE SINCRONISMO</v>
      </c>
      <c r="AH29" s="28" t="s">
        <v>108</v>
      </c>
      <c r="AI29" s="32" t="s">
        <v>1</v>
      </c>
      <c r="AJ29" s="29" t="str">
        <f t="shared" si="3"/>
        <v>GUARULHOS</v>
      </c>
      <c r="AK29" s="33" t="s">
        <v>13</v>
      </c>
    </row>
    <row r="30" spans="1:37" ht="30" customHeight="1" x14ac:dyDescent="0.2">
      <c r="A30" s="82" t="s">
        <v>101</v>
      </c>
      <c r="B30" s="82">
        <v>2615142238</v>
      </c>
      <c r="C30" s="82" t="s">
        <v>1734</v>
      </c>
      <c r="D30" s="82" t="s">
        <v>53</v>
      </c>
      <c r="E30" s="82" t="s">
        <v>102</v>
      </c>
      <c r="F30" s="82" t="s">
        <v>197</v>
      </c>
      <c r="G30" s="82">
        <v>557</v>
      </c>
      <c r="H30" s="82"/>
      <c r="I30" s="82" t="s">
        <v>162</v>
      </c>
      <c r="J30" s="82" t="s">
        <v>1736</v>
      </c>
      <c r="K30" s="82" t="s">
        <v>1765</v>
      </c>
      <c r="L30" s="82" t="s">
        <v>653</v>
      </c>
      <c r="M30" s="82" t="s">
        <v>1766</v>
      </c>
      <c r="N30" s="82" t="s">
        <v>1738</v>
      </c>
      <c r="O30" s="36" t="s">
        <v>14</v>
      </c>
      <c r="P30" s="18"/>
      <c r="Q30" s="28" t="s">
        <v>14</v>
      </c>
      <c r="R30" s="18"/>
      <c r="S30" s="28" t="s">
        <v>14</v>
      </c>
      <c r="T30" s="18"/>
      <c r="U30" s="28" t="s">
        <v>14</v>
      </c>
      <c r="V30" s="18"/>
      <c r="W30" s="28" t="s">
        <v>14</v>
      </c>
      <c r="X30" s="18"/>
      <c r="Y30" s="28" t="s">
        <v>14</v>
      </c>
      <c r="Z30" s="18"/>
      <c r="AA30" s="28" t="s">
        <v>14</v>
      </c>
      <c r="AB30" s="18"/>
      <c r="AC30" s="28" t="s">
        <v>14</v>
      </c>
      <c r="AD30" s="18"/>
      <c r="AE30" s="28" t="s">
        <v>14</v>
      </c>
      <c r="AF30" s="25" t="str">
        <f t="shared" si="4"/>
        <v>NA</v>
      </c>
      <c r="AG30" s="59" t="str">
        <f t="shared" si="5"/>
        <v>NÃO AVALIADO POR FALHA DE SINCRONISMO</v>
      </c>
      <c r="AH30" s="28" t="s">
        <v>108</v>
      </c>
      <c r="AI30" s="32" t="s">
        <v>1</v>
      </c>
      <c r="AJ30" s="29" t="str">
        <f t="shared" si="3"/>
        <v>GUARULHOS</v>
      </c>
      <c r="AK30" s="33" t="s">
        <v>13</v>
      </c>
    </row>
    <row r="31" spans="1:37" ht="30" customHeight="1" x14ac:dyDescent="0.2">
      <c r="A31" s="82" t="s">
        <v>101</v>
      </c>
      <c r="B31" s="82">
        <v>2615141816</v>
      </c>
      <c r="C31" s="82" t="s">
        <v>1734</v>
      </c>
      <c r="D31" s="82" t="s">
        <v>53</v>
      </c>
      <c r="E31" s="82" t="s">
        <v>102</v>
      </c>
      <c r="F31" s="82" t="s">
        <v>197</v>
      </c>
      <c r="G31" s="82">
        <v>554</v>
      </c>
      <c r="H31" s="82" t="s">
        <v>456</v>
      </c>
      <c r="I31" s="82" t="s">
        <v>162</v>
      </c>
      <c r="J31" s="82" t="s">
        <v>1736</v>
      </c>
      <c r="K31" s="82" t="s">
        <v>1765</v>
      </c>
      <c r="L31" s="82" t="s">
        <v>653</v>
      </c>
      <c r="M31" s="82" t="s">
        <v>1766</v>
      </c>
      <c r="N31" s="82" t="s">
        <v>1738</v>
      </c>
      <c r="O31" s="36" t="s">
        <v>14</v>
      </c>
      <c r="P31" s="18"/>
      <c r="Q31" s="28" t="s">
        <v>14</v>
      </c>
      <c r="R31" s="18"/>
      <c r="S31" s="28" t="s">
        <v>14</v>
      </c>
      <c r="T31" s="18"/>
      <c r="U31" s="28" t="s">
        <v>14</v>
      </c>
      <c r="V31" s="18"/>
      <c r="W31" s="28" t="s">
        <v>14</v>
      </c>
      <c r="X31" s="18"/>
      <c r="Y31" s="28" t="s">
        <v>14</v>
      </c>
      <c r="Z31" s="18"/>
      <c r="AA31" s="28" t="s">
        <v>14</v>
      </c>
      <c r="AB31" s="18"/>
      <c r="AC31" s="28" t="s">
        <v>14</v>
      </c>
      <c r="AD31" s="18"/>
      <c r="AE31" s="28" t="s">
        <v>14</v>
      </c>
      <c r="AF31" s="25" t="str">
        <f t="shared" si="4"/>
        <v>NA</v>
      </c>
      <c r="AG31" s="59" t="str">
        <f t="shared" si="5"/>
        <v>NÃO AVALIADO POR FALHA DE SINCRONISMO</v>
      </c>
      <c r="AH31" s="28" t="s">
        <v>108</v>
      </c>
      <c r="AI31" s="32" t="s">
        <v>1</v>
      </c>
      <c r="AJ31" s="29" t="str">
        <f t="shared" si="3"/>
        <v>GUARULHOS</v>
      </c>
      <c r="AK31" s="33" t="s">
        <v>13</v>
      </c>
    </row>
    <row r="32" spans="1:37" ht="30" customHeight="1" x14ac:dyDescent="0.2">
      <c r="A32" s="82" t="s">
        <v>101</v>
      </c>
      <c r="B32" s="82">
        <v>2615142142</v>
      </c>
      <c r="C32" s="82" t="s">
        <v>1734</v>
      </c>
      <c r="D32" s="82" t="s">
        <v>53</v>
      </c>
      <c r="E32" s="82" t="s">
        <v>102</v>
      </c>
      <c r="F32" s="82" t="s">
        <v>197</v>
      </c>
      <c r="G32" s="82">
        <v>551</v>
      </c>
      <c r="H32" s="82" t="s">
        <v>1767</v>
      </c>
      <c r="I32" s="82" t="s">
        <v>162</v>
      </c>
      <c r="J32" s="82" t="s">
        <v>1736</v>
      </c>
      <c r="K32" s="82" t="s">
        <v>1765</v>
      </c>
      <c r="L32" s="82" t="s">
        <v>653</v>
      </c>
      <c r="M32" s="82" t="s">
        <v>1766</v>
      </c>
      <c r="N32" s="82" t="s">
        <v>1738</v>
      </c>
      <c r="O32" s="36" t="s">
        <v>14</v>
      </c>
      <c r="P32" s="18"/>
      <c r="Q32" s="28" t="s">
        <v>14</v>
      </c>
      <c r="R32" s="18"/>
      <c r="S32" s="28" t="s">
        <v>14</v>
      </c>
      <c r="T32" s="18"/>
      <c r="U32" s="28" t="s">
        <v>14</v>
      </c>
      <c r="V32" s="18"/>
      <c r="W32" s="28" t="s">
        <v>14</v>
      </c>
      <c r="X32" s="18"/>
      <c r="Y32" s="28" t="s">
        <v>14</v>
      </c>
      <c r="Z32" s="18"/>
      <c r="AA32" s="28" t="s">
        <v>14</v>
      </c>
      <c r="AB32" s="18"/>
      <c r="AC32" s="28" t="s">
        <v>14</v>
      </c>
      <c r="AD32" s="18"/>
      <c r="AE32" s="28" t="s">
        <v>14</v>
      </c>
      <c r="AF32" s="25" t="str">
        <f t="shared" si="4"/>
        <v>NA</v>
      </c>
      <c r="AG32" s="59" t="str">
        <f t="shared" si="5"/>
        <v>NÃO AVALIADO POR FALHA DE SINCRONISMO</v>
      </c>
      <c r="AH32" s="28" t="s">
        <v>108</v>
      </c>
      <c r="AI32" s="32" t="s">
        <v>1</v>
      </c>
      <c r="AJ32" s="29" t="str">
        <f t="shared" si="3"/>
        <v>GUARULHOS</v>
      </c>
      <c r="AK32" s="33" t="s">
        <v>13</v>
      </c>
    </row>
    <row r="33" spans="1:37" ht="30" customHeight="1" x14ac:dyDescent="0.2">
      <c r="A33" s="82" t="s">
        <v>101</v>
      </c>
      <c r="B33" s="82">
        <v>2614825882</v>
      </c>
      <c r="C33" s="82" t="s">
        <v>1734</v>
      </c>
      <c r="D33" s="82" t="s">
        <v>53</v>
      </c>
      <c r="E33" s="82" t="s">
        <v>102</v>
      </c>
      <c r="F33" s="82" t="s">
        <v>257</v>
      </c>
      <c r="G33" s="82">
        <v>94</v>
      </c>
      <c r="H33" s="82" t="s">
        <v>1768</v>
      </c>
      <c r="I33" s="82" t="s">
        <v>162</v>
      </c>
      <c r="J33" s="82" t="s">
        <v>1736</v>
      </c>
      <c r="K33" s="88" t="s">
        <v>1769</v>
      </c>
      <c r="L33" s="82" t="s">
        <v>653</v>
      </c>
      <c r="M33" s="82" t="s">
        <v>1770</v>
      </c>
      <c r="N33" s="82" t="s">
        <v>1740</v>
      </c>
      <c r="O33" s="36" t="s">
        <v>14</v>
      </c>
      <c r="P33" s="18"/>
      <c r="Q33" s="28" t="s">
        <v>14</v>
      </c>
      <c r="R33" s="18"/>
      <c r="S33" s="28" t="s">
        <v>14</v>
      </c>
      <c r="T33" s="18"/>
      <c r="U33" s="28" t="s">
        <v>14</v>
      </c>
      <c r="V33" s="18"/>
      <c r="W33" s="28" t="s">
        <v>14</v>
      </c>
      <c r="X33" s="18"/>
      <c r="Y33" s="28" t="s">
        <v>14</v>
      </c>
      <c r="Z33" s="18"/>
      <c r="AA33" s="28" t="s">
        <v>14</v>
      </c>
      <c r="AB33" s="18"/>
      <c r="AC33" s="28" t="s">
        <v>14</v>
      </c>
      <c r="AD33" s="18"/>
      <c r="AE33" s="28" t="s">
        <v>14</v>
      </c>
      <c r="AF33" s="25" t="str">
        <f t="shared" si="4"/>
        <v>NA</v>
      </c>
      <c r="AG33" s="59" t="str">
        <f t="shared" si="5"/>
        <v>NÃO AVALIADO POR FALHA DE SINCRONISMO</v>
      </c>
      <c r="AH33" s="28" t="s">
        <v>108</v>
      </c>
      <c r="AI33" s="32" t="s">
        <v>1</v>
      </c>
      <c r="AJ33" s="29" t="str">
        <f t="shared" si="3"/>
        <v>GUARULHOS</v>
      </c>
      <c r="AK33" s="33" t="s">
        <v>13</v>
      </c>
    </row>
    <row r="34" spans="1:37" ht="30" customHeight="1" x14ac:dyDescent="0.2">
      <c r="A34" s="82" t="s">
        <v>101</v>
      </c>
      <c r="B34" s="82">
        <v>2614826190</v>
      </c>
      <c r="C34" s="82" t="s">
        <v>1734</v>
      </c>
      <c r="D34" s="82" t="s">
        <v>53</v>
      </c>
      <c r="E34" s="82" t="s">
        <v>102</v>
      </c>
      <c r="F34" s="82" t="s">
        <v>257</v>
      </c>
      <c r="G34" s="82">
        <v>100</v>
      </c>
      <c r="H34" s="82" t="s">
        <v>278</v>
      </c>
      <c r="I34" s="82" t="s">
        <v>162</v>
      </c>
      <c r="J34" s="82" t="s">
        <v>1736</v>
      </c>
      <c r="K34" s="88" t="s">
        <v>1769</v>
      </c>
      <c r="L34" s="82" t="s">
        <v>653</v>
      </c>
      <c r="M34" s="82" t="s">
        <v>1770</v>
      </c>
      <c r="N34" s="82" t="s">
        <v>1740</v>
      </c>
      <c r="O34" s="36" t="s">
        <v>14</v>
      </c>
      <c r="P34" s="18"/>
      <c r="Q34" s="28" t="s">
        <v>14</v>
      </c>
      <c r="R34" s="18"/>
      <c r="S34" s="28" t="s">
        <v>14</v>
      </c>
      <c r="T34" s="18"/>
      <c r="U34" s="28" t="s">
        <v>14</v>
      </c>
      <c r="V34" s="18"/>
      <c r="W34" s="28" t="s">
        <v>14</v>
      </c>
      <c r="X34" s="18"/>
      <c r="Y34" s="28" t="s">
        <v>14</v>
      </c>
      <c r="Z34" s="18"/>
      <c r="AA34" s="28" t="s">
        <v>14</v>
      </c>
      <c r="AB34" s="18"/>
      <c r="AC34" s="28" t="s">
        <v>14</v>
      </c>
      <c r="AD34" s="18"/>
      <c r="AE34" s="28" t="s">
        <v>14</v>
      </c>
      <c r="AF34" s="25" t="str">
        <f t="shared" si="4"/>
        <v>NA</v>
      </c>
      <c r="AG34" s="59" t="str">
        <f t="shared" si="5"/>
        <v>NÃO AVALIADO POR FALHA DE SINCRONISMO</v>
      </c>
      <c r="AH34" s="28" t="s">
        <v>108</v>
      </c>
      <c r="AI34" s="32" t="s">
        <v>1</v>
      </c>
      <c r="AJ34" s="29" t="str">
        <f t="shared" si="3"/>
        <v>GUARULHOS</v>
      </c>
      <c r="AK34" s="33" t="s">
        <v>13</v>
      </c>
    </row>
    <row r="35" spans="1:37" ht="30" customHeight="1" x14ac:dyDescent="0.2">
      <c r="A35" s="82" t="s">
        <v>101</v>
      </c>
      <c r="B35" s="82">
        <v>2614825079</v>
      </c>
      <c r="C35" s="82" t="s">
        <v>1734</v>
      </c>
      <c r="D35" s="82" t="s">
        <v>53</v>
      </c>
      <c r="E35" s="82" t="s">
        <v>102</v>
      </c>
      <c r="F35" s="82" t="s">
        <v>257</v>
      </c>
      <c r="G35" s="82">
        <v>82</v>
      </c>
      <c r="H35" s="82">
        <v>126</v>
      </c>
      <c r="I35" s="82" t="s">
        <v>162</v>
      </c>
      <c r="J35" s="82" t="s">
        <v>1736</v>
      </c>
      <c r="K35" s="88" t="s">
        <v>1769</v>
      </c>
      <c r="L35" s="82" t="s">
        <v>653</v>
      </c>
      <c r="M35" s="82" t="s">
        <v>1771</v>
      </c>
      <c r="N35" s="82" t="s">
        <v>1740</v>
      </c>
      <c r="O35" s="36" t="s">
        <v>14</v>
      </c>
      <c r="P35" s="18"/>
      <c r="Q35" s="28" t="s">
        <v>14</v>
      </c>
      <c r="R35" s="18"/>
      <c r="S35" s="28" t="s">
        <v>14</v>
      </c>
      <c r="T35" s="18"/>
      <c r="U35" s="28" t="s">
        <v>14</v>
      </c>
      <c r="V35" s="18"/>
      <c r="W35" s="28" t="s">
        <v>14</v>
      </c>
      <c r="X35" s="18"/>
      <c r="Y35" s="28" t="s">
        <v>14</v>
      </c>
      <c r="Z35" s="18"/>
      <c r="AA35" s="28" t="s">
        <v>14</v>
      </c>
      <c r="AB35" s="18"/>
      <c r="AC35" s="28" t="s">
        <v>14</v>
      </c>
      <c r="AD35" s="18"/>
      <c r="AE35" s="28" t="s">
        <v>14</v>
      </c>
      <c r="AF35" s="25" t="str">
        <f t="shared" si="4"/>
        <v>NA</v>
      </c>
      <c r="AG35" s="59" t="str">
        <f t="shared" si="5"/>
        <v>NÃO AVALIADO POR FALHA DE SINCRONISMO</v>
      </c>
      <c r="AH35" s="28" t="s">
        <v>108</v>
      </c>
      <c r="AI35" s="32" t="s">
        <v>1</v>
      </c>
      <c r="AJ35" s="29" t="str">
        <f t="shared" si="3"/>
        <v>GUARULHOS</v>
      </c>
      <c r="AK35" s="33" t="s">
        <v>13</v>
      </c>
    </row>
    <row r="36" spans="1:37" ht="30" customHeight="1" x14ac:dyDescent="0.2">
      <c r="A36" s="82" t="s">
        <v>101</v>
      </c>
      <c r="B36" s="82">
        <v>2614825486</v>
      </c>
      <c r="C36" s="82" t="s">
        <v>1734</v>
      </c>
      <c r="D36" s="82" t="s">
        <v>53</v>
      </c>
      <c r="E36" s="82" t="s">
        <v>102</v>
      </c>
      <c r="F36" s="82" t="s">
        <v>257</v>
      </c>
      <c r="G36" s="82">
        <v>79</v>
      </c>
      <c r="H36" s="82"/>
      <c r="I36" s="82" t="s">
        <v>162</v>
      </c>
      <c r="J36" s="82" t="s">
        <v>1736</v>
      </c>
      <c r="K36" s="88" t="s">
        <v>1769</v>
      </c>
      <c r="L36" s="82" t="s">
        <v>653</v>
      </c>
      <c r="M36" s="82" t="s">
        <v>1770</v>
      </c>
      <c r="N36" s="82" t="s">
        <v>1740</v>
      </c>
      <c r="O36" s="36" t="s">
        <v>14</v>
      </c>
      <c r="P36" s="18"/>
      <c r="Q36" s="28" t="s">
        <v>14</v>
      </c>
      <c r="R36" s="18"/>
      <c r="S36" s="28" t="s">
        <v>14</v>
      </c>
      <c r="T36" s="18"/>
      <c r="U36" s="28" t="s">
        <v>14</v>
      </c>
      <c r="V36" s="18"/>
      <c r="W36" s="28" t="s">
        <v>14</v>
      </c>
      <c r="X36" s="18"/>
      <c r="Y36" s="28" t="s">
        <v>14</v>
      </c>
      <c r="Z36" s="18"/>
      <c r="AA36" s="28" t="s">
        <v>14</v>
      </c>
      <c r="AB36" s="18"/>
      <c r="AC36" s="28" t="s">
        <v>14</v>
      </c>
      <c r="AD36" s="18"/>
      <c r="AE36" s="28" t="s">
        <v>14</v>
      </c>
      <c r="AF36" s="25" t="str">
        <f t="shared" si="4"/>
        <v>NA</v>
      </c>
      <c r="AG36" s="59" t="str">
        <f t="shared" si="5"/>
        <v>NÃO AVALIADO POR FALHA DE SINCRONISMO</v>
      </c>
      <c r="AH36" s="28" t="s">
        <v>108</v>
      </c>
      <c r="AI36" s="32" t="s">
        <v>1</v>
      </c>
      <c r="AJ36" s="29" t="str">
        <f t="shared" ref="AJ36:AJ69" si="6">E36</f>
        <v>GUARULHOS</v>
      </c>
      <c r="AK36" s="33" t="s">
        <v>13</v>
      </c>
    </row>
    <row r="37" spans="1:37" ht="30" customHeight="1" x14ac:dyDescent="0.2">
      <c r="A37" s="82" t="s">
        <v>101</v>
      </c>
      <c r="B37" s="82">
        <v>2614825225</v>
      </c>
      <c r="C37" s="82" t="s">
        <v>1734</v>
      </c>
      <c r="D37" s="82" t="s">
        <v>53</v>
      </c>
      <c r="E37" s="82" t="s">
        <v>102</v>
      </c>
      <c r="F37" s="82" t="s">
        <v>257</v>
      </c>
      <c r="G37" s="82">
        <v>110</v>
      </c>
      <c r="H37" s="82" t="s">
        <v>117</v>
      </c>
      <c r="I37" s="82" t="s">
        <v>162</v>
      </c>
      <c r="J37" s="82" t="s">
        <v>1736</v>
      </c>
      <c r="K37" s="88" t="s">
        <v>1769</v>
      </c>
      <c r="L37" s="82" t="s">
        <v>653</v>
      </c>
      <c r="M37" s="82" t="s">
        <v>1770</v>
      </c>
      <c r="N37" s="82" t="s">
        <v>1740</v>
      </c>
      <c r="O37" s="36" t="s">
        <v>14</v>
      </c>
      <c r="P37" s="18"/>
      <c r="Q37" s="28" t="s">
        <v>14</v>
      </c>
      <c r="R37" s="18"/>
      <c r="S37" s="28" t="s">
        <v>14</v>
      </c>
      <c r="T37" s="18"/>
      <c r="U37" s="28" t="s">
        <v>14</v>
      </c>
      <c r="V37" s="18"/>
      <c r="W37" s="28" t="s">
        <v>14</v>
      </c>
      <c r="X37" s="18"/>
      <c r="Y37" s="28" t="s">
        <v>14</v>
      </c>
      <c r="Z37" s="18"/>
      <c r="AA37" s="28" t="s">
        <v>14</v>
      </c>
      <c r="AB37" s="18"/>
      <c r="AC37" s="28" t="s">
        <v>14</v>
      </c>
      <c r="AD37" s="18"/>
      <c r="AE37" s="28" t="s">
        <v>14</v>
      </c>
      <c r="AF37" s="25" t="str">
        <f t="shared" si="4"/>
        <v>NA</v>
      </c>
      <c r="AG37" s="59" t="str">
        <f t="shared" si="5"/>
        <v>NÃO AVALIADO POR FALHA DE SINCRONISMO</v>
      </c>
      <c r="AH37" s="28" t="s">
        <v>108</v>
      </c>
      <c r="AI37" s="32" t="s">
        <v>1</v>
      </c>
      <c r="AJ37" s="29" t="str">
        <f t="shared" si="6"/>
        <v>GUARULHOS</v>
      </c>
      <c r="AK37" s="33" t="s">
        <v>13</v>
      </c>
    </row>
    <row r="38" spans="1:37" ht="30" customHeight="1" x14ac:dyDescent="0.2">
      <c r="A38" s="82" t="s">
        <v>101</v>
      </c>
      <c r="B38" s="82">
        <v>2614826337</v>
      </c>
      <c r="C38" s="82" t="s">
        <v>1734</v>
      </c>
      <c r="D38" s="82" t="s">
        <v>53</v>
      </c>
      <c r="E38" s="82" t="s">
        <v>102</v>
      </c>
      <c r="F38" s="82" t="s">
        <v>257</v>
      </c>
      <c r="G38" s="82">
        <v>105</v>
      </c>
      <c r="H38" s="82" t="s">
        <v>1772</v>
      </c>
      <c r="I38" s="82" t="s">
        <v>162</v>
      </c>
      <c r="J38" s="82" t="s">
        <v>1736</v>
      </c>
      <c r="K38" s="88" t="s">
        <v>1769</v>
      </c>
      <c r="L38" s="82" t="s">
        <v>653</v>
      </c>
      <c r="M38" s="82" t="s">
        <v>1770</v>
      </c>
      <c r="N38" s="82" t="s">
        <v>1740</v>
      </c>
      <c r="O38" s="36" t="s">
        <v>14</v>
      </c>
      <c r="P38" s="18"/>
      <c r="Q38" s="28" t="s">
        <v>14</v>
      </c>
      <c r="R38" s="18"/>
      <c r="S38" s="28" t="s">
        <v>14</v>
      </c>
      <c r="T38" s="18"/>
      <c r="U38" s="28" t="s">
        <v>14</v>
      </c>
      <c r="V38" s="18"/>
      <c r="W38" s="28" t="s">
        <v>14</v>
      </c>
      <c r="X38" s="18"/>
      <c r="Y38" s="28" t="s">
        <v>14</v>
      </c>
      <c r="Z38" s="18"/>
      <c r="AA38" s="28" t="s">
        <v>14</v>
      </c>
      <c r="AB38" s="18"/>
      <c r="AC38" s="28" t="s">
        <v>14</v>
      </c>
      <c r="AD38" s="18"/>
      <c r="AE38" s="28" t="s">
        <v>14</v>
      </c>
      <c r="AF38" s="25" t="str">
        <f t="shared" si="4"/>
        <v>NA</v>
      </c>
      <c r="AG38" s="59" t="str">
        <f t="shared" si="5"/>
        <v>NÃO AVALIADO POR FALHA DE SINCRONISMO</v>
      </c>
      <c r="AH38" s="28" t="s">
        <v>108</v>
      </c>
      <c r="AI38" s="32" t="s">
        <v>1</v>
      </c>
      <c r="AJ38" s="29" t="str">
        <f t="shared" si="6"/>
        <v>GUARULHOS</v>
      </c>
      <c r="AK38" s="33" t="s">
        <v>13</v>
      </c>
    </row>
    <row r="39" spans="1:37" ht="30" customHeight="1" x14ac:dyDescent="0.2">
      <c r="A39" s="82" t="s">
        <v>101</v>
      </c>
      <c r="B39" s="82">
        <v>2614826078</v>
      </c>
      <c r="C39" s="82" t="s">
        <v>1734</v>
      </c>
      <c r="D39" s="82" t="s">
        <v>53</v>
      </c>
      <c r="E39" s="82" t="s">
        <v>102</v>
      </c>
      <c r="F39" s="82" t="s">
        <v>257</v>
      </c>
      <c r="G39" s="82">
        <v>104</v>
      </c>
      <c r="H39" s="82" t="s">
        <v>117</v>
      </c>
      <c r="I39" s="82" t="s">
        <v>162</v>
      </c>
      <c r="J39" s="82" t="s">
        <v>1736</v>
      </c>
      <c r="K39" s="88" t="s">
        <v>1769</v>
      </c>
      <c r="L39" s="82" t="s">
        <v>653</v>
      </c>
      <c r="M39" s="82" t="s">
        <v>1770</v>
      </c>
      <c r="N39" s="82" t="s">
        <v>1740</v>
      </c>
      <c r="O39" s="36" t="s">
        <v>14</v>
      </c>
      <c r="P39" s="18"/>
      <c r="Q39" s="28" t="s">
        <v>14</v>
      </c>
      <c r="R39" s="18"/>
      <c r="S39" s="28" t="s">
        <v>14</v>
      </c>
      <c r="T39" s="18"/>
      <c r="U39" s="28" t="s">
        <v>14</v>
      </c>
      <c r="V39" s="18"/>
      <c r="W39" s="28" t="s">
        <v>14</v>
      </c>
      <c r="X39" s="18"/>
      <c r="Y39" s="28" t="s">
        <v>14</v>
      </c>
      <c r="Z39" s="18"/>
      <c r="AA39" s="28" t="s">
        <v>14</v>
      </c>
      <c r="AB39" s="18"/>
      <c r="AC39" s="28" t="s">
        <v>14</v>
      </c>
      <c r="AD39" s="18"/>
      <c r="AE39" s="28" t="s">
        <v>14</v>
      </c>
      <c r="AF39" s="25" t="str">
        <f t="shared" si="4"/>
        <v>NA</v>
      </c>
      <c r="AG39" s="59" t="str">
        <f t="shared" si="5"/>
        <v>NÃO AVALIADO POR FALHA DE SINCRONISMO</v>
      </c>
      <c r="AH39" s="28" t="s">
        <v>108</v>
      </c>
      <c r="AI39" s="32" t="s">
        <v>1</v>
      </c>
      <c r="AJ39" s="29" t="str">
        <f t="shared" si="6"/>
        <v>GUARULHOS</v>
      </c>
      <c r="AK39" s="33" t="s">
        <v>13</v>
      </c>
    </row>
    <row r="40" spans="1:37" ht="30" customHeight="1" x14ac:dyDescent="0.2">
      <c r="A40" s="82" t="s">
        <v>101</v>
      </c>
      <c r="B40" s="82">
        <v>2614825730</v>
      </c>
      <c r="C40" s="82" t="s">
        <v>1734</v>
      </c>
      <c r="D40" s="82" t="s">
        <v>53</v>
      </c>
      <c r="E40" s="82" t="s">
        <v>102</v>
      </c>
      <c r="F40" s="82" t="s">
        <v>257</v>
      </c>
      <c r="G40" s="82">
        <v>87</v>
      </c>
      <c r="H40" s="82"/>
      <c r="I40" s="82" t="s">
        <v>162</v>
      </c>
      <c r="J40" s="82" t="s">
        <v>1736</v>
      </c>
      <c r="K40" s="88" t="s">
        <v>1773</v>
      </c>
      <c r="L40" s="82" t="s">
        <v>653</v>
      </c>
      <c r="M40" s="82" t="s">
        <v>1770</v>
      </c>
      <c r="N40" s="82" t="s">
        <v>1740</v>
      </c>
      <c r="O40" s="36" t="s">
        <v>14</v>
      </c>
      <c r="P40" s="18"/>
      <c r="Q40" s="28" t="s">
        <v>14</v>
      </c>
      <c r="R40" s="18"/>
      <c r="S40" s="28" t="s">
        <v>14</v>
      </c>
      <c r="T40" s="18"/>
      <c r="U40" s="28" t="s">
        <v>14</v>
      </c>
      <c r="V40" s="18"/>
      <c r="W40" s="28" t="s">
        <v>14</v>
      </c>
      <c r="X40" s="18"/>
      <c r="Y40" s="28" t="s">
        <v>14</v>
      </c>
      <c r="Z40" s="18"/>
      <c r="AA40" s="28" t="s">
        <v>14</v>
      </c>
      <c r="AB40" s="18"/>
      <c r="AC40" s="28" t="s">
        <v>14</v>
      </c>
      <c r="AD40" s="18"/>
      <c r="AE40" s="28" t="s">
        <v>14</v>
      </c>
      <c r="AF40" s="25" t="str">
        <f t="shared" si="4"/>
        <v>NA</v>
      </c>
      <c r="AG40" s="59" t="str">
        <f t="shared" si="5"/>
        <v>NÃO AVALIADO POR FALHA DE SINCRONISMO</v>
      </c>
      <c r="AH40" s="28" t="s">
        <v>108</v>
      </c>
      <c r="AI40" s="32" t="s">
        <v>1</v>
      </c>
      <c r="AJ40" s="29" t="str">
        <f t="shared" si="6"/>
        <v>GUARULHOS</v>
      </c>
      <c r="AK40" s="33" t="s">
        <v>13</v>
      </c>
    </row>
    <row r="41" spans="1:37" ht="30" customHeight="1" x14ac:dyDescent="0.2">
      <c r="A41" s="82" t="s">
        <v>101</v>
      </c>
      <c r="B41" s="82">
        <v>2614825182</v>
      </c>
      <c r="C41" s="82" t="s">
        <v>1734</v>
      </c>
      <c r="D41" s="82" t="s">
        <v>53</v>
      </c>
      <c r="E41" s="82" t="s">
        <v>102</v>
      </c>
      <c r="F41" s="82" t="s">
        <v>257</v>
      </c>
      <c r="G41" s="82">
        <v>88</v>
      </c>
      <c r="H41" s="82" t="s">
        <v>552</v>
      </c>
      <c r="I41" s="82" t="s">
        <v>162</v>
      </c>
      <c r="J41" s="82" t="s">
        <v>1736</v>
      </c>
      <c r="K41" s="88" t="s">
        <v>1769</v>
      </c>
      <c r="L41" s="82" t="s">
        <v>653</v>
      </c>
      <c r="M41" s="82" t="s">
        <v>1774</v>
      </c>
      <c r="N41" s="82" t="s">
        <v>1740</v>
      </c>
      <c r="O41" s="36" t="s">
        <v>14</v>
      </c>
      <c r="P41" s="18"/>
      <c r="Q41" s="28" t="s">
        <v>14</v>
      </c>
      <c r="R41" s="18"/>
      <c r="S41" s="28" t="s">
        <v>14</v>
      </c>
      <c r="T41" s="18"/>
      <c r="U41" s="28" t="s">
        <v>14</v>
      </c>
      <c r="V41" s="18"/>
      <c r="W41" s="28" t="s">
        <v>14</v>
      </c>
      <c r="X41" s="18"/>
      <c r="Y41" s="28" t="s">
        <v>14</v>
      </c>
      <c r="Z41" s="18"/>
      <c r="AA41" s="28" t="s">
        <v>14</v>
      </c>
      <c r="AB41" s="18"/>
      <c r="AC41" s="28" t="s">
        <v>14</v>
      </c>
      <c r="AD41" s="18"/>
      <c r="AE41" s="28" t="s">
        <v>14</v>
      </c>
      <c r="AF41" s="25" t="str">
        <f t="shared" si="4"/>
        <v>NA</v>
      </c>
      <c r="AG41" s="59" t="str">
        <f t="shared" si="5"/>
        <v>NÃO AVALIADO POR FALHA DE SINCRONISMO</v>
      </c>
      <c r="AH41" s="28" t="s">
        <v>108</v>
      </c>
      <c r="AI41" s="32" t="s">
        <v>1</v>
      </c>
      <c r="AJ41" s="29" t="str">
        <f t="shared" si="6"/>
        <v>GUARULHOS</v>
      </c>
      <c r="AK41" s="33" t="s">
        <v>13</v>
      </c>
    </row>
    <row r="42" spans="1:37" ht="30" customHeight="1" x14ac:dyDescent="0.2">
      <c r="A42" s="82" t="s">
        <v>101</v>
      </c>
      <c r="B42" s="82">
        <v>2614825417</v>
      </c>
      <c r="C42" s="82" t="s">
        <v>1734</v>
      </c>
      <c r="D42" s="82" t="s">
        <v>53</v>
      </c>
      <c r="E42" s="82" t="s">
        <v>102</v>
      </c>
      <c r="F42" s="82" t="s">
        <v>257</v>
      </c>
      <c r="G42" s="82">
        <v>109</v>
      </c>
      <c r="H42" s="82" t="s">
        <v>258</v>
      </c>
      <c r="I42" s="82" t="s">
        <v>162</v>
      </c>
      <c r="J42" s="82" t="s">
        <v>1736</v>
      </c>
      <c r="K42" s="88" t="s">
        <v>1769</v>
      </c>
      <c r="L42" s="82" t="s">
        <v>653</v>
      </c>
      <c r="M42" s="82" t="s">
        <v>1770</v>
      </c>
      <c r="N42" s="82" t="s">
        <v>1740</v>
      </c>
      <c r="O42" s="36" t="s">
        <v>14</v>
      </c>
      <c r="P42" s="18"/>
      <c r="Q42" s="28" t="s">
        <v>14</v>
      </c>
      <c r="R42" s="18"/>
      <c r="S42" s="28" t="s">
        <v>14</v>
      </c>
      <c r="T42" s="18"/>
      <c r="U42" s="28" t="s">
        <v>14</v>
      </c>
      <c r="V42" s="18"/>
      <c r="W42" s="28" t="s">
        <v>14</v>
      </c>
      <c r="X42" s="18"/>
      <c r="Y42" s="28" t="s">
        <v>14</v>
      </c>
      <c r="Z42" s="18"/>
      <c r="AA42" s="28" t="s">
        <v>14</v>
      </c>
      <c r="AB42" s="18"/>
      <c r="AC42" s="28" t="s">
        <v>14</v>
      </c>
      <c r="AD42" s="18"/>
      <c r="AE42" s="28" t="s">
        <v>14</v>
      </c>
      <c r="AF42" s="25" t="str">
        <f t="shared" si="4"/>
        <v>NA</v>
      </c>
      <c r="AG42" s="59" t="str">
        <f t="shared" si="5"/>
        <v>NÃO AVALIADO POR FALHA DE SINCRONISMO</v>
      </c>
      <c r="AH42" s="28" t="s">
        <v>108</v>
      </c>
      <c r="AI42" s="32" t="s">
        <v>1</v>
      </c>
      <c r="AJ42" s="29" t="str">
        <f t="shared" si="6"/>
        <v>GUARULHOS</v>
      </c>
      <c r="AK42" s="33" t="s">
        <v>13</v>
      </c>
    </row>
    <row r="43" spans="1:37" ht="30" customHeight="1" x14ac:dyDescent="0.2">
      <c r="A43" s="82" t="s">
        <v>101</v>
      </c>
      <c r="B43" s="82">
        <v>2615141547</v>
      </c>
      <c r="C43" s="82" t="s">
        <v>1734</v>
      </c>
      <c r="D43" s="82" t="s">
        <v>53</v>
      </c>
      <c r="E43" s="82" t="s">
        <v>102</v>
      </c>
      <c r="F43" s="82" t="s">
        <v>197</v>
      </c>
      <c r="G43" s="82">
        <v>550</v>
      </c>
      <c r="H43" s="87" t="s">
        <v>469</v>
      </c>
      <c r="I43" s="82" t="s">
        <v>162</v>
      </c>
      <c r="J43" s="82" t="s">
        <v>1736</v>
      </c>
      <c r="K43" s="82" t="s">
        <v>1765</v>
      </c>
      <c r="L43" s="82" t="s">
        <v>653</v>
      </c>
      <c r="M43" s="82" t="s">
        <v>1766</v>
      </c>
      <c r="N43" s="82" t="s">
        <v>1738</v>
      </c>
      <c r="O43" s="36" t="s">
        <v>14</v>
      </c>
      <c r="P43" s="18"/>
      <c r="Q43" s="28" t="s">
        <v>14</v>
      </c>
      <c r="R43" s="18"/>
      <c r="S43" s="28" t="s">
        <v>14</v>
      </c>
      <c r="T43" s="18"/>
      <c r="U43" s="28" t="s">
        <v>14</v>
      </c>
      <c r="V43" s="18"/>
      <c r="W43" s="28" t="s">
        <v>14</v>
      </c>
      <c r="X43" s="18"/>
      <c r="Y43" s="28" t="s">
        <v>14</v>
      </c>
      <c r="Z43" s="18"/>
      <c r="AA43" s="28" t="s">
        <v>14</v>
      </c>
      <c r="AB43" s="18"/>
      <c r="AC43" s="28" t="s">
        <v>14</v>
      </c>
      <c r="AD43" s="18"/>
      <c r="AE43" s="28" t="s">
        <v>14</v>
      </c>
      <c r="AF43" s="25" t="str">
        <f t="shared" si="4"/>
        <v>NA</v>
      </c>
      <c r="AG43" s="59" t="str">
        <f t="shared" si="5"/>
        <v>NÃO AVALIADO POR FALHA DE SINCRONISMO</v>
      </c>
      <c r="AH43" s="28" t="s">
        <v>108</v>
      </c>
      <c r="AI43" s="32" t="s">
        <v>1</v>
      </c>
      <c r="AJ43" s="29" t="str">
        <f t="shared" si="6"/>
        <v>GUARULHOS</v>
      </c>
      <c r="AK43" s="33" t="s">
        <v>13</v>
      </c>
    </row>
    <row r="44" spans="1:37" ht="30" customHeight="1" x14ac:dyDescent="0.2">
      <c r="A44" s="82" t="s">
        <v>101</v>
      </c>
      <c r="B44" s="82">
        <v>2615141301</v>
      </c>
      <c r="C44" s="82" t="s">
        <v>1734</v>
      </c>
      <c r="D44" s="82" t="s">
        <v>53</v>
      </c>
      <c r="E44" s="82" t="s">
        <v>102</v>
      </c>
      <c r="F44" s="82" t="s">
        <v>197</v>
      </c>
      <c r="G44" s="82">
        <v>544</v>
      </c>
      <c r="H44" s="82"/>
      <c r="I44" s="82" t="s">
        <v>162</v>
      </c>
      <c r="J44" s="82" t="s">
        <v>1736</v>
      </c>
      <c r="K44" s="82" t="s">
        <v>1765</v>
      </c>
      <c r="L44" s="82" t="s">
        <v>653</v>
      </c>
      <c r="M44" s="82" t="s">
        <v>1766</v>
      </c>
      <c r="N44" s="82" t="s">
        <v>1738</v>
      </c>
      <c r="O44" s="36" t="s">
        <v>14</v>
      </c>
      <c r="P44" s="18"/>
      <c r="Q44" s="28" t="s">
        <v>14</v>
      </c>
      <c r="R44" s="18"/>
      <c r="S44" s="28" t="s">
        <v>14</v>
      </c>
      <c r="T44" s="18"/>
      <c r="U44" s="28" t="s">
        <v>14</v>
      </c>
      <c r="V44" s="18"/>
      <c r="W44" s="28" t="s">
        <v>14</v>
      </c>
      <c r="X44" s="18"/>
      <c r="Y44" s="28" t="s">
        <v>14</v>
      </c>
      <c r="Z44" s="18"/>
      <c r="AA44" s="28" t="s">
        <v>14</v>
      </c>
      <c r="AB44" s="18"/>
      <c r="AC44" s="28" t="s">
        <v>14</v>
      </c>
      <c r="AD44" s="18"/>
      <c r="AE44" s="28" t="s">
        <v>14</v>
      </c>
      <c r="AF44" s="25" t="str">
        <f t="shared" si="4"/>
        <v>NA</v>
      </c>
      <c r="AG44" s="59" t="str">
        <f t="shared" si="5"/>
        <v>NÃO AVALIADO POR FALHA DE SINCRONISMO</v>
      </c>
      <c r="AH44" s="28" t="s">
        <v>108</v>
      </c>
      <c r="AI44" s="32" t="s">
        <v>1</v>
      </c>
      <c r="AJ44" s="29" t="str">
        <f t="shared" si="6"/>
        <v>GUARULHOS</v>
      </c>
      <c r="AK44" s="33" t="s">
        <v>13</v>
      </c>
    </row>
    <row r="45" spans="1:37" ht="30" customHeight="1" x14ac:dyDescent="0.2">
      <c r="A45" s="82" t="s">
        <v>101</v>
      </c>
      <c r="B45" s="82">
        <v>2615141587</v>
      </c>
      <c r="C45" s="82" t="s">
        <v>1734</v>
      </c>
      <c r="D45" s="82" t="s">
        <v>53</v>
      </c>
      <c r="E45" s="82" t="s">
        <v>102</v>
      </c>
      <c r="F45" s="82" t="s">
        <v>197</v>
      </c>
      <c r="G45" s="82">
        <v>535</v>
      </c>
      <c r="H45" s="82" t="s">
        <v>1328</v>
      </c>
      <c r="I45" s="82" t="s">
        <v>162</v>
      </c>
      <c r="J45" s="82" t="s">
        <v>1736</v>
      </c>
      <c r="K45" s="82" t="s">
        <v>1765</v>
      </c>
      <c r="L45" s="82" t="s">
        <v>653</v>
      </c>
      <c r="M45" s="82" t="s">
        <v>1766</v>
      </c>
      <c r="N45" s="82" t="s">
        <v>1738</v>
      </c>
      <c r="O45" s="36" t="s">
        <v>14</v>
      </c>
      <c r="P45" s="18"/>
      <c r="Q45" s="28" t="s">
        <v>14</v>
      </c>
      <c r="R45" s="18"/>
      <c r="S45" s="28" t="s">
        <v>14</v>
      </c>
      <c r="T45" s="18"/>
      <c r="U45" s="28" t="s">
        <v>14</v>
      </c>
      <c r="V45" s="18"/>
      <c r="W45" s="28" t="s">
        <v>14</v>
      </c>
      <c r="X45" s="18"/>
      <c r="Y45" s="28" t="s">
        <v>14</v>
      </c>
      <c r="Z45" s="18"/>
      <c r="AA45" s="28" t="s">
        <v>14</v>
      </c>
      <c r="AB45" s="18"/>
      <c r="AC45" s="28" t="s">
        <v>14</v>
      </c>
      <c r="AD45" s="18"/>
      <c r="AE45" s="28" t="s">
        <v>14</v>
      </c>
      <c r="AF45" s="25" t="str">
        <f t="shared" si="4"/>
        <v>NA</v>
      </c>
      <c r="AG45" s="59" t="str">
        <f t="shared" si="5"/>
        <v>NÃO AVALIADO POR FALHA DE SINCRONISMO</v>
      </c>
      <c r="AH45" s="28" t="s">
        <v>108</v>
      </c>
      <c r="AI45" s="32" t="s">
        <v>1</v>
      </c>
      <c r="AJ45" s="29" t="str">
        <f t="shared" si="6"/>
        <v>GUARULHOS</v>
      </c>
      <c r="AK45" s="33" t="s">
        <v>13</v>
      </c>
    </row>
    <row r="46" spans="1:37" ht="30" customHeight="1" x14ac:dyDescent="0.2">
      <c r="A46" s="82" t="s">
        <v>101</v>
      </c>
      <c r="B46" s="82">
        <v>2615142721</v>
      </c>
      <c r="C46" s="82" t="s">
        <v>1734</v>
      </c>
      <c r="D46" s="82" t="s">
        <v>53</v>
      </c>
      <c r="E46" s="82" t="s">
        <v>102</v>
      </c>
      <c r="F46" s="82" t="s">
        <v>197</v>
      </c>
      <c r="G46" s="82">
        <v>531</v>
      </c>
      <c r="H46" s="82" t="s">
        <v>1775</v>
      </c>
      <c r="I46" s="82" t="s">
        <v>162</v>
      </c>
      <c r="J46" s="82" t="s">
        <v>1736</v>
      </c>
      <c r="K46" s="82" t="s">
        <v>1765</v>
      </c>
      <c r="L46" s="82" t="s">
        <v>653</v>
      </c>
      <c r="M46" s="82" t="s">
        <v>1766</v>
      </c>
      <c r="N46" s="82" t="s">
        <v>1738</v>
      </c>
      <c r="O46" s="36" t="s">
        <v>14</v>
      </c>
      <c r="P46" s="18"/>
      <c r="Q46" s="28" t="s">
        <v>14</v>
      </c>
      <c r="R46" s="18"/>
      <c r="S46" s="28" t="s">
        <v>14</v>
      </c>
      <c r="T46" s="18"/>
      <c r="U46" s="28" t="s">
        <v>14</v>
      </c>
      <c r="V46" s="18"/>
      <c r="W46" s="28" t="s">
        <v>14</v>
      </c>
      <c r="X46" s="18"/>
      <c r="Y46" s="28" t="s">
        <v>14</v>
      </c>
      <c r="Z46" s="18"/>
      <c r="AA46" s="28" t="s">
        <v>14</v>
      </c>
      <c r="AB46" s="18"/>
      <c r="AC46" s="28" t="s">
        <v>14</v>
      </c>
      <c r="AD46" s="18"/>
      <c r="AE46" s="28" t="s">
        <v>14</v>
      </c>
      <c r="AF46" s="25" t="str">
        <f t="shared" si="4"/>
        <v>NA</v>
      </c>
      <c r="AG46" s="59" t="str">
        <f t="shared" si="5"/>
        <v>NÃO AVALIADO POR FALHA DE SINCRONISMO</v>
      </c>
      <c r="AH46" s="28" t="s">
        <v>108</v>
      </c>
      <c r="AI46" s="32" t="s">
        <v>1</v>
      </c>
      <c r="AJ46" s="29" t="str">
        <f t="shared" si="6"/>
        <v>GUARULHOS</v>
      </c>
      <c r="AK46" s="33" t="s">
        <v>13</v>
      </c>
    </row>
    <row r="47" spans="1:37" ht="30" customHeight="1" x14ac:dyDescent="0.2">
      <c r="A47" s="82" t="s">
        <v>101</v>
      </c>
      <c r="B47" s="82">
        <v>2615142010</v>
      </c>
      <c r="C47" s="82" t="s">
        <v>1734</v>
      </c>
      <c r="D47" s="82" t="s">
        <v>53</v>
      </c>
      <c r="E47" s="82" t="s">
        <v>102</v>
      </c>
      <c r="F47" s="82" t="s">
        <v>197</v>
      </c>
      <c r="G47" s="82">
        <v>513</v>
      </c>
      <c r="H47" s="82" t="s">
        <v>117</v>
      </c>
      <c r="I47" s="82" t="s">
        <v>162</v>
      </c>
      <c r="J47" s="82" t="s">
        <v>1736</v>
      </c>
      <c r="K47" s="82" t="s">
        <v>1765</v>
      </c>
      <c r="L47" s="82" t="s">
        <v>653</v>
      </c>
      <c r="M47" s="82" t="s">
        <v>1766</v>
      </c>
      <c r="N47" s="82" t="s">
        <v>1738</v>
      </c>
      <c r="O47" s="36" t="s">
        <v>14</v>
      </c>
      <c r="P47" s="18"/>
      <c r="Q47" s="28" t="s">
        <v>14</v>
      </c>
      <c r="R47" s="18"/>
      <c r="S47" s="28" t="s">
        <v>14</v>
      </c>
      <c r="T47" s="18"/>
      <c r="U47" s="28" t="s">
        <v>14</v>
      </c>
      <c r="V47" s="18"/>
      <c r="W47" s="28" t="s">
        <v>14</v>
      </c>
      <c r="X47" s="18"/>
      <c r="Y47" s="28" t="s">
        <v>14</v>
      </c>
      <c r="Z47" s="18"/>
      <c r="AA47" s="28" t="s">
        <v>14</v>
      </c>
      <c r="AB47" s="18"/>
      <c r="AC47" s="28" t="s">
        <v>14</v>
      </c>
      <c r="AD47" s="18"/>
      <c r="AE47" s="28" t="s">
        <v>14</v>
      </c>
      <c r="AF47" s="25" t="str">
        <f t="shared" si="4"/>
        <v>NA</v>
      </c>
      <c r="AG47" s="59" t="str">
        <f t="shared" si="5"/>
        <v>NÃO AVALIADO POR FALHA DE SINCRONISMO</v>
      </c>
      <c r="AH47" s="28" t="s">
        <v>108</v>
      </c>
      <c r="AI47" s="32" t="s">
        <v>1</v>
      </c>
      <c r="AJ47" s="29" t="str">
        <f t="shared" si="6"/>
        <v>GUARULHOS</v>
      </c>
      <c r="AK47" s="33" t="s">
        <v>13</v>
      </c>
    </row>
    <row r="48" spans="1:37" ht="30" customHeight="1" x14ac:dyDescent="0.2">
      <c r="A48" s="82" t="s">
        <v>101</v>
      </c>
      <c r="B48" s="82">
        <v>2614825605</v>
      </c>
      <c r="C48" s="82" t="s">
        <v>1734</v>
      </c>
      <c r="D48" s="82" t="s">
        <v>53</v>
      </c>
      <c r="E48" s="82" t="s">
        <v>102</v>
      </c>
      <c r="F48" s="82" t="s">
        <v>503</v>
      </c>
      <c r="G48" s="82">
        <v>130</v>
      </c>
      <c r="H48" s="82" t="s">
        <v>1776</v>
      </c>
      <c r="I48" s="82" t="s">
        <v>237</v>
      </c>
      <c r="J48" s="82" t="s">
        <v>1736</v>
      </c>
      <c r="K48" s="88" t="s">
        <v>1777</v>
      </c>
      <c r="L48" s="82" t="s">
        <v>653</v>
      </c>
      <c r="M48" s="82" t="s">
        <v>1774</v>
      </c>
      <c r="N48" s="82" t="s">
        <v>1760</v>
      </c>
      <c r="O48" s="36" t="s">
        <v>14</v>
      </c>
      <c r="P48" s="18"/>
      <c r="Q48" s="28" t="s">
        <v>14</v>
      </c>
      <c r="R48" s="18"/>
      <c r="S48" s="28" t="s">
        <v>14</v>
      </c>
      <c r="T48" s="18"/>
      <c r="U48" s="28" t="s">
        <v>14</v>
      </c>
      <c r="V48" s="18"/>
      <c r="W48" s="28" t="s">
        <v>14</v>
      </c>
      <c r="X48" s="18"/>
      <c r="Y48" s="28" t="s">
        <v>14</v>
      </c>
      <c r="Z48" s="18"/>
      <c r="AA48" s="28" t="s">
        <v>14</v>
      </c>
      <c r="AB48" s="18"/>
      <c r="AC48" s="28" t="s">
        <v>14</v>
      </c>
      <c r="AD48" s="18"/>
      <c r="AE48" s="28" t="s">
        <v>14</v>
      </c>
      <c r="AF48" s="25" t="str">
        <f t="shared" si="4"/>
        <v>NA</v>
      </c>
      <c r="AG48" s="59" t="str">
        <f t="shared" si="5"/>
        <v>NÃO AVALIADO POR FALHA DE SINCRONISMO</v>
      </c>
      <c r="AH48" s="28" t="s">
        <v>108</v>
      </c>
      <c r="AI48" s="32" t="s">
        <v>1</v>
      </c>
      <c r="AJ48" s="29" t="str">
        <f t="shared" si="6"/>
        <v>GUARULHOS</v>
      </c>
      <c r="AK48" s="33" t="s">
        <v>13</v>
      </c>
    </row>
    <row r="49" spans="1:37" ht="30" customHeight="1" x14ac:dyDescent="0.2">
      <c r="A49" s="82" t="s">
        <v>101</v>
      </c>
      <c r="B49" s="82">
        <v>2614825687</v>
      </c>
      <c r="C49" s="82" t="s">
        <v>1734</v>
      </c>
      <c r="D49" s="82" t="s">
        <v>53</v>
      </c>
      <c r="E49" s="82" t="s">
        <v>102</v>
      </c>
      <c r="F49" s="82" t="s">
        <v>503</v>
      </c>
      <c r="G49" s="82">
        <v>493</v>
      </c>
      <c r="H49" s="82" t="s">
        <v>1778</v>
      </c>
      <c r="I49" s="82" t="s">
        <v>237</v>
      </c>
      <c r="J49" s="82" t="s">
        <v>1736</v>
      </c>
      <c r="K49" s="88" t="s">
        <v>1777</v>
      </c>
      <c r="L49" s="82" t="s">
        <v>653</v>
      </c>
      <c r="M49" s="82" t="s">
        <v>1774</v>
      </c>
      <c r="N49" s="82" t="s">
        <v>1760</v>
      </c>
      <c r="O49" s="36" t="s">
        <v>14</v>
      </c>
      <c r="P49" s="18"/>
      <c r="Q49" s="28" t="s">
        <v>14</v>
      </c>
      <c r="R49" s="18"/>
      <c r="S49" s="28" t="s">
        <v>14</v>
      </c>
      <c r="T49" s="18"/>
      <c r="U49" s="28" t="s">
        <v>14</v>
      </c>
      <c r="V49" s="18"/>
      <c r="W49" s="28" t="s">
        <v>14</v>
      </c>
      <c r="X49" s="18"/>
      <c r="Y49" s="28" t="s">
        <v>14</v>
      </c>
      <c r="Z49" s="18"/>
      <c r="AA49" s="28" t="s">
        <v>14</v>
      </c>
      <c r="AB49" s="18"/>
      <c r="AC49" s="28" t="s">
        <v>14</v>
      </c>
      <c r="AD49" s="18"/>
      <c r="AE49" s="28" t="s">
        <v>14</v>
      </c>
      <c r="AF49" s="25" t="str">
        <f t="shared" si="4"/>
        <v>NA</v>
      </c>
      <c r="AG49" s="59" t="str">
        <f t="shared" si="5"/>
        <v>NÃO AVALIADO POR FALHA DE SINCRONISMO</v>
      </c>
      <c r="AH49" s="28" t="s">
        <v>108</v>
      </c>
      <c r="AI49" s="32" t="s">
        <v>1</v>
      </c>
      <c r="AJ49" s="29" t="str">
        <f t="shared" si="6"/>
        <v>GUARULHOS</v>
      </c>
      <c r="AK49" s="33" t="s">
        <v>13</v>
      </c>
    </row>
    <row r="50" spans="1:37" ht="30" customHeight="1" x14ac:dyDescent="0.2">
      <c r="A50" s="82" t="s">
        <v>101</v>
      </c>
      <c r="B50" s="82">
        <v>2614825414</v>
      </c>
      <c r="C50" s="82" t="s">
        <v>1734</v>
      </c>
      <c r="D50" s="82" t="s">
        <v>53</v>
      </c>
      <c r="E50" s="82" t="s">
        <v>102</v>
      </c>
      <c r="F50" s="82" t="s">
        <v>503</v>
      </c>
      <c r="G50" s="82">
        <v>148</v>
      </c>
      <c r="H50" s="82" t="s">
        <v>1779</v>
      </c>
      <c r="I50" s="82" t="s">
        <v>237</v>
      </c>
      <c r="J50" s="82" t="s">
        <v>1736</v>
      </c>
      <c r="K50" s="88" t="s">
        <v>1777</v>
      </c>
      <c r="L50" s="82" t="s">
        <v>653</v>
      </c>
      <c r="M50" s="82" t="s">
        <v>1774</v>
      </c>
      <c r="N50" s="82" t="s">
        <v>1760</v>
      </c>
      <c r="O50" s="36" t="s">
        <v>14</v>
      </c>
      <c r="P50" s="18"/>
      <c r="Q50" s="28" t="s">
        <v>14</v>
      </c>
      <c r="R50" s="18"/>
      <c r="S50" s="28" t="s">
        <v>14</v>
      </c>
      <c r="T50" s="18"/>
      <c r="U50" s="28" t="s">
        <v>14</v>
      </c>
      <c r="V50" s="18"/>
      <c r="W50" s="28" t="s">
        <v>14</v>
      </c>
      <c r="X50" s="18"/>
      <c r="Y50" s="28" t="s">
        <v>14</v>
      </c>
      <c r="Z50" s="18"/>
      <c r="AA50" s="28" t="s">
        <v>14</v>
      </c>
      <c r="AB50" s="18"/>
      <c r="AC50" s="28" t="s">
        <v>14</v>
      </c>
      <c r="AD50" s="18"/>
      <c r="AE50" s="28" t="s">
        <v>14</v>
      </c>
      <c r="AF50" s="25" t="str">
        <f t="shared" si="4"/>
        <v>NA</v>
      </c>
      <c r="AG50" s="59" t="str">
        <f t="shared" si="5"/>
        <v>NÃO AVALIADO POR FALHA DE SINCRONISMO</v>
      </c>
      <c r="AH50" s="28" t="s">
        <v>108</v>
      </c>
      <c r="AI50" s="32" t="s">
        <v>1</v>
      </c>
      <c r="AJ50" s="29" t="str">
        <f t="shared" si="6"/>
        <v>GUARULHOS</v>
      </c>
      <c r="AK50" s="33" t="s">
        <v>13</v>
      </c>
    </row>
    <row r="51" spans="1:37" ht="30" customHeight="1" x14ac:dyDescent="0.2">
      <c r="A51" s="82" t="s">
        <v>101</v>
      </c>
      <c r="B51" s="82">
        <v>2614825334</v>
      </c>
      <c r="C51" s="82" t="s">
        <v>1734</v>
      </c>
      <c r="D51" s="82" t="s">
        <v>53</v>
      </c>
      <c r="E51" s="82" t="s">
        <v>102</v>
      </c>
      <c r="F51" s="82" t="s">
        <v>503</v>
      </c>
      <c r="G51" s="82">
        <v>143</v>
      </c>
      <c r="H51" s="82" t="s">
        <v>1780</v>
      </c>
      <c r="I51" s="82" t="s">
        <v>237</v>
      </c>
      <c r="J51" s="82" t="s">
        <v>1736</v>
      </c>
      <c r="K51" s="88" t="s">
        <v>1777</v>
      </c>
      <c r="L51" s="82" t="s">
        <v>653</v>
      </c>
      <c r="M51" s="82" t="s">
        <v>1774</v>
      </c>
      <c r="N51" s="82" t="s">
        <v>1760</v>
      </c>
      <c r="O51" s="36" t="s">
        <v>14</v>
      </c>
      <c r="P51" s="18"/>
      <c r="Q51" s="28" t="s">
        <v>14</v>
      </c>
      <c r="R51" s="18"/>
      <c r="S51" s="28" t="s">
        <v>14</v>
      </c>
      <c r="T51" s="18"/>
      <c r="U51" s="28" t="s">
        <v>14</v>
      </c>
      <c r="V51" s="18"/>
      <c r="W51" s="28" t="s">
        <v>14</v>
      </c>
      <c r="X51" s="18"/>
      <c r="Y51" s="28" t="s">
        <v>14</v>
      </c>
      <c r="Z51" s="18"/>
      <c r="AA51" s="28" t="s">
        <v>14</v>
      </c>
      <c r="AB51" s="18"/>
      <c r="AC51" s="28" t="s">
        <v>14</v>
      </c>
      <c r="AD51" s="18"/>
      <c r="AE51" s="28" t="s">
        <v>14</v>
      </c>
      <c r="AF51" s="25" t="str">
        <f t="shared" si="4"/>
        <v>NA</v>
      </c>
      <c r="AG51" s="59" t="str">
        <f t="shared" si="5"/>
        <v>NÃO AVALIADO POR FALHA DE SINCRONISMO</v>
      </c>
      <c r="AH51" s="28" t="s">
        <v>108</v>
      </c>
      <c r="AI51" s="32" t="s">
        <v>1</v>
      </c>
      <c r="AJ51" s="29" t="str">
        <f t="shared" si="6"/>
        <v>GUARULHOS</v>
      </c>
      <c r="AK51" s="33" t="s">
        <v>13</v>
      </c>
    </row>
    <row r="52" spans="1:37" ht="30" customHeight="1" x14ac:dyDescent="0.2">
      <c r="A52" s="82" t="s">
        <v>101</v>
      </c>
      <c r="B52" s="82">
        <v>2614825250</v>
      </c>
      <c r="C52" s="82" t="s">
        <v>1734</v>
      </c>
      <c r="D52" s="82" t="s">
        <v>53</v>
      </c>
      <c r="E52" s="82" t="s">
        <v>102</v>
      </c>
      <c r="F52" s="82" t="s">
        <v>503</v>
      </c>
      <c r="G52" s="82">
        <v>142</v>
      </c>
      <c r="H52" s="82" t="s">
        <v>1781</v>
      </c>
      <c r="I52" s="82" t="s">
        <v>237</v>
      </c>
      <c r="J52" s="82" t="s">
        <v>1736</v>
      </c>
      <c r="K52" s="88" t="s">
        <v>1777</v>
      </c>
      <c r="L52" s="82" t="s">
        <v>653</v>
      </c>
      <c r="M52" s="82" t="s">
        <v>1774</v>
      </c>
      <c r="N52" s="82" t="s">
        <v>1760</v>
      </c>
      <c r="O52" s="36" t="s">
        <v>14</v>
      </c>
      <c r="P52" s="18"/>
      <c r="Q52" s="28" t="s">
        <v>14</v>
      </c>
      <c r="R52" s="18"/>
      <c r="S52" s="28" t="s">
        <v>14</v>
      </c>
      <c r="T52" s="18"/>
      <c r="U52" s="28" t="s">
        <v>14</v>
      </c>
      <c r="V52" s="18"/>
      <c r="W52" s="28" t="s">
        <v>14</v>
      </c>
      <c r="X52" s="18"/>
      <c r="Y52" s="28" t="s">
        <v>14</v>
      </c>
      <c r="Z52" s="18"/>
      <c r="AA52" s="28" t="s">
        <v>14</v>
      </c>
      <c r="AB52" s="18"/>
      <c r="AC52" s="28" t="s">
        <v>14</v>
      </c>
      <c r="AD52" s="18"/>
      <c r="AE52" s="28" t="s">
        <v>14</v>
      </c>
      <c r="AF52" s="25" t="str">
        <f t="shared" si="4"/>
        <v>NA</v>
      </c>
      <c r="AG52" s="59" t="str">
        <f t="shared" si="5"/>
        <v>NÃO AVALIADO POR FALHA DE SINCRONISMO</v>
      </c>
      <c r="AH52" s="28" t="s">
        <v>108</v>
      </c>
      <c r="AI52" s="32" t="s">
        <v>1</v>
      </c>
      <c r="AJ52" s="29" t="str">
        <f t="shared" si="6"/>
        <v>GUARULHOS</v>
      </c>
      <c r="AK52" s="33" t="s">
        <v>13</v>
      </c>
    </row>
    <row r="53" spans="1:37" ht="30" customHeight="1" x14ac:dyDescent="0.2">
      <c r="A53" s="82" t="s">
        <v>101</v>
      </c>
      <c r="B53" s="82">
        <v>2614825476</v>
      </c>
      <c r="C53" s="82" t="s">
        <v>1734</v>
      </c>
      <c r="D53" s="82" t="s">
        <v>53</v>
      </c>
      <c r="E53" s="82" t="s">
        <v>102</v>
      </c>
      <c r="F53" s="82" t="s">
        <v>503</v>
      </c>
      <c r="G53" s="82">
        <v>138</v>
      </c>
      <c r="H53" s="82" t="s">
        <v>1782</v>
      </c>
      <c r="I53" s="82" t="s">
        <v>237</v>
      </c>
      <c r="J53" s="82" t="s">
        <v>1736</v>
      </c>
      <c r="K53" s="88" t="s">
        <v>1777</v>
      </c>
      <c r="L53" s="82" t="s">
        <v>653</v>
      </c>
      <c r="M53" s="82" t="s">
        <v>1774</v>
      </c>
      <c r="N53" s="82" t="s">
        <v>1760</v>
      </c>
      <c r="O53" s="36" t="s">
        <v>14</v>
      </c>
      <c r="P53" s="18"/>
      <c r="Q53" s="28" t="s">
        <v>14</v>
      </c>
      <c r="R53" s="18"/>
      <c r="S53" s="28" t="s">
        <v>14</v>
      </c>
      <c r="T53" s="18"/>
      <c r="U53" s="28" t="s">
        <v>14</v>
      </c>
      <c r="V53" s="18"/>
      <c r="W53" s="28" t="s">
        <v>14</v>
      </c>
      <c r="X53" s="18"/>
      <c r="Y53" s="28" t="s">
        <v>14</v>
      </c>
      <c r="Z53" s="18"/>
      <c r="AA53" s="28" t="s">
        <v>14</v>
      </c>
      <c r="AB53" s="18"/>
      <c r="AC53" s="28" t="s">
        <v>14</v>
      </c>
      <c r="AD53" s="18"/>
      <c r="AE53" s="28" t="s">
        <v>14</v>
      </c>
      <c r="AF53" s="25" t="str">
        <f t="shared" si="4"/>
        <v>NA</v>
      </c>
      <c r="AG53" s="59" t="str">
        <f t="shared" si="5"/>
        <v>NÃO AVALIADO POR FALHA DE SINCRONISMO</v>
      </c>
      <c r="AH53" s="28" t="s">
        <v>108</v>
      </c>
      <c r="AI53" s="32" t="s">
        <v>1</v>
      </c>
      <c r="AJ53" s="29" t="str">
        <f t="shared" si="6"/>
        <v>GUARULHOS</v>
      </c>
      <c r="AK53" s="33" t="s">
        <v>13</v>
      </c>
    </row>
    <row r="54" spans="1:37" ht="30" customHeight="1" x14ac:dyDescent="0.2">
      <c r="A54" s="82" t="s">
        <v>101</v>
      </c>
      <c r="B54" s="82">
        <v>2614825177</v>
      </c>
      <c r="C54" s="82" t="s">
        <v>1734</v>
      </c>
      <c r="D54" s="82" t="s">
        <v>53</v>
      </c>
      <c r="E54" s="82" t="s">
        <v>102</v>
      </c>
      <c r="F54" s="82" t="s">
        <v>503</v>
      </c>
      <c r="G54" s="82">
        <v>135</v>
      </c>
      <c r="H54" s="82" t="s">
        <v>1783</v>
      </c>
      <c r="I54" s="82" t="s">
        <v>237</v>
      </c>
      <c r="J54" s="82" t="s">
        <v>1736</v>
      </c>
      <c r="K54" s="88" t="s">
        <v>1777</v>
      </c>
      <c r="L54" s="82" t="s">
        <v>653</v>
      </c>
      <c r="M54" s="82" t="s">
        <v>1774</v>
      </c>
      <c r="N54" s="82" t="s">
        <v>1760</v>
      </c>
      <c r="O54" s="36" t="s">
        <v>14</v>
      </c>
      <c r="P54" s="18"/>
      <c r="Q54" s="28" t="s">
        <v>14</v>
      </c>
      <c r="R54" s="18"/>
      <c r="S54" s="28" t="s">
        <v>14</v>
      </c>
      <c r="T54" s="18"/>
      <c r="U54" s="28" t="s">
        <v>14</v>
      </c>
      <c r="V54" s="18"/>
      <c r="W54" s="28" t="s">
        <v>14</v>
      </c>
      <c r="X54" s="18"/>
      <c r="Y54" s="28" t="s">
        <v>14</v>
      </c>
      <c r="Z54" s="18"/>
      <c r="AA54" s="28" t="s">
        <v>14</v>
      </c>
      <c r="AB54" s="18"/>
      <c r="AC54" s="28" t="s">
        <v>14</v>
      </c>
      <c r="AD54" s="18"/>
      <c r="AE54" s="28" t="s">
        <v>14</v>
      </c>
      <c r="AF54" s="25" t="str">
        <f t="shared" si="4"/>
        <v>NA</v>
      </c>
      <c r="AG54" s="59" t="str">
        <f t="shared" si="5"/>
        <v>NÃO AVALIADO POR FALHA DE SINCRONISMO</v>
      </c>
      <c r="AH54" s="28" t="s">
        <v>108</v>
      </c>
      <c r="AI54" s="32" t="s">
        <v>1</v>
      </c>
      <c r="AJ54" s="29" t="str">
        <f t="shared" si="6"/>
        <v>GUARULHOS</v>
      </c>
      <c r="AK54" s="33" t="s">
        <v>13</v>
      </c>
    </row>
    <row r="55" spans="1:37" ht="30" customHeight="1" x14ac:dyDescent="0.2">
      <c r="A55" s="82" t="s">
        <v>101</v>
      </c>
      <c r="B55" s="82">
        <v>2614825189</v>
      </c>
      <c r="C55" s="82" t="s">
        <v>1734</v>
      </c>
      <c r="D55" s="82" t="s">
        <v>53</v>
      </c>
      <c r="E55" s="82" t="s">
        <v>102</v>
      </c>
      <c r="F55" s="82" t="s">
        <v>503</v>
      </c>
      <c r="G55" s="82">
        <v>131</v>
      </c>
      <c r="H55" s="82" t="s">
        <v>1784</v>
      </c>
      <c r="I55" s="82" t="s">
        <v>237</v>
      </c>
      <c r="J55" s="82" t="s">
        <v>1736</v>
      </c>
      <c r="K55" s="88" t="s">
        <v>1777</v>
      </c>
      <c r="L55" s="82" t="s">
        <v>653</v>
      </c>
      <c r="M55" s="82" t="s">
        <v>1774</v>
      </c>
      <c r="N55" s="82" t="s">
        <v>1760</v>
      </c>
      <c r="O55" s="36" t="s">
        <v>14</v>
      </c>
      <c r="P55" s="18"/>
      <c r="Q55" s="28" t="s">
        <v>14</v>
      </c>
      <c r="R55" s="18"/>
      <c r="S55" s="28" t="s">
        <v>14</v>
      </c>
      <c r="T55" s="18"/>
      <c r="U55" s="28" t="s">
        <v>14</v>
      </c>
      <c r="V55" s="18"/>
      <c r="W55" s="28" t="s">
        <v>14</v>
      </c>
      <c r="X55" s="18"/>
      <c r="Y55" s="28" t="s">
        <v>14</v>
      </c>
      <c r="Z55" s="18"/>
      <c r="AA55" s="28" t="s">
        <v>14</v>
      </c>
      <c r="AB55" s="18"/>
      <c r="AC55" s="28" t="s">
        <v>14</v>
      </c>
      <c r="AD55" s="18"/>
      <c r="AE55" s="28" t="s">
        <v>14</v>
      </c>
      <c r="AF55" s="25" t="str">
        <f t="shared" si="4"/>
        <v>NA</v>
      </c>
      <c r="AG55" s="59" t="str">
        <f t="shared" si="5"/>
        <v>NÃO AVALIADO POR FALHA DE SINCRONISMO</v>
      </c>
      <c r="AH55" s="28" t="s">
        <v>108</v>
      </c>
      <c r="AI55" s="32" t="s">
        <v>1</v>
      </c>
      <c r="AJ55" s="29" t="str">
        <f t="shared" si="6"/>
        <v>GUARULHOS</v>
      </c>
      <c r="AK55" s="33" t="s">
        <v>13</v>
      </c>
    </row>
    <row r="56" spans="1:37" ht="30" customHeight="1" x14ac:dyDescent="0.2">
      <c r="A56" s="82" t="s">
        <v>101</v>
      </c>
      <c r="B56" s="82">
        <v>2614825780</v>
      </c>
      <c r="C56" s="82" t="s">
        <v>1734</v>
      </c>
      <c r="D56" s="82" t="s">
        <v>53</v>
      </c>
      <c r="E56" s="82" t="s">
        <v>102</v>
      </c>
      <c r="F56" s="82" t="s">
        <v>161</v>
      </c>
      <c r="G56" s="82">
        <v>167</v>
      </c>
      <c r="H56" s="82" t="s">
        <v>1789</v>
      </c>
      <c r="I56" s="82" t="s">
        <v>162</v>
      </c>
      <c r="J56" s="82" t="s">
        <v>1736</v>
      </c>
      <c r="K56" s="88" t="s">
        <v>1790</v>
      </c>
      <c r="L56" s="82" t="s">
        <v>734</v>
      </c>
      <c r="M56" s="82" t="s">
        <v>1791</v>
      </c>
      <c r="N56" s="82" t="s">
        <v>1740</v>
      </c>
      <c r="O56" s="36" t="s">
        <v>14</v>
      </c>
      <c r="P56" s="18"/>
      <c r="Q56" s="28" t="s">
        <v>14</v>
      </c>
      <c r="R56" s="18"/>
      <c r="S56" s="28" t="s">
        <v>14</v>
      </c>
      <c r="T56" s="18"/>
      <c r="U56" s="28" t="s">
        <v>14</v>
      </c>
      <c r="V56" s="18"/>
      <c r="W56" s="28" t="s">
        <v>14</v>
      </c>
      <c r="X56" s="18"/>
      <c r="Y56" s="28" t="s">
        <v>14</v>
      </c>
      <c r="Z56" s="18"/>
      <c r="AA56" s="28" t="s">
        <v>14</v>
      </c>
      <c r="AB56" s="18"/>
      <c r="AC56" s="28" t="s">
        <v>14</v>
      </c>
      <c r="AD56" s="18"/>
      <c r="AE56" s="28" t="s">
        <v>14</v>
      </c>
      <c r="AF56" s="25" t="str">
        <f t="shared" si="4"/>
        <v>NA</v>
      </c>
      <c r="AG56" s="59" t="str">
        <f t="shared" si="5"/>
        <v>NÃO AVALIADO POR FALHA DE SINCRONISMO</v>
      </c>
      <c r="AH56" s="28" t="s">
        <v>108</v>
      </c>
      <c r="AI56" s="32" t="s">
        <v>1</v>
      </c>
      <c r="AJ56" s="29" t="str">
        <f t="shared" si="6"/>
        <v>GUARULHOS</v>
      </c>
      <c r="AK56" s="33" t="s">
        <v>13</v>
      </c>
    </row>
    <row r="57" spans="1:37" ht="30" customHeight="1" x14ac:dyDescent="0.2">
      <c r="A57" s="82" t="s">
        <v>101</v>
      </c>
      <c r="B57" s="82">
        <v>2614826546</v>
      </c>
      <c r="C57" s="82" t="s">
        <v>1734</v>
      </c>
      <c r="D57" s="82" t="s">
        <v>53</v>
      </c>
      <c r="E57" s="82" t="s">
        <v>102</v>
      </c>
      <c r="F57" s="82" t="s">
        <v>161</v>
      </c>
      <c r="G57" s="82">
        <v>190</v>
      </c>
      <c r="H57" s="82" t="s">
        <v>1792</v>
      </c>
      <c r="I57" s="82" t="s">
        <v>162</v>
      </c>
      <c r="J57" s="82" t="s">
        <v>1736</v>
      </c>
      <c r="K57" s="88" t="s">
        <v>1790</v>
      </c>
      <c r="L57" s="82" t="s">
        <v>734</v>
      </c>
      <c r="M57" s="82" t="s">
        <v>1791</v>
      </c>
      <c r="N57" s="82" t="s">
        <v>1740</v>
      </c>
      <c r="O57" s="36" t="s">
        <v>14</v>
      </c>
      <c r="P57" s="18"/>
      <c r="Q57" s="28" t="s">
        <v>14</v>
      </c>
      <c r="R57" s="18"/>
      <c r="S57" s="28" t="s">
        <v>14</v>
      </c>
      <c r="T57" s="18"/>
      <c r="U57" s="28" t="s">
        <v>14</v>
      </c>
      <c r="V57" s="18"/>
      <c r="W57" s="28" t="s">
        <v>14</v>
      </c>
      <c r="X57" s="18"/>
      <c r="Y57" s="28" t="s">
        <v>14</v>
      </c>
      <c r="Z57" s="18"/>
      <c r="AA57" s="28" t="s">
        <v>14</v>
      </c>
      <c r="AB57" s="18"/>
      <c r="AC57" s="28" t="s">
        <v>14</v>
      </c>
      <c r="AD57" s="18"/>
      <c r="AE57" s="28" t="s">
        <v>14</v>
      </c>
      <c r="AF57" s="25" t="str">
        <f t="shared" si="4"/>
        <v>NA</v>
      </c>
      <c r="AG57" s="59" t="str">
        <f t="shared" si="5"/>
        <v>NÃO AVALIADO POR FALHA DE SINCRONISMO</v>
      </c>
      <c r="AH57" s="28" t="s">
        <v>108</v>
      </c>
      <c r="AI57" s="32" t="s">
        <v>1</v>
      </c>
      <c r="AJ57" s="29" t="str">
        <f t="shared" si="6"/>
        <v>GUARULHOS</v>
      </c>
      <c r="AK57" s="33" t="s">
        <v>13</v>
      </c>
    </row>
    <row r="58" spans="1:37" ht="30" customHeight="1" x14ac:dyDescent="0.2">
      <c r="A58" s="82" t="s">
        <v>101</v>
      </c>
      <c r="B58" s="82">
        <v>2614826426</v>
      </c>
      <c r="C58" s="82" t="s">
        <v>1734</v>
      </c>
      <c r="D58" s="82" t="s">
        <v>53</v>
      </c>
      <c r="E58" s="82" t="s">
        <v>102</v>
      </c>
      <c r="F58" s="82" t="s">
        <v>161</v>
      </c>
      <c r="G58" s="82">
        <v>186</v>
      </c>
      <c r="H58" s="82" t="s">
        <v>165</v>
      </c>
      <c r="I58" s="82" t="s">
        <v>162</v>
      </c>
      <c r="J58" s="82" t="s">
        <v>1736</v>
      </c>
      <c r="K58" s="88" t="s">
        <v>1790</v>
      </c>
      <c r="L58" s="82" t="s">
        <v>734</v>
      </c>
      <c r="M58" s="82" t="s">
        <v>1791</v>
      </c>
      <c r="N58" s="82" t="s">
        <v>1740</v>
      </c>
      <c r="O58" s="36" t="s">
        <v>14</v>
      </c>
      <c r="P58" s="18"/>
      <c r="Q58" s="28" t="s">
        <v>14</v>
      </c>
      <c r="R58" s="18"/>
      <c r="S58" s="28" t="s">
        <v>14</v>
      </c>
      <c r="T58" s="18"/>
      <c r="U58" s="28" t="s">
        <v>14</v>
      </c>
      <c r="V58" s="18"/>
      <c r="W58" s="28" t="s">
        <v>14</v>
      </c>
      <c r="X58" s="18"/>
      <c r="Y58" s="28" t="s">
        <v>14</v>
      </c>
      <c r="Z58" s="18"/>
      <c r="AA58" s="28" t="s">
        <v>14</v>
      </c>
      <c r="AB58" s="18"/>
      <c r="AC58" s="28" t="s">
        <v>14</v>
      </c>
      <c r="AD58" s="18"/>
      <c r="AE58" s="28" t="s">
        <v>14</v>
      </c>
      <c r="AF58" s="25" t="str">
        <f t="shared" si="4"/>
        <v>NA</v>
      </c>
      <c r="AG58" s="59" t="str">
        <f t="shared" si="5"/>
        <v>NÃO AVALIADO POR FALHA DE SINCRONISMO</v>
      </c>
      <c r="AH58" s="28" t="s">
        <v>108</v>
      </c>
      <c r="AI58" s="32" t="s">
        <v>1</v>
      </c>
      <c r="AJ58" s="29" t="str">
        <f t="shared" si="6"/>
        <v>GUARULHOS</v>
      </c>
      <c r="AK58" s="33" t="s">
        <v>13</v>
      </c>
    </row>
    <row r="59" spans="1:37" ht="30" customHeight="1" x14ac:dyDescent="0.2">
      <c r="A59" s="82" t="s">
        <v>101</v>
      </c>
      <c r="B59" s="82">
        <v>2614826274</v>
      </c>
      <c r="C59" s="82" t="s">
        <v>1734</v>
      </c>
      <c r="D59" s="82" t="s">
        <v>53</v>
      </c>
      <c r="E59" s="82" t="s">
        <v>102</v>
      </c>
      <c r="F59" s="82" t="s">
        <v>161</v>
      </c>
      <c r="G59" s="82">
        <v>182</v>
      </c>
      <c r="H59" s="82" t="s">
        <v>117</v>
      </c>
      <c r="I59" s="82" t="s">
        <v>162</v>
      </c>
      <c r="J59" s="82" t="s">
        <v>1736</v>
      </c>
      <c r="K59" s="88" t="s">
        <v>1790</v>
      </c>
      <c r="L59" s="82" t="s">
        <v>734</v>
      </c>
      <c r="M59" s="82" t="s">
        <v>1791</v>
      </c>
      <c r="N59" s="82" t="s">
        <v>1740</v>
      </c>
      <c r="O59" s="36" t="s">
        <v>14</v>
      </c>
      <c r="P59" s="18"/>
      <c r="Q59" s="28" t="s">
        <v>14</v>
      </c>
      <c r="R59" s="18"/>
      <c r="S59" s="28" t="s">
        <v>14</v>
      </c>
      <c r="T59" s="18"/>
      <c r="U59" s="28" t="s">
        <v>14</v>
      </c>
      <c r="V59" s="18"/>
      <c r="W59" s="28" t="s">
        <v>14</v>
      </c>
      <c r="X59" s="18"/>
      <c r="Y59" s="28" t="s">
        <v>14</v>
      </c>
      <c r="Z59" s="18"/>
      <c r="AA59" s="28" t="s">
        <v>14</v>
      </c>
      <c r="AB59" s="18"/>
      <c r="AC59" s="28" t="s">
        <v>14</v>
      </c>
      <c r="AD59" s="18"/>
      <c r="AE59" s="28" t="s">
        <v>14</v>
      </c>
      <c r="AF59" s="25" t="str">
        <f t="shared" si="4"/>
        <v>NA</v>
      </c>
      <c r="AG59" s="59" t="str">
        <f t="shared" si="5"/>
        <v>NÃO AVALIADO POR FALHA DE SINCRONISMO</v>
      </c>
      <c r="AH59" s="28" t="s">
        <v>108</v>
      </c>
      <c r="AI59" s="32" t="s">
        <v>1</v>
      </c>
      <c r="AJ59" s="29" t="str">
        <f t="shared" si="6"/>
        <v>GUARULHOS</v>
      </c>
      <c r="AK59" s="33" t="s">
        <v>13</v>
      </c>
    </row>
    <row r="60" spans="1:37" ht="30" customHeight="1" x14ac:dyDescent="0.2">
      <c r="A60" s="82" t="s">
        <v>101</v>
      </c>
      <c r="B60" s="82">
        <v>2614825936</v>
      </c>
      <c r="C60" s="82" t="s">
        <v>1734</v>
      </c>
      <c r="D60" s="82" t="s">
        <v>53</v>
      </c>
      <c r="E60" s="82" t="s">
        <v>102</v>
      </c>
      <c r="F60" s="82" t="s">
        <v>161</v>
      </c>
      <c r="G60" s="82">
        <v>159</v>
      </c>
      <c r="H60" s="82" t="s">
        <v>1793</v>
      </c>
      <c r="I60" s="82" t="s">
        <v>162</v>
      </c>
      <c r="J60" s="82" t="s">
        <v>1736</v>
      </c>
      <c r="K60" s="88" t="s">
        <v>1790</v>
      </c>
      <c r="L60" s="82" t="s">
        <v>734</v>
      </c>
      <c r="M60" s="82" t="s">
        <v>1791</v>
      </c>
      <c r="N60" s="82" t="s">
        <v>1740</v>
      </c>
      <c r="O60" s="36" t="s">
        <v>14</v>
      </c>
      <c r="P60" s="18"/>
      <c r="Q60" s="28" t="s">
        <v>14</v>
      </c>
      <c r="R60" s="18"/>
      <c r="S60" s="28" t="s">
        <v>14</v>
      </c>
      <c r="T60" s="18"/>
      <c r="U60" s="28" t="s">
        <v>14</v>
      </c>
      <c r="V60" s="18"/>
      <c r="W60" s="28" t="s">
        <v>14</v>
      </c>
      <c r="X60" s="18"/>
      <c r="Y60" s="28" t="s">
        <v>14</v>
      </c>
      <c r="Z60" s="18"/>
      <c r="AA60" s="28" t="s">
        <v>14</v>
      </c>
      <c r="AB60" s="18"/>
      <c r="AC60" s="28" t="s">
        <v>14</v>
      </c>
      <c r="AD60" s="18"/>
      <c r="AE60" s="28" t="s">
        <v>14</v>
      </c>
      <c r="AF60" s="25" t="str">
        <f t="shared" si="4"/>
        <v>NA</v>
      </c>
      <c r="AG60" s="59" t="str">
        <f t="shared" si="5"/>
        <v>NÃO AVALIADO POR FALHA DE SINCRONISMO</v>
      </c>
      <c r="AH60" s="28" t="s">
        <v>108</v>
      </c>
      <c r="AI60" s="32" t="s">
        <v>1</v>
      </c>
      <c r="AJ60" s="29" t="str">
        <f t="shared" si="6"/>
        <v>GUARULHOS</v>
      </c>
      <c r="AK60" s="33" t="s">
        <v>13</v>
      </c>
    </row>
    <row r="61" spans="1:37" ht="30" customHeight="1" x14ac:dyDescent="0.2">
      <c r="A61" s="82" t="s">
        <v>101</v>
      </c>
      <c r="B61" s="82">
        <v>2614826127</v>
      </c>
      <c r="C61" s="82" t="s">
        <v>1734</v>
      </c>
      <c r="D61" s="82" t="s">
        <v>53</v>
      </c>
      <c r="E61" s="82" t="s">
        <v>102</v>
      </c>
      <c r="F61" s="82" t="s">
        <v>161</v>
      </c>
      <c r="G61" s="82">
        <v>174</v>
      </c>
      <c r="H61" s="82" t="s">
        <v>1296</v>
      </c>
      <c r="I61" s="82" t="s">
        <v>162</v>
      </c>
      <c r="J61" s="82" t="s">
        <v>1736</v>
      </c>
      <c r="K61" s="88" t="s">
        <v>1794</v>
      </c>
      <c r="L61" s="82" t="s">
        <v>734</v>
      </c>
      <c r="M61" s="82" t="s">
        <v>1791</v>
      </c>
      <c r="N61" s="82" t="s">
        <v>1740</v>
      </c>
      <c r="O61" s="36" t="s">
        <v>14</v>
      </c>
      <c r="P61" s="18"/>
      <c r="Q61" s="28" t="s">
        <v>14</v>
      </c>
      <c r="R61" s="18"/>
      <c r="S61" s="28" t="s">
        <v>14</v>
      </c>
      <c r="T61" s="18"/>
      <c r="U61" s="28" t="s">
        <v>14</v>
      </c>
      <c r="V61" s="18"/>
      <c r="W61" s="28" t="s">
        <v>14</v>
      </c>
      <c r="X61" s="18"/>
      <c r="Y61" s="28" t="s">
        <v>14</v>
      </c>
      <c r="Z61" s="18"/>
      <c r="AA61" s="28" t="s">
        <v>14</v>
      </c>
      <c r="AB61" s="18"/>
      <c r="AC61" s="28" t="s">
        <v>14</v>
      </c>
      <c r="AD61" s="18"/>
      <c r="AE61" s="28" t="s">
        <v>14</v>
      </c>
      <c r="AF61" s="25" t="str">
        <f t="shared" si="4"/>
        <v>NA</v>
      </c>
      <c r="AG61" s="59" t="str">
        <f t="shared" ref="AG61:AG99" si="7">IF(AND(AE61="C",AF61="C"),"UTILIZOU O PDA CORRETAMENTE",IF(AND(AE61="C",AF61="NC"),"UTILIZOU O PDA CORRETAMENTE. NÃO HÁ FOTOS DE TODAS AS ETAPAS",IF(AND(AE61="NC",AF61="NC"),"NÃO UTILIZOU O PDA",IF(AND(AE61="NA",AF61="NA"),"NÃO AVALIADO POR FALHA DE SINCRONISMO"))))</f>
        <v>NÃO AVALIADO POR FALHA DE SINCRONISMO</v>
      </c>
      <c r="AH61" s="28" t="s">
        <v>108</v>
      </c>
      <c r="AI61" s="32" t="s">
        <v>1</v>
      </c>
      <c r="AJ61" s="29" t="str">
        <f t="shared" si="6"/>
        <v>GUARULHOS</v>
      </c>
      <c r="AK61" s="33" t="s">
        <v>13</v>
      </c>
    </row>
    <row r="62" spans="1:37" ht="30" customHeight="1" x14ac:dyDescent="0.2">
      <c r="A62" s="82" t="s">
        <v>101</v>
      </c>
      <c r="B62" s="82">
        <v>2615879933</v>
      </c>
      <c r="C62" s="82" t="s">
        <v>1734</v>
      </c>
      <c r="D62" s="82" t="s">
        <v>53</v>
      </c>
      <c r="E62" s="82" t="s">
        <v>102</v>
      </c>
      <c r="F62" s="82" t="s">
        <v>557</v>
      </c>
      <c r="G62" s="82">
        <v>208</v>
      </c>
      <c r="H62" s="82"/>
      <c r="I62" s="82" t="s">
        <v>558</v>
      </c>
      <c r="J62" s="82" t="s">
        <v>1736</v>
      </c>
      <c r="K62" s="88" t="s">
        <v>1800</v>
      </c>
      <c r="L62" s="82" t="s">
        <v>902</v>
      </c>
      <c r="M62" s="82" t="s">
        <v>1801</v>
      </c>
      <c r="N62" s="82" t="s">
        <v>1760</v>
      </c>
      <c r="O62" s="36" t="s">
        <v>14</v>
      </c>
      <c r="P62" s="18"/>
      <c r="Q62" s="28" t="s">
        <v>14</v>
      </c>
      <c r="R62" s="18"/>
      <c r="S62" s="28" t="s">
        <v>14</v>
      </c>
      <c r="T62" s="18"/>
      <c r="U62" s="28" t="s">
        <v>14</v>
      </c>
      <c r="V62" s="18"/>
      <c r="W62" s="28" t="s">
        <v>14</v>
      </c>
      <c r="X62" s="18"/>
      <c r="Y62" s="28" t="s">
        <v>14</v>
      </c>
      <c r="Z62" s="18"/>
      <c r="AA62" s="28" t="s">
        <v>14</v>
      </c>
      <c r="AB62" s="18"/>
      <c r="AC62" s="28" t="s">
        <v>14</v>
      </c>
      <c r="AD62" s="18"/>
      <c r="AE62" s="28" t="s">
        <v>14</v>
      </c>
      <c r="AF62" s="25" t="str">
        <f t="shared" ref="AF62:AF99" si="8">IF(AND(O62="",Q62="",S62="",U62="",W62="",Y62="",AA62="",AC62=""),"",IF(OR(AND(O62&lt;&gt;"NA",O62&lt;&gt;"C",O62&lt;&gt;"NC",O62&lt;&gt;"SF",O62&lt;&gt;""),AND(Q62&lt;&gt;"NA",Q62&lt;&gt;"C",Q62&lt;&gt;"NC",Q62&lt;&gt;"SF",Q62&lt;&gt;""),AND(S62&lt;&gt;"NA",S62&lt;&gt;"C",S62&lt;&gt;"NC",S62&lt;&gt;"SF",S62&lt;&gt;""),AND(U62&lt;&gt;"NA",U62&lt;&gt;"C",U62&lt;&gt;"NC",U62&lt;&gt;"SF",U62&lt;&gt;""),AND(W62&lt;&gt;"NA",W62&lt;&gt;"C",W62&lt;&gt;"NC",W62&lt;&gt;"SF",W62&lt;&gt;""),AND(Y62&lt;&gt;"NA",Y62&lt;&gt;"C",Y62&lt;&gt;"NC",Y62&lt;&gt;"SF",Y62&lt;&gt;""),AND(AA62&lt;&gt;"NA",AA62&lt;&gt;"C",AA62&lt;&gt;"NC",AA62&lt;&gt;"SF",AA62&lt;&gt;""),AND(AC62&lt;&gt;"NA",AC62&lt;&gt;"C",AC62&lt;&gt;"NC",AC62&lt;&gt;"SF",AC62&lt;&gt;"")),"FALSO",IF(AND(O62="NA",Q62="NA",S62="NA",U62="NA",W62="NA",Y62="NA",AA62="NA",AC62="NA"),"NA",IF(OR(O62="NC",Q62="NC",S62="NC",U62="NC",W62="NC",Y62="NC",AA62="NC",AC62="NC",O62="SF",Q62="SF",S62="SF",U62="SF",W62="SF",Y62="SF",AA62="SF",AC62="SF"),"NC",IF(OR(O62="C",Q62="C",S62="C",U62="C",W62="C",Y62="C",AA62="C",AC62="C"),"C","")))))</f>
        <v>NA</v>
      </c>
      <c r="AG62" s="59" t="str">
        <f t="shared" si="7"/>
        <v>NÃO AVALIADO POR FALHA DE SINCRONISMO</v>
      </c>
      <c r="AH62" s="28" t="s">
        <v>108</v>
      </c>
      <c r="AI62" s="32" t="s">
        <v>1</v>
      </c>
      <c r="AJ62" s="29" t="str">
        <f t="shared" si="6"/>
        <v>GUARULHOS</v>
      </c>
      <c r="AK62" s="33" t="s">
        <v>13</v>
      </c>
    </row>
    <row r="63" spans="1:37" ht="30" customHeight="1" x14ac:dyDescent="0.2">
      <c r="A63" s="82" t="s">
        <v>101</v>
      </c>
      <c r="B63" s="82">
        <v>2615880174</v>
      </c>
      <c r="C63" s="82" t="s">
        <v>1734</v>
      </c>
      <c r="D63" s="82" t="s">
        <v>53</v>
      </c>
      <c r="E63" s="82" t="s">
        <v>102</v>
      </c>
      <c r="F63" s="82" t="s">
        <v>557</v>
      </c>
      <c r="G63" s="82">
        <v>204</v>
      </c>
      <c r="H63" s="82" t="s">
        <v>1802</v>
      </c>
      <c r="I63" s="82" t="s">
        <v>558</v>
      </c>
      <c r="J63" s="82" t="s">
        <v>1736</v>
      </c>
      <c r="K63" s="88" t="s">
        <v>1803</v>
      </c>
      <c r="L63" s="82" t="s">
        <v>902</v>
      </c>
      <c r="M63" s="82" t="s">
        <v>1801</v>
      </c>
      <c r="N63" s="82" t="s">
        <v>1760</v>
      </c>
      <c r="O63" s="36" t="s">
        <v>14</v>
      </c>
      <c r="P63" s="18"/>
      <c r="Q63" s="28" t="s">
        <v>14</v>
      </c>
      <c r="R63" s="18"/>
      <c r="S63" s="28" t="s">
        <v>14</v>
      </c>
      <c r="T63" s="18"/>
      <c r="U63" s="28" t="s">
        <v>14</v>
      </c>
      <c r="V63" s="18"/>
      <c r="W63" s="28" t="s">
        <v>14</v>
      </c>
      <c r="X63" s="18"/>
      <c r="Y63" s="28" t="s">
        <v>14</v>
      </c>
      <c r="Z63" s="18"/>
      <c r="AA63" s="28" t="s">
        <v>14</v>
      </c>
      <c r="AB63" s="18"/>
      <c r="AC63" s="28" t="s">
        <v>14</v>
      </c>
      <c r="AD63" s="18"/>
      <c r="AE63" s="28" t="s">
        <v>14</v>
      </c>
      <c r="AF63" s="25" t="str">
        <f t="shared" si="8"/>
        <v>NA</v>
      </c>
      <c r="AG63" s="59" t="str">
        <f t="shared" si="7"/>
        <v>NÃO AVALIADO POR FALHA DE SINCRONISMO</v>
      </c>
      <c r="AH63" s="28" t="s">
        <v>108</v>
      </c>
      <c r="AI63" s="32" t="s">
        <v>1</v>
      </c>
      <c r="AJ63" s="29" t="str">
        <f t="shared" si="6"/>
        <v>GUARULHOS</v>
      </c>
      <c r="AK63" s="33" t="s">
        <v>13</v>
      </c>
    </row>
    <row r="64" spans="1:37" ht="30" customHeight="1" x14ac:dyDescent="0.2">
      <c r="A64" s="82" t="s">
        <v>101</v>
      </c>
      <c r="B64" s="82">
        <v>2615866738</v>
      </c>
      <c r="C64" s="82" t="s">
        <v>1734</v>
      </c>
      <c r="D64" s="82" t="s">
        <v>53</v>
      </c>
      <c r="E64" s="82" t="s">
        <v>102</v>
      </c>
      <c r="F64" s="82" t="s">
        <v>557</v>
      </c>
      <c r="G64" s="82">
        <v>196</v>
      </c>
      <c r="H64" s="82"/>
      <c r="I64" s="82" t="s">
        <v>558</v>
      </c>
      <c r="J64" s="82" t="s">
        <v>1736</v>
      </c>
      <c r="K64" s="88" t="s">
        <v>1800</v>
      </c>
      <c r="L64" s="82" t="s">
        <v>902</v>
      </c>
      <c r="M64" s="82" t="s">
        <v>1801</v>
      </c>
      <c r="N64" s="82" t="s">
        <v>1409</v>
      </c>
      <c r="O64" s="36" t="s">
        <v>14</v>
      </c>
      <c r="P64" s="18"/>
      <c r="Q64" s="28" t="s">
        <v>14</v>
      </c>
      <c r="R64" s="18"/>
      <c r="S64" s="28" t="s">
        <v>14</v>
      </c>
      <c r="T64" s="18"/>
      <c r="U64" s="28" t="s">
        <v>14</v>
      </c>
      <c r="V64" s="18"/>
      <c r="W64" s="28" t="s">
        <v>14</v>
      </c>
      <c r="X64" s="18"/>
      <c r="Y64" s="28" t="s">
        <v>14</v>
      </c>
      <c r="Z64" s="18"/>
      <c r="AA64" s="28" t="s">
        <v>14</v>
      </c>
      <c r="AB64" s="18"/>
      <c r="AC64" s="28" t="s">
        <v>14</v>
      </c>
      <c r="AD64" s="18"/>
      <c r="AE64" s="28" t="s">
        <v>14</v>
      </c>
      <c r="AF64" s="25" t="str">
        <f t="shared" si="8"/>
        <v>NA</v>
      </c>
      <c r="AG64" s="59" t="str">
        <f t="shared" si="7"/>
        <v>NÃO AVALIADO POR FALHA DE SINCRONISMO</v>
      </c>
      <c r="AH64" s="28" t="s">
        <v>108</v>
      </c>
      <c r="AI64" s="32" t="s">
        <v>1</v>
      </c>
      <c r="AJ64" s="29" t="str">
        <f t="shared" si="6"/>
        <v>GUARULHOS</v>
      </c>
      <c r="AK64" s="33" t="s">
        <v>13</v>
      </c>
    </row>
    <row r="65" spans="1:37" ht="30" customHeight="1" x14ac:dyDescent="0.2">
      <c r="A65" s="82" t="s">
        <v>101</v>
      </c>
      <c r="B65" s="82">
        <v>2615867039</v>
      </c>
      <c r="C65" s="82" t="s">
        <v>1734</v>
      </c>
      <c r="D65" s="82" t="s">
        <v>53</v>
      </c>
      <c r="E65" s="82" t="s">
        <v>102</v>
      </c>
      <c r="F65" s="82" t="s">
        <v>557</v>
      </c>
      <c r="G65" s="82">
        <v>188</v>
      </c>
      <c r="H65" s="82" t="s">
        <v>366</v>
      </c>
      <c r="I65" s="82" t="s">
        <v>558</v>
      </c>
      <c r="J65" s="82" t="s">
        <v>1736</v>
      </c>
      <c r="K65" s="88" t="s">
        <v>1800</v>
      </c>
      <c r="L65" s="82" t="s">
        <v>902</v>
      </c>
      <c r="M65" s="82" t="s">
        <v>1801</v>
      </c>
      <c r="N65" s="82" t="s">
        <v>1409</v>
      </c>
      <c r="O65" s="36" t="s">
        <v>14</v>
      </c>
      <c r="P65" s="18"/>
      <c r="Q65" s="28" t="s">
        <v>14</v>
      </c>
      <c r="R65" s="18"/>
      <c r="S65" s="28" t="s">
        <v>14</v>
      </c>
      <c r="T65" s="18"/>
      <c r="U65" s="28" t="s">
        <v>14</v>
      </c>
      <c r="V65" s="18"/>
      <c r="W65" s="28" t="s">
        <v>14</v>
      </c>
      <c r="X65" s="18"/>
      <c r="Y65" s="28" t="s">
        <v>14</v>
      </c>
      <c r="Z65" s="18"/>
      <c r="AA65" s="28" t="s">
        <v>14</v>
      </c>
      <c r="AB65" s="18"/>
      <c r="AC65" s="28" t="s">
        <v>14</v>
      </c>
      <c r="AD65" s="18"/>
      <c r="AE65" s="28" t="s">
        <v>14</v>
      </c>
      <c r="AF65" s="25" t="str">
        <f t="shared" si="8"/>
        <v>NA</v>
      </c>
      <c r="AG65" s="59" t="str">
        <f t="shared" si="7"/>
        <v>NÃO AVALIADO POR FALHA DE SINCRONISMO</v>
      </c>
      <c r="AH65" s="28" t="s">
        <v>108</v>
      </c>
      <c r="AI65" s="32" t="s">
        <v>1</v>
      </c>
      <c r="AJ65" s="29" t="str">
        <f t="shared" si="6"/>
        <v>GUARULHOS</v>
      </c>
      <c r="AK65" s="33" t="s">
        <v>13</v>
      </c>
    </row>
    <row r="66" spans="1:37" ht="30" customHeight="1" x14ac:dyDescent="0.2">
      <c r="A66" s="82" t="s">
        <v>101</v>
      </c>
      <c r="B66" s="82">
        <v>2615867140</v>
      </c>
      <c r="C66" s="82" t="s">
        <v>1734</v>
      </c>
      <c r="D66" s="82" t="s">
        <v>53</v>
      </c>
      <c r="E66" s="82" t="s">
        <v>102</v>
      </c>
      <c r="F66" s="82" t="s">
        <v>557</v>
      </c>
      <c r="G66" s="82">
        <v>184</v>
      </c>
      <c r="H66" s="82" t="s">
        <v>174</v>
      </c>
      <c r="I66" s="82" t="s">
        <v>558</v>
      </c>
      <c r="J66" s="82" t="s">
        <v>1736</v>
      </c>
      <c r="K66" s="88" t="s">
        <v>1800</v>
      </c>
      <c r="L66" s="82" t="s">
        <v>902</v>
      </c>
      <c r="M66" s="82" t="s">
        <v>1801</v>
      </c>
      <c r="N66" s="82" t="s">
        <v>1409</v>
      </c>
      <c r="O66" s="36" t="s">
        <v>14</v>
      </c>
      <c r="P66" s="18"/>
      <c r="Q66" s="28" t="s">
        <v>14</v>
      </c>
      <c r="R66" s="18"/>
      <c r="S66" s="28" t="s">
        <v>14</v>
      </c>
      <c r="T66" s="18"/>
      <c r="U66" s="28" t="s">
        <v>14</v>
      </c>
      <c r="V66" s="18"/>
      <c r="W66" s="28" t="s">
        <v>14</v>
      </c>
      <c r="X66" s="18"/>
      <c r="Y66" s="28" t="s">
        <v>14</v>
      </c>
      <c r="Z66" s="18"/>
      <c r="AA66" s="28" t="s">
        <v>14</v>
      </c>
      <c r="AB66" s="18"/>
      <c r="AC66" s="28" t="s">
        <v>14</v>
      </c>
      <c r="AD66" s="18"/>
      <c r="AE66" s="28" t="s">
        <v>14</v>
      </c>
      <c r="AF66" s="25" t="str">
        <f t="shared" si="8"/>
        <v>NA</v>
      </c>
      <c r="AG66" s="59" t="str">
        <f t="shared" si="7"/>
        <v>NÃO AVALIADO POR FALHA DE SINCRONISMO</v>
      </c>
      <c r="AH66" s="28" t="s">
        <v>108</v>
      </c>
      <c r="AI66" s="32" t="s">
        <v>1</v>
      </c>
      <c r="AJ66" s="29" t="str">
        <f t="shared" si="6"/>
        <v>GUARULHOS</v>
      </c>
      <c r="AK66" s="33" t="s">
        <v>13</v>
      </c>
    </row>
    <row r="67" spans="1:37" ht="30" customHeight="1" x14ac:dyDescent="0.2">
      <c r="A67" s="82" t="s">
        <v>101</v>
      </c>
      <c r="B67" s="82">
        <v>2615867593</v>
      </c>
      <c r="C67" s="82" t="s">
        <v>1734</v>
      </c>
      <c r="D67" s="82" t="s">
        <v>53</v>
      </c>
      <c r="E67" s="82" t="s">
        <v>102</v>
      </c>
      <c r="F67" s="82" t="s">
        <v>557</v>
      </c>
      <c r="G67" s="82">
        <v>178</v>
      </c>
      <c r="H67" s="82" t="s">
        <v>1804</v>
      </c>
      <c r="I67" s="82" t="s">
        <v>558</v>
      </c>
      <c r="J67" s="82" t="s">
        <v>1736</v>
      </c>
      <c r="K67" s="88" t="s">
        <v>1800</v>
      </c>
      <c r="L67" s="82" t="s">
        <v>902</v>
      </c>
      <c r="M67" s="82" t="s">
        <v>1801</v>
      </c>
      <c r="N67" s="82" t="s">
        <v>1409</v>
      </c>
      <c r="O67" s="36" t="s">
        <v>14</v>
      </c>
      <c r="P67" s="18"/>
      <c r="Q67" s="28" t="s">
        <v>14</v>
      </c>
      <c r="R67" s="18"/>
      <c r="S67" s="28" t="s">
        <v>14</v>
      </c>
      <c r="T67" s="18"/>
      <c r="U67" s="28" t="s">
        <v>14</v>
      </c>
      <c r="V67" s="18"/>
      <c r="W67" s="28" t="s">
        <v>14</v>
      </c>
      <c r="X67" s="18"/>
      <c r="Y67" s="28" t="s">
        <v>14</v>
      </c>
      <c r="Z67" s="18"/>
      <c r="AA67" s="28" t="s">
        <v>14</v>
      </c>
      <c r="AB67" s="18"/>
      <c r="AC67" s="28" t="s">
        <v>14</v>
      </c>
      <c r="AD67" s="18"/>
      <c r="AE67" s="28" t="s">
        <v>14</v>
      </c>
      <c r="AF67" s="25" t="str">
        <f t="shared" si="8"/>
        <v>NA</v>
      </c>
      <c r="AG67" s="59" t="str">
        <f t="shared" si="7"/>
        <v>NÃO AVALIADO POR FALHA DE SINCRONISMO</v>
      </c>
      <c r="AH67" s="28" t="s">
        <v>108</v>
      </c>
      <c r="AI67" s="32" t="s">
        <v>1</v>
      </c>
      <c r="AJ67" s="29" t="str">
        <f t="shared" si="6"/>
        <v>GUARULHOS</v>
      </c>
      <c r="AK67" s="33" t="s">
        <v>13</v>
      </c>
    </row>
    <row r="68" spans="1:37" ht="30" customHeight="1" x14ac:dyDescent="0.2">
      <c r="A68" s="82" t="s">
        <v>101</v>
      </c>
      <c r="B68" s="82">
        <v>2615868095</v>
      </c>
      <c r="C68" s="82" t="s">
        <v>1734</v>
      </c>
      <c r="D68" s="82" t="s">
        <v>53</v>
      </c>
      <c r="E68" s="82" t="s">
        <v>102</v>
      </c>
      <c r="F68" s="82" t="s">
        <v>557</v>
      </c>
      <c r="G68" s="82">
        <v>174</v>
      </c>
      <c r="H68" s="82" t="s">
        <v>1805</v>
      </c>
      <c r="I68" s="82" t="s">
        <v>558</v>
      </c>
      <c r="J68" s="82" t="s">
        <v>1736</v>
      </c>
      <c r="K68" s="88" t="s">
        <v>1800</v>
      </c>
      <c r="L68" s="82" t="s">
        <v>902</v>
      </c>
      <c r="M68" s="82" t="s">
        <v>1801</v>
      </c>
      <c r="N68" s="82" t="s">
        <v>1409</v>
      </c>
      <c r="O68" s="36" t="s">
        <v>14</v>
      </c>
      <c r="P68" s="18"/>
      <c r="Q68" s="28" t="s">
        <v>14</v>
      </c>
      <c r="R68" s="18"/>
      <c r="S68" s="28" t="s">
        <v>14</v>
      </c>
      <c r="T68" s="18"/>
      <c r="U68" s="28" t="s">
        <v>14</v>
      </c>
      <c r="V68" s="18"/>
      <c r="W68" s="28" t="s">
        <v>14</v>
      </c>
      <c r="X68" s="18"/>
      <c r="Y68" s="28" t="s">
        <v>14</v>
      </c>
      <c r="Z68" s="18"/>
      <c r="AA68" s="28" t="s">
        <v>14</v>
      </c>
      <c r="AB68" s="18"/>
      <c r="AC68" s="28" t="s">
        <v>14</v>
      </c>
      <c r="AD68" s="18"/>
      <c r="AE68" s="28" t="s">
        <v>14</v>
      </c>
      <c r="AF68" s="25" t="str">
        <f t="shared" si="8"/>
        <v>NA</v>
      </c>
      <c r="AG68" s="59" t="str">
        <f t="shared" si="7"/>
        <v>NÃO AVALIADO POR FALHA DE SINCRONISMO</v>
      </c>
      <c r="AH68" s="28" t="s">
        <v>108</v>
      </c>
      <c r="AI68" s="32" t="s">
        <v>1</v>
      </c>
      <c r="AJ68" s="29" t="str">
        <f t="shared" si="6"/>
        <v>GUARULHOS</v>
      </c>
      <c r="AK68" s="33" t="s">
        <v>13</v>
      </c>
    </row>
    <row r="69" spans="1:37" ht="30" customHeight="1" x14ac:dyDescent="0.2">
      <c r="A69" s="82" t="s">
        <v>101</v>
      </c>
      <c r="B69" s="82">
        <v>2615868298</v>
      </c>
      <c r="C69" s="82" t="s">
        <v>1734</v>
      </c>
      <c r="D69" s="82" t="s">
        <v>53</v>
      </c>
      <c r="E69" s="82" t="s">
        <v>102</v>
      </c>
      <c r="F69" s="82" t="s">
        <v>557</v>
      </c>
      <c r="G69" s="82">
        <v>168</v>
      </c>
      <c r="H69" s="82" t="s">
        <v>117</v>
      </c>
      <c r="I69" s="82" t="s">
        <v>558</v>
      </c>
      <c r="J69" s="82" t="s">
        <v>1736</v>
      </c>
      <c r="K69" s="88" t="s">
        <v>1800</v>
      </c>
      <c r="L69" s="82" t="s">
        <v>902</v>
      </c>
      <c r="M69" s="82" t="s">
        <v>1801</v>
      </c>
      <c r="N69" s="82" t="s">
        <v>1409</v>
      </c>
      <c r="O69" s="36" t="s">
        <v>14</v>
      </c>
      <c r="P69" s="18"/>
      <c r="Q69" s="28" t="s">
        <v>14</v>
      </c>
      <c r="R69" s="18"/>
      <c r="S69" s="28" t="s">
        <v>14</v>
      </c>
      <c r="T69" s="18"/>
      <c r="U69" s="28" t="s">
        <v>14</v>
      </c>
      <c r="V69" s="18"/>
      <c r="W69" s="28" t="s">
        <v>14</v>
      </c>
      <c r="X69" s="18"/>
      <c r="Y69" s="28" t="s">
        <v>14</v>
      </c>
      <c r="Z69" s="18"/>
      <c r="AA69" s="28" t="s">
        <v>14</v>
      </c>
      <c r="AB69" s="18"/>
      <c r="AC69" s="28" t="s">
        <v>14</v>
      </c>
      <c r="AD69" s="18"/>
      <c r="AE69" s="28" t="s">
        <v>14</v>
      </c>
      <c r="AF69" s="25" t="str">
        <f t="shared" si="8"/>
        <v>NA</v>
      </c>
      <c r="AG69" s="59" t="str">
        <f t="shared" si="7"/>
        <v>NÃO AVALIADO POR FALHA DE SINCRONISMO</v>
      </c>
      <c r="AH69" s="28" t="s">
        <v>108</v>
      </c>
      <c r="AI69" s="32" t="s">
        <v>1</v>
      </c>
      <c r="AJ69" s="29" t="str">
        <f t="shared" si="6"/>
        <v>GUARULHOS</v>
      </c>
      <c r="AK69" s="33" t="s">
        <v>13</v>
      </c>
    </row>
    <row r="70" spans="1:37" ht="30" customHeight="1" x14ac:dyDescent="0.2">
      <c r="A70" s="82" t="s">
        <v>101</v>
      </c>
      <c r="B70" s="82">
        <v>2615868816</v>
      </c>
      <c r="C70" s="82" t="s">
        <v>1734</v>
      </c>
      <c r="D70" s="82" t="s">
        <v>53</v>
      </c>
      <c r="E70" s="82" t="s">
        <v>102</v>
      </c>
      <c r="F70" s="82" t="s">
        <v>557</v>
      </c>
      <c r="G70" s="82">
        <v>162</v>
      </c>
      <c r="H70" s="82"/>
      <c r="I70" s="82" t="s">
        <v>558</v>
      </c>
      <c r="J70" s="82" t="s">
        <v>1736</v>
      </c>
      <c r="K70" s="88" t="s">
        <v>1800</v>
      </c>
      <c r="L70" s="82" t="s">
        <v>902</v>
      </c>
      <c r="M70" s="82" t="s">
        <v>1801</v>
      </c>
      <c r="N70" s="82" t="s">
        <v>1409</v>
      </c>
      <c r="O70" s="36" t="s">
        <v>14</v>
      </c>
      <c r="P70" s="18"/>
      <c r="Q70" s="28" t="s">
        <v>14</v>
      </c>
      <c r="R70" s="18"/>
      <c r="S70" s="28" t="s">
        <v>14</v>
      </c>
      <c r="T70" s="18"/>
      <c r="U70" s="28" t="s">
        <v>14</v>
      </c>
      <c r="V70" s="18"/>
      <c r="W70" s="28" t="s">
        <v>14</v>
      </c>
      <c r="X70" s="18"/>
      <c r="Y70" s="28" t="s">
        <v>14</v>
      </c>
      <c r="Z70" s="18"/>
      <c r="AA70" s="28" t="s">
        <v>14</v>
      </c>
      <c r="AB70" s="18"/>
      <c r="AC70" s="28" t="s">
        <v>14</v>
      </c>
      <c r="AD70" s="18"/>
      <c r="AE70" s="28" t="s">
        <v>14</v>
      </c>
      <c r="AF70" s="25" t="str">
        <f t="shared" si="8"/>
        <v>NA</v>
      </c>
      <c r="AG70" s="59" t="str">
        <f t="shared" si="7"/>
        <v>NÃO AVALIADO POR FALHA DE SINCRONISMO</v>
      </c>
      <c r="AH70" s="28" t="s">
        <v>108</v>
      </c>
      <c r="AI70" s="32" t="s">
        <v>1</v>
      </c>
      <c r="AJ70" s="29" t="str">
        <f t="shared" ref="AJ70:AJ102" si="9">E70</f>
        <v>GUARULHOS</v>
      </c>
      <c r="AK70" s="33" t="s">
        <v>13</v>
      </c>
    </row>
    <row r="71" spans="1:37" ht="30" customHeight="1" x14ac:dyDescent="0.2">
      <c r="A71" s="82" t="s">
        <v>101</v>
      </c>
      <c r="B71" s="82">
        <v>2615869092</v>
      </c>
      <c r="C71" s="82" t="s">
        <v>1734</v>
      </c>
      <c r="D71" s="82" t="s">
        <v>53</v>
      </c>
      <c r="E71" s="82" t="s">
        <v>102</v>
      </c>
      <c r="F71" s="82" t="s">
        <v>557</v>
      </c>
      <c r="G71" s="82">
        <v>158</v>
      </c>
      <c r="H71" s="82" t="s">
        <v>1806</v>
      </c>
      <c r="I71" s="82" t="s">
        <v>558</v>
      </c>
      <c r="J71" s="82" t="s">
        <v>1736</v>
      </c>
      <c r="K71" s="88" t="s">
        <v>1800</v>
      </c>
      <c r="L71" s="82" t="s">
        <v>902</v>
      </c>
      <c r="M71" s="82" t="s">
        <v>1801</v>
      </c>
      <c r="N71" s="82" t="s">
        <v>1409</v>
      </c>
      <c r="O71" s="36" t="s">
        <v>14</v>
      </c>
      <c r="P71" s="18"/>
      <c r="Q71" s="28" t="s">
        <v>14</v>
      </c>
      <c r="R71" s="18"/>
      <c r="S71" s="28" t="s">
        <v>14</v>
      </c>
      <c r="T71" s="18"/>
      <c r="U71" s="28" t="s">
        <v>14</v>
      </c>
      <c r="V71" s="18"/>
      <c r="W71" s="28" t="s">
        <v>14</v>
      </c>
      <c r="X71" s="18"/>
      <c r="Y71" s="28" t="s">
        <v>14</v>
      </c>
      <c r="Z71" s="18"/>
      <c r="AA71" s="28" t="s">
        <v>14</v>
      </c>
      <c r="AB71" s="18"/>
      <c r="AC71" s="28" t="s">
        <v>14</v>
      </c>
      <c r="AD71" s="18"/>
      <c r="AE71" s="28" t="s">
        <v>14</v>
      </c>
      <c r="AF71" s="25" t="str">
        <f t="shared" si="8"/>
        <v>NA</v>
      </c>
      <c r="AG71" s="59" t="str">
        <f t="shared" si="7"/>
        <v>NÃO AVALIADO POR FALHA DE SINCRONISMO</v>
      </c>
      <c r="AH71" s="28" t="s">
        <v>108</v>
      </c>
      <c r="AI71" s="32" t="s">
        <v>1</v>
      </c>
      <c r="AJ71" s="29" t="str">
        <f t="shared" si="9"/>
        <v>GUARULHOS</v>
      </c>
      <c r="AK71" s="33" t="s">
        <v>13</v>
      </c>
    </row>
    <row r="72" spans="1:37" ht="30" customHeight="1" x14ac:dyDescent="0.2">
      <c r="A72" s="82" t="s">
        <v>101</v>
      </c>
      <c r="B72" s="82">
        <v>2615869362</v>
      </c>
      <c r="C72" s="82" t="s">
        <v>1734</v>
      </c>
      <c r="D72" s="82" t="s">
        <v>53</v>
      </c>
      <c r="E72" s="82" t="s">
        <v>102</v>
      </c>
      <c r="F72" s="82" t="s">
        <v>557</v>
      </c>
      <c r="G72" s="82">
        <v>152</v>
      </c>
      <c r="H72" s="82" t="s">
        <v>1807</v>
      </c>
      <c r="I72" s="82" t="s">
        <v>558</v>
      </c>
      <c r="J72" s="82" t="s">
        <v>1736</v>
      </c>
      <c r="K72" s="88" t="s">
        <v>1800</v>
      </c>
      <c r="L72" s="82" t="s">
        <v>902</v>
      </c>
      <c r="M72" s="82" t="s">
        <v>1801</v>
      </c>
      <c r="N72" s="82" t="s">
        <v>1409</v>
      </c>
      <c r="O72" s="36" t="s">
        <v>14</v>
      </c>
      <c r="P72" s="18"/>
      <c r="Q72" s="28" t="s">
        <v>14</v>
      </c>
      <c r="R72" s="18"/>
      <c r="S72" s="28" t="s">
        <v>14</v>
      </c>
      <c r="T72" s="18"/>
      <c r="U72" s="28" t="s">
        <v>14</v>
      </c>
      <c r="V72" s="18"/>
      <c r="W72" s="28" t="s">
        <v>14</v>
      </c>
      <c r="X72" s="18"/>
      <c r="Y72" s="28" t="s">
        <v>14</v>
      </c>
      <c r="Z72" s="18"/>
      <c r="AA72" s="28" t="s">
        <v>14</v>
      </c>
      <c r="AB72" s="18"/>
      <c r="AC72" s="28" t="s">
        <v>14</v>
      </c>
      <c r="AD72" s="18"/>
      <c r="AE72" s="28" t="s">
        <v>14</v>
      </c>
      <c r="AF72" s="25" t="str">
        <f t="shared" si="8"/>
        <v>NA</v>
      </c>
      <c r="AG72" s="59" t="str">
        <f t="shared" si="7"/>
        <v>NÃO AVALIADO POR FALHA DE SINCRONISMO</v>
      </c>
      <c r="AH72" s="28" t="s">
        <v>108</v>
      </c>
      <c r="AI72" s="32" t="s">
        <v>1</v>
      </c>
      <c r="AJ72" s="29" t="str">
        <f t="shared" si="9"/>
        <v>GUARULHOS</v>
      </c>
      <c r="AK72" s="33" t="s">
        <v>13</v>
      </c>
    </row>
    <row r="73" spans="1:37" ht="30" customHeight="1" x14ac:dyDescent="0.2">
      <c r="A73" s="82" t="s">
        <v>101</v>
      </c>
      <c r="B73" s="82">
        <v>2615869727</v>
      </c>
      <c r="C73" s="82" t="s">
        <v>1734</v>
      </c>
      <c r="D73" s="82" t="s">
        <v>53</v>
      </c>
      <c r="E73" s="82" t="s">
        <v>102</v>
      </c>
      <c r="F73" s="82" t="s">
        <v>557</v>
      </c>
      <c r="G73" s="82">
        <v>146</v>
      </c>
      <c r="H73" s="82" t="s">
        <v>1808</v>
      </c>
      <c r="I73" s="82" t="s">
        <v>558</v>
      </c>
      <c r="J73" s="82" t="s">
        <v>1736</v>
      </c>
      <c r="K73" s="88" t="s">
        <v>1800</v>
      </c>
      <c r="L73" s="82" t="s">
        <v>902</v>
      </c>
      <c r="M73" s="82" t="s">
        <v>1801</v>
      </c>
      <c r="N73" s="82" t="s">
        <v>1409</v>
      </c>
      <c r="O73" s="36" t="s">
        <v>14</v>
      </c>
      <c r="P73" s="18"/>
      <c r="Q73" s="28" t="s">
        <v>14</v>
      </c>
      <c r="R73" s="18"/>
      <c r="S73" s="28" t="s">
        <v>14</v>
      </c>
      <c r="T73" s="18"/>
      <c r="U73" s="28" t="s">
        <v>14</v>
      </c>
      <c r="V73" s="18"/>
      <c r="W73" s="28" t="s">
        <v>14</v>
      </c>
      <c r="X73" s="18"/>
      <c r="Y73" s="28" t="s">
        <v>14</v>
      </c>
      <c r="Z73" s="18"/>
      <c r="AA73" s="28" t="s">
        <v>14</v>
      </c>
      <c r="AB73" s="18"/>
      <c r="AC73" s="28" t="s">
        <v>14</v>
      </c>
      <c r="AD73" s="18"/>
      <c r="AE73" s="28" t="s">
        <v>14</v>
      </c>
      <c r="AF73" s="25" t="str">
        <f t="shared" si="8"/>
        <v>NA</v>
      </c>
      <c r="AG73" s="59" t="str">
        <f t="shared" si="7"/>
        <v>NÃO AVALIADO POR FALHA DE SINCRONISMO</v>
      </c>
      <c r="AH73" s="28" t="s">
        <v>108</v>
      </c>
      <c r="AI73" s="32" t="s">
        <v>1</v>
      </c>
      <c r="AJ73" s="29" t="str">
        <f t="shared" si="9"/>
        <v>GUARULHOS</v>
      </c>
      <c r="AK73" s="33" t="s">
        <v>13</v>
      </c>
    </row>
    <row r="74" spans="1:37" ht="30" customHeight="1" x14ac:dyDescent="0.2">
      <c r="A74" s="82" t="s">
        <v>101</v>
      </c>
      <c r="B74" s="82">
        <v>2615869964</v>
      </c>
      <c r="C74" s="82" t="s">
        <v>1734</v>
      </c>
      <c r="D74" s="82" t="s">
        <v>53</v>
      </c>
      <c r="E74" s="82" t="s">
        <v>102</v>
      </c>
      <c r="F74" s="82" t="s">
        <v>557</v>
      </c>
      <c r="G74" s="82">
        <v>140</v>
      </c>
      <c r="H74" s="82" t="s">
        <v>1809</v>
      </c>
      <c r="I74" s="82" t="s">
        <v>558</v>
      </c>
      <c r="J74" s="82" t="s">
        <v>1736</v>
      </c>
      <c r="K74" s="88" t="s">
        <v>1800</v>
      </c>
      <c r="L74" s="82" t="s">
        <v>902</v>
      </c>
      <c r="M74" s="82" t="s">
        <v>1801</v>
      </c>
      <c r="N74" s="82" t="s">
        <v>1409</v>
      </c>
      <c r="O74" s="36" t="s">
        <v>14</v>
      </c>
      <c r="P74" s="18"/>
      <c r="Q74" s="28" t="s">
        <v>14</v>
      </c>
      <c r="R74" s="18"/>
      <c r="S74" s="28" t="s">
        <v>14</v>
      </c>
      <c r="T74" s="18"/>
      <c r="U74" s="28" t="s">
        <v>14</v>
      </c>
      <c r="V74" s="18"/>
      <c r="W74" s="28" t="s">
        <v>14</v>
      </c>
      <c r="X74" s="18"/>
      <c r="Y74" s="28" t="s">
        <v>14</v>
      </c>
      <c r="Z74" s="18"/>
      <c r="AA74" s="28" t="s">
        <v>14</v>
      </c>
      <c r="AB74" s="18"/>
      <c r="AC74" s="28" t="s">
        <v>14</v>
      </c>
      <c r="AD74" s="18"/>
      <c r="AE74" s="28" t="s">
        <v>14</v>
      </c>
      <c r="AF74" s="25" t="str">
        <f t="shared" si="8"/>
        <v>NA</v>
      </c>
      <c r="AG74" s="59" t="str">
        <f t="shared" si="7"/>
        <v>NÃO AVALIADO POR FALHA DE SINCRONISMO</v>
      </c>
      <c r="AH74" s="28" t="s">
        <v>108</v>
      </c>
      <c r="AI74" s="32" t="s">
        <v>1</v>
      </c>
      <c r="AJ74" s="29" t="str">
        <f t="shared" si="9"/>
        <v>GUARULHOS</v>
      </c>
      <c r="AK74" s="33" t="s">
        <v>13</v>
      </c>
    </row>
    <row r="75" spans="1:37" ht="30" customHeight="1" x14ac:dyDescent="0.2">
      <c r="A75" s="82" t="s">
        <v>101</v>
      </c>
      <c r="B75" s="82">
        <v>2615870148</v>
      </c>
      <c r="C75" s="82" t="s">
        <v>1734</v>
      </c>
      <c r="D75" s="82" t="s">
        <v>53</v>
      </c>
      <c r="E75" s="82" t="s">
        <v>102</v>
      </c>
      <c r="F75" s="82" t="s">
        <v>557</v>
      </c>
      <c r="G75" s="82">
        <v>134</v>
      </c>
      <c r="H75" s="82" t="s">
        <v>1810</v>
      </c>
      <c r="I75" s="82" t="s">
        <v>558</v>
      </c>
      <c r="J75" s="82" t="s">
        <v>1736</v>
      </c>
      <c r="K75" s="88" t="s">
        <v>1800</v>
      </c>
      <c r="L75" s="82" t="s">
        <v>902</v>
      </c>
      <c r="M75" s="82" t="s">
        <v>1801</v>
      </c>
      <c r="N75" s="82" t="s">
        <v>1409</v>
      </c>
      <c r="O75" s="36" t="s">
        <v>14</v>
      </c>
      <c r="P75" s="18"/>
      <c r="Q75" s="28" t="s">
        <v>14</v>
      </c>
      <c r="R75" s="18"/>
      <c r="S75" s="28" t="s">
        <v>14</v>
      </c>
      <c r="T75" s="18"/>
      <c r="U75" s="28" t="s">
        <v>14</v>
      </c>
      <c r="V75" s="18"/>
      <c r="W75" s="28" t="s">
        <v>14</v>
      </c>
      <c r="X75" s="18"/>
      <c r="Y75" s="28" t="s">
        <v>14</v>
      </c>
      <c r="Z75" s="18"/>
      <c r="AA75" s="28" t="s">
        <v>14</v>
      </c>
      <c r="AB75" s="18"/>
      <c r="AC75" s="28" t="s">
        <v>14</v>
      </c>
      <c r="AD75" s="18"/>
      <c r="AE75" s="28" t="s">
        <v>14</v>
      </c>
      <c r="AF75" s="25" t="str">
        <f t="shared" si="8"/>
        <v>NA</v>
      </c>
      <c r="AG75" s="59" t="str">
        <f t="shared" si="7"/>
        <v>NÃO AVALIADO POR FALHA DE SINCRONISMO</v>
      </c>
      <c r="AH75" s="28" t="s">
        <v>108</v>
      </c>
      <c r="AI75" s="32" t="s">
        <v>1</v>
      </c>
      <c r="AJ75" s="29" t="str">
        <f t="shared" si="9"/>
        <v>GUARULHOS</v>
      </c>
      <c r="AK75" s="33" t="s">
        <v>13</v>
      </c>
    </row>
    <row r="76" spans="1:37" ht="30" customHeight="1" x14ac:dyDescent="0.2">
      <c r="A76" s="82" t="s">
        <v>101</v>
      </c>
      <c r="B76" s="82">
        <v>2613869808</v>
      </c>
      <c r="C76" s="82" t="s">
        <v>1734</v>
      </c>
      <c r="D76" s="82" t="s">
        <v>53</v>
      </c>
      <c r="E76" s="82" t="s">
        <v>102</v>
      </c>
      <c r="F76" s="82" t="s">
        <v>557</v>
      </c>
      <c r="G76" s="82">
        <v>128</v>
      </c>
      <c r="H76" s="82" t="s">
        <v>1811</v>
      </c>
      <c r="I76" s="82" t="s">
        <v>558</v>
      </c>
      <c r="J76" s="82" t="s">
        <v>1736</v>
      </c>
      <c r="K76" s="88" t="s">
        <v>1800</v>
      </c>
      <c r="L76" s="82" t="s">
        <v>902</v>
      </c>
      <c r="M76" s="82" t="s">
        <v>1801</v>
      </c>
      <c r="N76" s="82" t="s">
        <v>1409</v>
      </c>
      <c r="O76" s="36" t="s">
        <v>14</v>
      </c>
      <c r="P76" s="18"/>
      <c r="Q76" s="28" t="s">
        <v>14</v>
      </c>
      <c r="R76" s="18"/>
      <c r="S76" s="28" t="s">
        <v>14</v>
      </c>
      <c r="T76" s="18"/>
      <c r="U76" s="28" t="s">
        <v>14</v>
      </c>
      <c r="V76" s="18"/>
      <c r="W76" s="28" t="s">
        <v>14</v>
      </c>
      <c r="X76" s="18"/>
      <c r="Y76" s="28" t="s">
        <v>14</v>
      </c>
      <c r="Z76" s="18"/>
      <c r="AA76" s="28" t="s">
        <v>14</v>
      </c>
      <c r="AB76" s="18"/>
      <c r="AC76" s="28" t="s">
        <v>14</v>
      </c>
      <c r="AD76" s="18"/>
      <c r="AE76" s="28" t="s">
        <v>14</v>
      </c>
      <c r="AF76" s="25" t="str">
        <f t="shared" si="8"/>
        <v>NA</v>
      </c>
      <c r="AG76" s="59" t="str">
        <f t="shared" si="7"/>
        <v>NÃO AVALIADO POR FALHA DE SINCRONISMO</v>
      </c>
      <c r="AH76" s="28" t="s">
        <v>108</v>
      </c>
      <c r="AI76" s="32" t="s">
        <v>1</v>
      </c>
      <c r="AJ76" s="29" t="str">
        <f t="shared" si="9"/>
        <v>GUARULHOS</v>
      </c>
      <c r="AK76" s="33" t="s">
        <v>13</v>
      </c>
    </row>
    <row r="77" spans="1:37" ht="30" customHeight="1" x14ac:dyDescent="0.2">
      <c r="A77" s="82" t="s">
        <v>101</v>
      </c>
      <c r="B77" s="82">
        <v>2615872444</v>
      </c>
      <c r="C77" s="82" t="s">
        <v>1734</v>
      </c>
      <c r="D77" s="82" t="s">
        <v>53</v>
      </c>
      <c r="E77" s="82" t="s">
        <v>102</v>
      </c>
      <c r="F77" s="82" t="s">
        <v>557</v>
      </c>
      <c r="G77" s="82">
        <v>114</v>
      </c>
      <c r="H77" s="82" t="s">
        <v>930</v>
      </c>
      <c r="I77" s="82" t="s">
        <v>558</v>
      </c>
      <c r="J77" s="82" t="s">
        <v>1736</v>
      </c>
      <c r="K77" s="88" t="s">
        <v>1800</v>
      </c>
      <c r="L77" s="82" t="s">
        <v>902</v>
      </c>
      <c r="M77" s="82" t="s">
        <v>1801</v>
      </c>
      <c r="N77" s="82" t="s">
        <v>1409</v>
      </c>
      <c r="O77" s="36" t="s">
        <v>14</v>
      </c>
      <c r="P77" s="18"/>
      <c r="Q77" s="28" t="s">
        <v>14</v>
      </c>
      <c r="R77" s="18"/>
      <c r="S77" s="28" t="s">
        <v>14</v>
      </c>
      <c r="T77" s="18"/>
      <c r="U77" s="28" t="s">
        <v>14</v>
      </c>
      <c r="V77" s="18"/>
      <c r="W77" s="28" t="s">
        <v>14</v>
      </c>
      <c r="X77" s="18"/>
      <c r="Y77" s="28" t="s">
        <v>14</v>
      </c>
      <c r="Z77" s="18"/>
      <c r="AA77" s="28" t="s">
        <v>14</v>
      </c>
      <c r="AB77" s="18"/>
      <c r="AC77" s="28" t="s">
        <v>14</v>
      </c>
      <c r="AD77" s="18"/>
      <c r="AE77" s="28" t="s">
        <v>14</v>
      </c>
      <c r="AF77" s="25" t="str">
        <f t="shared" si="8"/>
        <v>NA</v>
      </c>
      <c r="AG77" s="59" t="str">
        <f t="shared" si="7"/>
        <v>NÃO AVALIADO POR FALHA DE SINCRONISMO</v>
      </c>
      <c r="AH77" s="28" t="s">
        <v>108</v>
      </c>
      <c r="AI77" s="32" t="s">
        <v>1</v>
      </c>
      <c r="AJ77" s="29" t="str">
        <f t="shared" si="9"/>
        <v>GUARULHOS</v>
      </c>
      <c r="AK77" s="33" t="s">
        <v>13</v>
      </c>
    </row>
    <row r="78" spans="1:37" ht="30" customHeight="1" x14ac:dyDescent="0.2">
      <c r="A78" s="82" t="s">
        <v>101</v>
      </c>
      <c r="B78" s="82">
        <v>2615872129</v>
      </c>
      <c r="C78" s="82" t="s">
        <v>1734</v>
      </c>
      <c r="D78" s="82" t="s">
        <v>53</v>
      </c>
      <c r="E78" s="82" t="s">
        <v>102</v>
      </c>
      <c r="F78" s="82" t="s">
        <v>557</v>
      </c>
      <c r="G78" s="82">
        <v>106</v>
      </c>
      <c r="H78" s="82" t="s">
        <v>174</v>
      </c>
      <c r="I78" s="82" t="s">
        <v>558</v>
      </c>
      <c r="J78" s="82" t="s">
        <v>1736</v>
      </c>
      <c r="K78" s="88" t="s">
        <v>1800</v>
      </c>
      <c r="L78" s="82" t="s">
        <v>902</v>
      </c>
      <c r="M78" s="82" t="s">
        <v>1801</v>
      </c>
      <c r="N78" s="82" t="s">
        <v>1409</v>
      </c>
      <c r="O78" s="36" t="s">
        <v>14</v>
      </c>
      <c r="P78" s="18"/>
      <c r="Q78" s="28" t="s">
        <v>14</v>
      </c>
      <c r="R78" s="18"/>
      <c r="S78" s="28" t="s">
        <v>14</v>
      </c>
      <c r="T78" s="18"/>
      <c r="U78" s="28" t="s">
        <v>14</v>
      </c>
      <c r="V78" s="18"/>
      <c r="W78" s="28" t="s">
        <v>14</v>
      </c>
      <c r="X78" s="18"/>
      <c r="Y78" s="28" t="s">
        <v>14</v>
      </c>
      <c r="Z78" s="18"/>
      <c r="AA78" s="28" t="s">
        <v>14</v>
      </c>
      <c r="AB78" s="18"/>
      <c r="AC78" s="28" t="s">
        <v>14</v>
      </c>
      <c r="AD78" s="18"/>
      <c r="AE78" s="28" t="s">
        <v>14</v>
      </c>
      <c r="AF78" s="25" t="str">
        <f t="shared" si="8"/>
        <v>NA</v>
      </c>
      <c r="AG78" s="59" t="str">
        <f t="shared" si="7"/>
        <v>NÃO AVALIADO POR FALHA DE SINCRONISMO</v>
      </c>
      <c r="AH78" s="28" t="s">
        <v>108</v>
      </c>
      <c r="AI78" s="32" t="s">
        <v>1</v>
      </c>
      <c r="AJ78" s="29" t="str">
        <f t="shared" si="9"/>
        <v>GUARULHOS</v>
      </c>
      <c r="AK78" s="33" t="s">
        <v>13</v>
      </c>
    </row>
    <row r="79" spans="1:37" ht="30" customHeight="1" x14ac:dyDescent="0.2">
      <c r="A79" s="82" t="s">
        <v>101</v>
      </c>
      <c r="B79" s="82">
        <v>2615877422</v>
      </c>
      <c r="C79" s="82" t="s">
        <v>1734</v>
      </c>
      <c r="D79" s="82" t="s">
        <v>53</v>
      </c>
      <c r="E79" s="82" t="s">
        <v>102</v>
      </c>
      <c r="F79" s="82" t="s">
        <v>503</v>
      </c>
      <c r="G79" s="82">
        <v>92</v>
      </c>
      <c r="H79" s="82" t="s">
        <v>1812</v>
      </c>
      <c r="I79" s="82" t="s">
        <v>237</v>
      </c>
      <c r="J79" s="82" t="s">
        <v>1736</v>
      </c>
      <c r="K79" s="82" t="s">
        <v>1813</v>
      </c>
      <c r="L79" s="82" t="s">
        <v>902</v>
      </c>
      <c r="M79" s="82" t="s">
        <v>1814</v>
      </c>
      <c r="N79" s="82" t="s">
        <v>1409</v>
      </c>
      <c r="O79" s="36" t="s">
        <v>14</v>
      </c>
      <c r="P79" s="18"/>
      <c r="Q79" s="28" t="s">
        <v>14</v>
      </c>
      <c r="R79" s="18"/>
      <c r="S79" s="28" t="s">
        <v>14</v>
      </c>
      <c r="T79" s="18"/>
      <c r="U79" s="28" t="s">
        <v>14</v>
      </c>
      <c r="V79" s="18"/>
      <c r="W79" s="28" t="s">
        <v>14</v>
      </c>
      <c r="X79" s="18"/>
      <c r="Y79" s="28" t="s">
        <v>14</v>
      </c>
      <c r="Z79" s="18"/>
      <c r="AA79" s="28" t="s">
        <v>14</v>
      </c>
      <c r="AB79" s="18"/>
      <c r="AC79" s="28" t="s">
        <v>14</v>
      </c>
      <c r="AD79" s="18"/>
      <c r="AE79" s="28" t="s">
        <v>14</v>
      </c>
      <c r="AF79" s="25" t="str">
        <f t="shared" si="8"/>
        <v>NA</v>
      </c>
      <c r="AG79" s="59" t="str">
        <f t="shared" si="7"/>
        <v>NÃO AVALIADO POR FALHA DE SINCRONISMO</v>
      </c>
      <c r="AH79" s="28" t="s">
        <v>108</v>
      </c>
      <c r="AI79" s="32" t="s">
        <v>1</v>
      </c>
      <c r="AJ79" s="29" t="str">
        <f t="shared" si="9"/>
        <v>GUARULHOS</v>
      </c>
      <c r="AK79" s="33" t="s">
        <v>13</v>
      </c>
    </row>
    <row r="80" spans="1:37" ht="30" customHeight="1" x14ac:dyDescent="0.2">
      <c r="A80" s="82" t="s">
        <v>101</v>
      </c>
      <c r="B80" s="82">
        <v>2615879746</v>
      </c>
      <c r="C80" s="82" t="s">
        <v>1734</v>
      </c>
      <c r="D80" s="82" t="s">
        <v>53</v>
      </c>
      <c r="E80" s="82" t="s">
        <v>102</v>
      </c>
      <c r="F80" s="82" t="s">
        <v>503</v>
      </c>
      <c r="G80" s="82">
        <v>252</v>
      </c>
      <c r="H80" s="82" t="s">
        <v>1815</v>
      </c>
      <c r="I80" s="82" t="s">
        <v>237</v>
      </c>
      <c r="J80" s="82" t="s">
        <v>1736</v>
      </c>
      <c r="K80" s="82" t="s">
        <v>1813</v>
      </c>
      <c r="L80" s="82" t="s">
        <v>902</v>
      </c>
      <c r="M80" s="82" t="s">
        <v>1814</v>
      </c>
      <c r="N80" s="82" t="s">
        <v>1409</v>
      </c>
      <c r="O80" s="36" t="s">
        <v>14</v>
      </c>
      <c r="P80" s="18"/>
      <c r="Q80" s="28" t="s">
        <v>14</v>
      </c>
      <c r="R80" s="18"/>
      <c r="S80" s="28" t="s">
        <v>14</v>
      </c>
      <c r="T80" s="18"/>
      <c r="U80" s="28" t="s">
        <v>14</v>
      </c>
      <c r="V80" s="18"/>
      <c r="W80" s="28" t="s">
        <v>14</v>
      </c>
      <c r="X80" s="18"/>
      <c r="Y80" s="28" t="s">
        <v>14</v>
      </c>
      <c r="Z80" s="18"/>
      <c r="AA80" s="28" t="s">
        <v>14</v>
      </c>
      <c r="AB80" s="18"/>
      <c r="AC80" s="28" t="s">
        <v>14</v>
      </c>
      <c r="AD80" s="18"/>
      <c r="AE80" s="28" t="s">
        <v>14</v>
      </c>
      <c r="AF80" s="25" t="str">
        <f t="shared" si="8"/>
        <v>NA</v>
      </c>
      <c r="AG80" s="59" t="str">
        <f t="shared" si="7"/>
        <v>NÃO AVALIADO POR FALHA DE SINCRONISMO</v>
      </c>
      <c r="AH80" s="28" t="s">
        <v>108</v>
      </c>
      <c r="AI80" s="32" t="s">
        <v>1</v>
      </c>
      <c r="AJ80" s="29" t="str">
        <f t="shared" si="9"/>
        <v>GUARULHOS</v>
      </c>
      <c r="AK80" s="33" t="s">
        <v>13</v>
      </c>
    </row>
    <row r="81" spans="1:37" ht="30" customHeight="1" x14ac:dyDescent="0.2">
      <c r="A81" s="82" t="s">
        <v>101</v>
      </c>
      <c r="B81" s="82">
        <v>2615879556</v>
      </c>
      <c r="C81" s="82" t="s">
        <v>1734</v>
      </c>
      <c r="D81" s="82" t="s">
        <v>53</v>
      </c>
      <c r="E81" s="82" t="s">
        <v>102</v>
      </c>
      <c r="F81" s="82" t="s">
        <v>503</v>
      </c>
      <c r="G81" s="82">
        <v>249</v>
      </c>
      <c r="H81" s="82" t="s">
        <v>1816</v>
      </c>
      <c r="I81" s="82" t="s">
        <v>237</v>
      </c>
      <c r="J81" s="82" t="s">
        <v>1736</v>
      </c>
      <c r="K81" s="82" t="s">
        <v>1817</v>
      </c>
      <c r="L81" s="82" t="s">
        <v>902</v>
      </c>
      <c r="M81" s="82" t="s">
        <v>1814</v>
      </c>
      <c r="N81" s="82" t="s">
        <v>1409</v>
      </c>
      <c r="O81" s="36" t="s">
        <v>14</v>
      </c>
      <c r="P81" s="18"/>
      <c r="Q81" s="28" t="s">
        <v>14</v>
      </c>
      <c r="R81" s="18"/>
      <c r="S81" s="28" t="s">
        <v>14</v>
      </c>
      <c r="T81" s="18"/>
      <c r="U81" s="28" t="s">
        <v>14</v>
      </c>
      <c r="V81" s="18"/>
      <c r="W81" s="28" t="s">
        <v>14</v>
      </c>
      <c r="X81" s="18"/>
      <c r="Y81" s="28" t="s">
        <v>14</v>
      </c>
      <c r="Z81" s="18"/>
      <c r="AA81" s="28" t="s">
        <v>14</v>
      </c>
      <c r="AB81" s="18"/>
      <c r="AC81" s="28" t="s">
        <v>14</v>
      </c>
      <c r="AD81" s="18"/>
      <c r="AE81" s="28" t="s">
        <v>14</v>
      </c>
      <c r="AF81" s="25" t="str">
        <f t="shared" si="8"/>
        <v>NA</v>
      </c>
      <c r="AG81" s="59" t="str">
        <f t="shared" si="7"/>
        <v>NÃO AVALIADO POR FALHA DE SINCRONISMO</v>
      </c>
      <c r="AH81" s="28" t="s">
        <v>108</v>
      </c>
      <c r="AI81" s="32" t="s">
        <v>1</v>
      </c>
      <c r="AJ81" s="29" t="str">
        <f t="shared" si="9"/>
        <v>GUARULHOS</v>
      </c>
      <c r="AK81" s="33" t="s">
        <v>13</v>
      </c>
    </row>
    <row r="82" spans="1:37" ht="30" customHeight="1" x14ac:dyDescent="0.2">
      <c r="A82" s="82" t="s">
        <v>101</v>
      </c>
      <c r="B82" s="82">
        <v>2615879379</v>
      </c>
      <c r="C82" s="82" t="s">
        <v>1734</v>
      </c>
      <c r="D82" s="82" t="s">
        <v>53</v>
      </c>
      <c r="E82" s="82" t="s">
        <v>102</v>
      </c>
      <c r="F82" s="82" t="s">
        <v>503</v>
      </c>
      <c r="G82" s="82">
        <v>243</v>
      </c>
      <c r="H82" s="82"/>
      <c r="I82" s="82" t="s">
        <v>237</v>
      </c>
      <c r="J82" s="82" t="s">
        <v>1736</v>
      </c>
      <c r="K82" s="82" t="s">
        <v>1813</v>
      </c>
      <c r="L82" s="82" t="s">
        <v>902</v>
      </c>
      <c r="M82" s="82" t="s">
        <v>1814</v>
      </c>
      <c r="N82" s="82" t="s">
        <v>1409</v>
      </c>
      <c r="O82" s="36" t="s">
        <v>14</v>
      </c>
      <c r="P82" s="18"/>
      <c r="Q82" s="28" t="s">
        <v>14</v>
      </c>
      <c r="R82" s="18"/>
      <c r="S82" s="28" t="s">
        <v>14</v>
      </c>
      <c r="T82" s="18"/>
      <c r="U82" s="28" t="s">
        <v>14</v>
      </c>
      <c r="V82" s="18"/>
      <c r="W82" s="28" t="s">
        <v>14</v>
      </c>
      <c r="X82" s="18"/>
      <c r="Y82" s="28" t="s">
        <v>14</v>
      </c>
      <c r="Z82" s="18"/>
      <c r="AA82" s="28" t="s">
        <v>14</v>
      </c>
      <c r="AB82" s="18"/>
      <c r="AC82" s="28" t="s">
        <v>14</v>
      </c>
      <c r="AD82" s="18"/>
      <c r="AE82" s="28" t="s">
        <v>14</v>
      </c>
      <c r="AF82" s="25" t="str">
        <f t="shared" si="8"/>
        <v>NA</v>
      </c>
      <c r="AG82" s="59" t="str">
        <f t="shared" si="7"/>
        <v>NÃO AVALIADO POR FALHA DE SINCRONISMO</v>
      </c>
      <c r="AH82" s="28" t="s">
        <v>108</v>
      </c>
      <c r="AI82" s="32" t="s">
        <v>1</v>
      </c>
      <c r="AJ82" s="29" t="str">
        <f t="shared" si="9"/>
        <v>GUARULHOS</v>
      </c>
      <c r="AK82" s="33" t="s">
        <v>13</v>
      </c>
    </row>
    <row r="83" spans="1:37" ht="30" customHeight="1" x14ac:dyDescent="0.2">
      <c r="A83" s="82" t="s">
        <v>101</v>
      </c>
      <c r="B83" s="82">
        <v>2615878206</v>
      </c>
      <c r="C83" s="82" t="s">
        <v>1734</v>
      </c>
      <c r="D83" s="82" t="s">
        <v>53</v>
      </c>
      <c r="E83" s="82" t="s">
        <v>102</v>
      </c>
      <c r="F83" s="82" t="s">
        <v>503</v>
      </c>
      <c r="G83" s="82">
        <v>242</v>
      </c>
      <c r="H83" s="82" t="s">
        <v>944</v>
      </c>
      <c r="I83" s="82" t="s">
        <v>237</v>
      </c>
      <c r="J83" s="82" t="s">
        <v>1736</v>
      </c>
      <c r="K83" s="82" t="s">
        <v>1813</v>
      </c>
      <c r="L83" s="82" t="s">
        <v>902</v>
      </c>
      <c r="M83" s="82" t="s">
        <v>1814</v>
      </c>
      <c r="N83" s="82" t="s">
        <v>1409</v>
      </c>
      <c r="O83" s="36" t="s">
        <v>14</v>
      </c>
      <c r="P83" s="18"/>
      <c r="Q83" s="28" t="s">
        <v>14</v>
      </c>
      <c r="R83" s="18"/>
      <c r="S83" s="28" t="s">
        <v>14</v>
      </c>
      <c r="T83" s="18"/>
      <c r="U83" s="28" t="s">
        <v>14</v>
      </c>
      <c r="V83" s="18"/>
      <c r="W83" s="28" t="s">
        <v>14</v>
      </c>
      <c r="X83" s="18"/>
      <c r="Y83" s="28" t="s">
        <v>14</v>
      </c>
      <c r="Z83" s="18"/>
      <c r="AA83" s="28" t="s">
        <v>14</v>
      </c>
      <c r="AB83" s="18"/>
      <c r="AC83" s="28" t="s">
        <v>14</v>
      </c>
      <c r="AD83" s="18"/>
      <c r="AE83" s="28" t="s">
        <v>14</v>
      </c>
      <c r="AF83" s="25" t="str">
        <f t="shared" si="8"/>
        <v>NA</v>
      </c>
      <c r="AG83" s="59" t="str">
        <f t="shared" si="7"/>
        <v>NÃO AVALIADO POR FALHA DE SINCRONISMO</v>
      </c>
      <c r="AH83" s="28" t="s">
        <v>108</v>
      </c>
      <c r="AI83" s="32" t="s">
        <v>1</v>
      </c>
      <c r="AJ83" s="29" t="str">
        <f t="shared" si="9"/>
        <v>GUARULHOS</v>
      </c>
      <c r="AK83" s="33" t="s">
        <v>13</v>
      </c>
    </row>
    <row r="84" spans="1:37" ht="30" customHeight="1" x14ac:dyDescent="0.2">
      <c r="A84" s="82" t="s">
        <v>101</v>
      </c>
      <c r="B84" s="82">
        <v>2615877787</v>
      </c>
      <c r="C84" s="82" t="s">
        <v>1734</v>
      </c>
      <c r="D84" s="82" t="s">
        <v>53</v>
      </c>
      <c r="E84" s="82" t="s">
        <v>102</v>
      </c>
      <c r="F84" s="82" t="s">
        <v>503</v>
      </c>
      <c r="G84" s="82">
        <v>239</v>
      </c>
      <c r="H84" s="82"/>
      <c r="I84" s="82" t="s">
        <v>237</v>
      </c>
      <c r="J84" s="82" t="s">
        <v>1736</v>
      </c>
      <c r="K84" s="82" t="s">
        <v>1813</v>
      </c>
      <c r="L84" s="82" t="s">
        <v>902</v>
      </c>
      <c r="M84" s="82" t="s">
        <v>1814</v>
      </c>
      <c r="N84" s="82" t="s">
        <v>1409</v>
      </c>
      <c r="O84" s="36" t="s">
        <v>14</v>
      </c>
      <c r="P84" s="18"/>
      <c r="Q84" s="28" t="s">
        <v>14</v>
      </c>
      <c r="R84" s="18"/>
      <c r="S84" s="28" t="s">
        <v>14</v>
      </c>
      <c r="T84" s="18"/>
      <c r="U84" s="28" t="s">
        <v>14</v>
      </c>
      <c r="V84" s="18"/>
      <c r="W84" s="28" t="s">
        <v>14</v>
      </c>
      <c r="X84" s="18"/>
      <c r="Y84" s="28" t="s">
        <v>14</v>
      </c>
      <c r="Z84" s="18"/>
      <c r="AA84" s="28" t="s">
        <v>14</v>
      </c>
      <c r="AB84" s="18"/>
      <c r="AC84" s="28" t="s">
        <v>14</v>
      </c>
      <c r="AD84" s="18"/>
      <c r="AE84" s="28" t="s">
        <v>14</v>
      </c>
      <c r="AF84" s="25" t="str">
        <f t="shared" si="8"/>
        <v>NA</v>
      </c>
      <c r="AG84" s="59" t="str">
        <f t="shared" si="7"/>
        <v>NÃO AVALIADO POR FALHA DE SINCRONISMO</v>
      </c>
      <c r="AH84" s="28" t="s">
        <v>108</v>
      </c>
      <c r="AI84" s="32" t="s">
        <v>1</v>
      </c>
      <c r="AJ84" s="29" t="str">
        <f t="shared" si="9"/>
        <v>GUARULHOS</v>
      </c>
      <c r="AK84" s="33" t="s">
        <v>13</v>
      </c>
    </row>
    <row r="85" spans="1:37" ht="30" customHeight="1" x14ac:dyDescent="0.2">
      <c r="A85" s="82" t="s">
        <v>101</v>
      </c>
      <c r="B85" s="82">
        <v>2615877643</v>
      </c>
      <c r="C85" s="82" t="s">
        <v>1734</v>
      </c>
      <c r="D85" s="82" t="s">
        <v>53</v>
      </c>
      <c r="E85" s="82" t="s">
        <v>102</v>
      </c>
      <c r="F85" s="82" t="s">
        <v>503</v>
      </c>
      <c r="G85" s="82">
        <v>233</v>
      </c>
      <c r="H85" s="82" t="s">
        <v>1818</v>
      </c>
      <c r="I85" s="82" t="s">
        <v>237</v>
      </c>
      <c r="J85" s="82" t="s">
        <v>1736</v>
      </c>
      <c r="K85" s="82" t="s">
        <v>1813</v>
      </c>
      <c r="L85" s="82" t="s">
        <v>902</v>
      </c>
      <c r="M85" s="82" t="s">
        <v>1814</v>
      </c>
      <c r="N85" s="82" t="s">
        <v>1409</v>
      </c>
      <c r="O85" s="36" t="s">
        <v>14</v>
      </c>
      <c r="P85" s="18"/>
      <c r="Q85" s="28" t="s">
        <v>14</v>
      </c>
      <c r="R85" s="18"/>
      <c r="S85" s="28" t="s">
        <v>14</v>
      </c>
      <c r="T85" s="18"/>
      <c r="U85" s="28" t="s">
        <v>14</v>
      </c>
      <c r="V85" s="18"/>
      <c r="W85" s="28" t="s">
        <v>14</v>
      </c>
      <c r="X85" s="18"/>
      <c r="Y85" s="28" t="s">
        <v>14</v>
      </c>
      <c r="Z85" s="18"/>
      <c r="AA85" s="28" t="s">
        <v>14</v>
      </c>
      <c r="AB85" s="18"/>
      <c r="AC85" s="28" t="s">
        <v>14</v>
      </c>
      <c r="AD85" s="18"/>
      <c r="AE85" s="28" t="s">
        <v>14</v>
      </c>
      <c r="AF85" s="25" t="str">
        <f t="shared" si="8"/>
        <v>NA</v>
      </c>
      <c r="AG85" s="59" t="str">
        <f t="shared" si="7"/>
        <v>NÃO AVALIADO POR FALHA DE SINCRONISMO</v>
      </c>
      <c r="AH85" s="28" t="s">
        <v>108</v>
      </c>
      <c r="AI85" s="32" t="s">
        <v>1</v>
      </c>
      <c r="AJ85" s="29" t="str">
        <f t="shared" si="9"/>
        <v>GUARULHOS</v>
      </c>
      <c r="AK85" s="33" t="s">
        <v>13</v>
      </c>
    </row>
    <row r="86" spans="1:37" ht="30" customHeight="1" x14ac:dyDescent="0.2">
      <c r="A86" s="82" t="s">
        <v>101</v>
      </c>
      <c r="B86" s="82">
        <v>2615877467</v>
      </c>
      <c r="C86" s="82" t="s">
        <v>1734</v>
      </c>
      <c r="D86" s="82" t="s">
        <v>53</v>
      </c>
      <c r="E86" s="82" t="s">
        <v>102</v>
      </c>
      <c r="F86" s="82" t="s">
        <v>503</v>
      </c>
      <c r="G86" s="82">
        <v>228</v>
      </c>
      <c r="H86" s="82"/>
      <c r="I86" s="82" t="s">
        <v>237</v>
      </c>
      <c r="J86" s="82" t="s">
        <v>1736</v>
      </c>
      <c r="K86" s="82" t="s">
        <v>1813</v>
      </c>
      <c r="L86" s="82" t="s">
        <v>902</v>
      </c>
      <c r="M86" s="82" t="s">
        <v>1814</v>
      </c>
      <c r="N86" s="82" t="s">
        <v>1409</v>
      </c>
      <c r="O86" s="36" t="s">
        <v>14</v>
      </c>
      <c r="P86" s="18"/>
      <c r="Q86" s="28" t="s">
        <v>14</v>
      </c>
      <c r="R86" s="18"/>
      <c r="S86" s="28" t="s">
        <v>14</v>
      </c>
      <c r="T86" s="18"/>
      <c r="U86" s="28" t="s">
        <v>14</v>
      </c>
      <c r="V86" s="18"/>
      <c r="W86" s="28" t="s">
        <v>14</v>
      </c>
      <c r="X86" s="18"/>
      <c r="Y86" s="28" t="s">
        <v>14</v>
      </c>
      <c r="Z86" s="18"/>
      <c r="AA86" s="28" t="s">
        <v>14</v>
      </c>
      <c r="AB86" s="18"/>
      <c r="AC86" s="28" t="s">
        <v>14</v>
      </c>
      <c r="AD86" s="18"/>
      <c r="AE86" s="28" t="s">
        <v>14</v>
      </c>
      <c r="AF86" s="25" t="str">
        <f t="shared" si="8"/>
        <v>NA</v>
      </c>
      <c r="AG86" s="59" t="str">
        <f t="shared" si="7"/>
        <v>NÃO AVALIADO POR FALHA DE SINCRONISMO</v>
      </c>
      <c r="AH86" s="28" t="s">
        <v>108</v>
      </c>
      <c r="AI86" s="32" t="s">
        <v>1</v>
      </c>
      <c r="AJ86" s="29" t="str">
        <f t="shared" si="9"/>
        <v>GUARULHOS</v>
      </c>
      <c r="AK86" s="33" t="s">
        <v>13</v>
      </c>
    </row>
    <row r="87" spans="1:37" ht="30" customHeight="1" x14ac:dyDescent="0.2">
      <c r="A87" s="82" t="s">
        <v>101</v>
      </c>
      <c r="B87" s="82">
        <v>2615877255</v>
      </c>
      <c r="C87" s="82" t="s">
        <v>1734</v>
      </c>
      <c r="D87" s="82" t="s">
        <v>53</v>
      </c>
      <c r="E87" s="82" t="s">
        <v>102</v>
      </c>
      <c r="F87" s="82" t="s">
        <v>503</v>
      </c>
      <c r="G87" s="82">
        <v>227</v>
      </c>
      <c r="H87" s="82" t="s">
        <v>1819</v>
      </c>
      <c r="I87" s="82" t="s">
        <v>237</v>
      </c>
      <c r="J87" s="82" t="s">
        <v>1736</v>
      </c>
      <c r="K87" s="82" t="s">
        <v>1813</v>
      </c>
      <c r="L87" s="82" t="s">
        <v>902</v>
      </c>
      <c r="M87" s="82" t="s">
        <v>1814</v>
      </c>
      <c r="N87" s="82" t="s">
        <v>1409</v>
      </c>
      <c r="O87" s="36" t="s">
        <v>14</v>
      </c>
      <c r="P87" s="18"/>
      <c r="Q87" s="28" t="s">
        <v>14</v>
      </c>
      <c r="R87" s="18"/>
      <c r="S87" s="28" t="s">
        <v>14</v>
      </c>
      <c r="T87" s="18"/>
      <c r="U87" s="28" t="s">
        <v>14</v>
      </c>
      <c r="V87" s="18"/>
      <c r="W87" s="28" t="s">
        <v>14</v>
      </c>
      <c r="X87" s="18"/>
      <c r="Y87" s="28" t="s">
        <v>14</v>
      </c>
      <c r="Z87" s="18"/>
      <c r="AA87" s="28" t="s">
        <v>14</v>
      </c>
      <c r="AB87" s="18"/>
      <c r="AC87" s="28" t="s">
        <v>14</v>
      </c>
      <c r="AD87" s="18"/>
      <c r="AE87" s="28" t="s">
        <v>14</v>
      </c>
      <c r="AF87" s="25" t="str">
        <f t="shared" si="8"/>
        <v>NA</v>
      </c>
      <c r="AG87" s="59" t="str">
        <f t="shared" si="7"/>
        <v>NÃO AVALIADO POR FALHA DE SINCRONISMO</v>
      </c>
      <c r="AH87" s="28" t="s">
        <v>108</v>
      </c>
      <c r="AI87" s="32" t="s">
        <v>1</v>
      </c>
      <c r="AJ87" s="29" t="str">
        <f t="shared" si="9"/>
        <v>GUARULHOS</v>
      </c>
      <c r="AK87" s="33" t="s">
        <v>13</v>
      </c>
    </row>
    <row r="88" spans="1:37" ht="30" customHeight="1" x14ac:dyDescent="0.2">
      <c r="A88" s="82" t="s">
        <v>101</v>
      </c>
      <c r="B88" s="82">
        <v>2615877008</v>
      </c>
      <c r="C88" s="82" t="s">
        <v>1734</v>
      </c>
      <c r="D88" s="82" t="s">
        <v>53</v>
      </c>
      <c r="E88" s="82" t="s">
        <v>102</v>
      </c>
      <c r="F88" s="82" t="s">
        <v>503</v>
      </c>
      <c r="G88" s="82">
        <v>223</v>
      </c>
      <c r="H88" s="82"/>
      <c r="I88" s="82" t="s">
        <v>237</v>
      </c>
      <c r="J88" s="82" t="s">
        <v>1736</v>
      </c>
      <c r="K88" s="82" t="s">
        <v>1813</v>
      </c>
      <c r="L88" s="82" t="s">
        <v>902</v>
      </c>
      <c r="M88" s="82" t="s">
        <v>1814</v>
      </c>
      <c r="N88" s="82" t="s">
        <v>1409</v>
      </c>
      <c r="O88" s="36" t="s">
        <v>14</v>
      </c>
      <c r="P88" s="18"/>
      <c r="Q88" s="28" t="s">
        <v>14</v>
      </c>
      <c r="R88" s="18"/>
      <c r="S88" s="28" t="s">
        <v>14</v>
      </c>
      <c r="T88" s="18"/>
      <c r="U88" s="28" t="s">
        <v>14</v>
      </c>
      <c r="V88" s="18"/>
      <c r="W88" s="28" t="s">
        <v>14</v>
      </c>
      <c r="X88" s="18"/>
      <c r="Y88" s="28" t="s">
        <v>14</v>
      </c>
      <c r="Z88" s="18"/>
      <c r="AA88" s="28" t="s">
        <v>14</v>
      </c>
      <c r="AB88" s="18"/>
      <c r="AC88" s="28" t="s">
        <v>14</v>
      </c>
      <c r="AD88" s="18"/>
      <c r="AE88" s="28" t="s">
        <v>14</v>
      </c>
      <c r="AF88" s="25" t="str">
        <f t="shared" si="8"/>
        <v>NA</v>
      </c>
      <c r="AG88" s="59" t="str">
        <f t="shared" si="7"/>
        <v>NÃO AVALIADO POR FALHA DE SINCRONISMO</v>
      </c>
      <c r="AH88" s="28" t="s">
        <v>108</v>
      </c>
      <c r="AI88" s="32" t="s">
        <v>1</v>
      </c>
      <c r="AJ88" s="29" t="str">
        <f t="shared" si="9"/>
        <v>GUARULHOS</v>
      </c>
      <c r="AK88" s="33" t="s">
        <v>13</v>
      </c>
    </row>
    <row r="89" spans="1:37" ht="30" customHeight="1" x14ac:dyDescent="0.2">
      <c r="A89" s="82" t="s">
        <v>101</v>
      </c>
      <c r="B89" s="82">
        <v>2615876755</v>
      </c>
      <c r="C89" s="82" t="s">
        <v>1734</v>
      </c>
      <c r="D89" s="82" t="s">
        <v>53</v>
      </c>
      <c r="E89" s="82" t="s">
        <v>102</v>
      </c>
      <c r="F89" s="82" t="s">
        <v>503</v>
      </c>
      <c r="G89" s="82">
        <v>218</v>
      </c>
      <c r="H89" s="82" t="s">
        <v>1017</v>
      </c>
      <c r="I89" s="82" t="s">
        <v>237</v>
      </c>
      <c r="J89" s="82" t="s">
        <v>1736</v>
      </c>
      <c r="K89" s="82" t="s">
        <v>1813</v>
      </c>
      <c r="L89" s="82" t="s">
        <v>902</v>
      </c>
      <c r="M89" s="82" t="s">
        <v>1814</v>
      </c>
      <c r="N89" s="82" t="s">
        <v>1409</v>
      </c>
      <c r="O89" s="36" t="s">
        <v>14</v>
      </c>
      <c r="P89" s="18"/>
      <c r="Q89" s="28" t="s">
        <v>14</v>
      </c>
      <c r="R89" s="18"/>
      <c r="S89" s="28" t="s">
        <v>14</v>
      </c>
      <c r="T89" s="18"/>
      <c r="U89" s="28" t="s">
        <v>14</v>
      </c>
      <c r="V89" s="18"/>
      <c r="W89" s="28" t="s">
        <v>14</v>
      </c>
      <c r="X89" s="18"/>
      <c r="Y89" s="28" t="s">
        <v>14</v>
      </c>
      <c r="Z89" s="18"/>
      <c r="AA89" s="28" t="s">
        <v>14</v>
      </c>
      <c r="AB89" s="18"/>
      <c r="AC89" s="28" t="s">
        <v>14</v>
      </c>
      <c r="AD89" s="18"/>
      <c r="AE89" s="28" t="s">
        <v>14</v>
      </c>
      <c r="AF89" s="25" t="str">
        <f t="shared" si="8"/>
        <v>NA</v>
      </c>
      <c r="AG89" s="59" t="str">
        <f t="shared" si="7"/>
        <v>NÃO AVALIADO POR FALHA DE SINCRONISMO</v>
      </c>
      <c r="AH89" s="28" t="s">
        <v>108</v>
      </c>
      <c r="AI89" s="32" t="s">
        <v>1</v>
      </c>
      <c r="AJ89" s="29" t="str">
        <f t="shared" si="9"/>
        <v>GUARULHOS</v>
      </c>
      <c r="AK89" s="33" t="s">
        <v>13</v>
      </c>
    </row>
    <row r="90" spans="1:37" ht="30" customHeight="1" x14ac:dyDescent="0.2">
      <c r="A90" s="82" t="s">
        <v>101</v>
      </c>
      <c r="B90" s="82">
        <v>2615876078</v>
      </c>
      <c r="C90" s="82" t="s">
        <v>1734</v>
      </c>
      <c r="D90" s="82" t="s">
        <v>53</v>
      </c>
      <c r="E90" s="82" t="s">
        <v>102</v>
      </c>
      <c r="F90" s="82" t="s">
        <v>503</v>
      </c>
      <c r="G90" s="82">
        <v>206</v>
      </c>
      <c r="H90" s="82" t="s">
        <v>1545</v>
      </c>
      <c r="I90" s="82" t="s">
        <v>237</v>
      </c>
      <c r="J90" s="82" t="s">
        <v>1736</v>
      </c>
      <c r="K90" s="82" t="s">
        <v>1813</v>
      </c>
      <c r="L90" s="82" t="s">
        <v>902</v>
      </c>
      <c r="M90" s="82" t="s">
        <v>1814</v>
      </c>
      <c r="N90" s="82" t="s">
        <v>1409</v>
      </c>
      <c r="O90" s="36" t="s">
        <v>14</v>
      </c>
      <c r="P90" s="18"/>
      <c r="Q90" s="28" t="s">
        <v>14</v>
      </c>
      <c r="R90" s="18"/>
      <c r="S90" s="28" t="s">
        <v>14</v>
      </c>
      <c r="T90" s="18"/>
      <c r="U90" s="28" t="s">
        <v>14</v>
      </c>
      <c r="V90" s="18"/>
      <c r="W90" s="28" t="s">
        <v>14</v>
      </c>
      <c r="X90" s="18"/>
      <c r="Y90" s="28" t="s">
        <v>14</v>
      </c>
      <c r="Z90" s="18"/>
      <c r="AA90" s="28" t="s">
        <v>14</v>
      </c>
      <c r="AB90" s="18"/>
      <c r="AC90" s="28" t="s">
        <v>14</v>
      </c>
      <c r="AD90" s="18"/>
      <c r="AE90" s="28" t="s">
        <v>14</v>
      </c>
      <c r="AF90" s="25" t="str">
        <f t="shared" si="8"/>
        <v>NA</v>
      </c>
      <c r="AG90" s="59" t="str">
        <f t="shared" si="7"/>
        <v>NÃO AVALIADO POR FALHA DE SINCRONISMO</v>
      </c>
      <c r="AH90" s="28" t="s">
        <v>108</v>
      </c>
      <c r="AI90" s="32" t="s">
        <v>1</v>
      </c>
      <c r="AJ90" s="29" t="str">
        <f t="shared" si="9"/>
        <v>GUARULHOS</v>
      </c>
      <c r="AK90" s="33" t="s">
        <v>13</v>
      </c>
    </row>
    <row r="91" spans="1:37" ht="30" customHeight="1" x14ac:dyDescent="0.2">
      <c r="A91" s="82" t="s">
        <v>101</v>
      </c>
      <c r="B91" s="82">
        <v>2615876552</v>
      </c>
      <c r="C91" s="82" t="s">
        <v>1734</v>
      </c>
      <c r="D91" s="82" t="s">
        <v>53</v>
      </c>
      <c r="E91" s="82" t="s">
        <v>102</v>
      </c>
      <c r="F91" s="82" t="s">
        <v>503</v>
      </c>
      <c r="G91" s="82">
        <v>205</v>
      </c>
      <c r="H91" s="82" t="s">
        <v>1119</v>
      </c>
      <c r="I91" s="82" t="s">
        <v>237</v>
      </c>
      <c r="J91" s="82" t="s">
        <v>1736</v>
      </c>
      <c r="K91" s="82" t="s">
        <v>1813</v>
      </c>
      <c r="L91" s="82" t="s">
        <v>902</v>
      </c>
      <c r="M91" s="82" t="s">
        <v>1814</v>
      </c>
      <c r="N91" s="82" t="s">
        <v>1409</v>
      </c>
      <c r="O91" s="36" t="s">
        <v>14</v>
      </c>
      <c r="P91" s="18"/>
      <c r="Q91" s="28" t="s">
        <v>14</v>
      </c>
      <c r="R91" s="18"/>
      <c r="S91" s="28" t="s">
        <v>14</v>
      </c>
      <c r="T91" s="18"/>
      <c r="U91" s="28" t="s">
        <v>14</v>
      </c>
      <c r="V91" s="18"/>
      <c r="W91" s="28" t="s">
        <v>14</v>
      </c>
      <c r="X91" s="18"/>
      <c r="Y91" s="28" t="s">
        <v>14</v>
      </c>
      <c r="Z91" s="18"/>
      <c r="AA91" s="28" t="s">
        <v>14</v>
      </c>
      <c r="AB91" s="18"/>
      <c r="AC91" s="28" t="s">
        <v>14</v>
      </c>
      <c r="AD91" s="18"/>
      <c r="AE91" s="28" t="s">
        <v>14</v>
      </c>
      <c r="AF91" s="25" t="str">
        <f t="shared" si="8"/>
        <v>NA</v>
      </c>
      <c r="AG91" s="59" t="str">
        <f t="shared" si="7"/>
        <v>NÃO AVALIADO POR FALHA DE SINCRONISMO</v>
      </c>
      <c r="AH91" s="28" t="s">
        <v>108</v>
      </c>
      <c r="AI91" s="32" t="s">
        <v>1</v>
      </c>
      <c r="AJ91" s="29" t="str">
        <f t="shared" si="9"/>
        <v>GUARULHOS</v>
      </c>
      <c r="AK91" s="33" t="s">
        <v>13</v>
      </c>
    </row>
    <row r="92" spans="1:37" ht="30" customHeight="1" x14ac:dyDescent="0.2">
      <c r="A92" s="82" t="s">
        <v>101</v>
      </c>
      <c r="B92" s="82">
        <v>2615875760</v>
      </c>
      <c r="C92" s="82" t="s">
        <v>1734</v>
      </c>
      <c r="D92" s="82" t="s">
        <v>53</v>
      </c>
      <c r="E92" s="82" t="s">
        <v>102</v>
      </c>
      <c r="F92" s="82" t="s">
        <v>503</v>
      </c>
      <c r="G92" s="82">
        <v>197</v>
      </c>
      <c r="H92" s="82" t="s">
        <v>174</v>
      </c>
      <c r="I92" s="82" t="s">
        <v>237</v>
      </c>
      <c r="J92" s="82" t="s">
        <v>1736</v>
      </c>
      <c r="K92" s="82" t="s">
        <v>1813</v>
      </c>
      <c r="L92" s="82" t="s">
        <v>902</v>
      </c>
      <c r="M92" s="82" t="s">
        <v>1814</v>
      </c>
      <c r="N92" s="82" t="s">
        <v>1409</v>
      </c>
      <c r="O92" s="36" t="s">
        <v>14</v>
      </c>
      <c r="P92" s="18"/>
      <c r="Q92" s="28" t="s">
        <v>14</v>
      </c>
      <c r="R92" s="18"/>
      <c r="S92" s="28" t="s">
        <v>14</v>
      </c>
      <c r="T92" s="18"/>
      <c r="U92" s="28" t="s">
        <v>14</v>
      </c>
      <c r="V92" s="18"/>
      <c r="W92" s="28" t="s">
        <v>14</v>
      </c>
      <c r="X92" s="18"/>
      <c r="Y92" s="28" t="s">
        <v>14</v>
      </c>
      <c r="Z92" s="18"/>
      <c r="AA92" s="28" t="s">
        <v>14</v>
      </c>
      <c r="AB92" s="18"/>
      <c r="AC92" s="28" t="s">
        <v>14</v>
      </c>
      <c r="AD92" s="18"/>
      <c r="AE92" s="28" t="s">
        <v>14</v>
      </c>
      <c r="AF92" s="25" t="str">
        <f t="shared" si="8"/>
        <v>NA</v>
      </c>
      <c r="AG92" s="59" t="str">
        <f t="shared" si="7"/>
        <v>NÃO AVALIADO POR FALHA DE SINCRONISMO</v>
      </c>
      <c r="AH92" s="28" t="s">
        <v>108</v>
      </c>
      <c r="AI92" s="32" t="s">
        <v>1</v>
      </c>
      <c r="AJ92" s="29" t="str">
        <f t="shared" si="9"/>
        <v>GUARULHOS</v>
      </c>
      <c r="AK92" s="33" t="s">
        <v>13</v>
      </c>
    </row>
    <row r="93" spans="1:37" ht="30" customHeight="1" x14ac:dyDescent="0.2">
      <c r="A93" s="82" t="s">
        <v>101</v>
      </c>
      <c r="B93" s="82">
        <v>2615875508</v>
      </c>
      <c r="C93" s="82" t="s">
        <v>1734</v>
      </c>
      <c r="D93" s="82" t="s">
        <v>53</v>
      </c>
      <c r="E93" s="82" t="s">
        <v>102</v>
      </c>
      <c r="F93" s="82" t="s">
        <v>503</v>
      </c>
      <c r="G93" s="82">
        <v>196</v>
      </c>
      <c r="H93" s="82" t="s">
        <v>117</v>
      </c>
      <c r="I93" s="82" t="s">
        <v>237</v>
      </c>
      <c r="J93" s="82" t="s">
        <v>1736</v>
      </c>
      <c r="K93" s="82" t="s">
        <v>1817</v>
      </c>
      <c r="L93" s="82" t="s">
        <v>902</v>
      </c>
      <c r="M93" s="82" t="s">
        <v>1814</v>
      </c>
      <c r="N93" s="82" t="s">
        <v>1409</v>
      </c>
      <c r="O93" s="36" t="s">
        <v>14</v>
      </c>
      <c r="P93" s="18"/>
      <c r="Q93" s="28" t="s">
        <v>14</v>
      </c>
      <c r="R93" s="18"/>
      <c r="S93" s="28" t="s">
        <v>14</v>
      </c>
      <c r="T93" s="18"/>
      <c r="U93" s="28" t="s">
        <v>14</v>
      </c>
      <c r="V93" s="18"/>
      <c r="W93" s="28" t="s">
        <v>14</v>
      </c>
      <c r="X93" s="18"/>
      <c r="Y93" s="28" t="s">
        <v>14</v>
      </c>
      <c r="Z93" s="18"/>
      <c r="AA93" s="28" t="s">
        <v>14</v>
      </c>
      <c r="AB93" s="18"/>
      <c r="AC93" s="28" t="s">
        <v>14</v>
      </c>
      <c r="AD93" s="18"/>
      <c r="AE93" s="28" t="s">
        <v>14</v>
      </c>
      <c r="AF93" s="25" t="str">
        <f t="shared" si="8"/>
        <v>NA</v>
      </c>
      <c r="AG93" s="59" t="str">
        <f t="shared" si="7"/>
        <v>NÃO AVALIADO POR FALHA DE SINCRONISMO</v>
      </c>
      <c r="AH93" s="28" t="s">
        <v>108</v>
      </c>
      <c r="AI93" s="32" t="s">
        <v>1</v>
      </c>
      <c r="AJ93" s="29" t="str">
        <f t="shared" si="9"/>
        <v>GUARULHOS</v>
      </c>
      <c r="AK93" s="33" t="s">
        <v>13</v>
      </c>
    </row>
    <row r="94" spans="1:37" ht="30" customHeight="1" x14ac:dyDescent="0.2">
      <c r="A94" s="82" t="s">
        <v>101</v>
      </c>
      <c r="B94" s="82">
        <v>2615873600</v>
      </c>
      <c r="C94" s="82" t="s">
        <v>1734</v>
      </c>
      <c r="D94" s="82" t="s">
        <v>53</v>
      </c>
      <c r="E94" s="82" t="s">
        <v>102</v>
      </c>
      <c r="F94" s="82" t="s">
        <v>503</v>
      </c>
      <c r="G94" s="82">
        <v>190</v>
      </c>
      <c r="H94" s="82"/>
      <c r="I94" s="82" t="s">
        <v>237</v>
      </c>
      <c r="J94" s="82" t="s">
        <v>1736</v>
      </c>
      <c r="K94" s="82" t="s">
        <v>1813</v>
      </c>
      <c r="L94" s="82" t="s">
        <v>902</v>
      </c>
      <c r="M94" s="82" t="s">
        <v>1814</v>
      </c>
      <c r="N94" s="82" t="s">
        <v>1409</v>
      </c>
      <c r="O94" s="36" t="s">
        <v>14</v>
      </c>
      <c r="P94" s="18"/>
      <c r="Q94" s="28" t="s">
        <v>14</v>
      </c>
      <c r="R94" s="18"/>
      <c r="S94" s="28" t="s">
        <v>14</v>
      </c>
      <c r="T94" s="18"/>
      <c r="U94" s="28" t="s">
        <v>14</v>
      </c>
      <c r="V94" s="18"/>
      <c r="W94" s="28" t="s">
        <v>14</v>
      </c>
      <c r="X94" s="18"/>
      <c r="Y94" s="28" t="s">
        <v>14</v>
      </c>
      <c r="Z94" s="18"/>
      <c r="AA94" s="28" t="s">
        <v>14</v>
      </c>
      <c r="AB94" s="18"/>
      <c r="AC94" s="28" t="s">
        <v>14</v>
      </c>
      <c r="AD94" s="18"/>
      <c r="AE94" s="28" t="s">
        <v>14</v>
      </c>
      <c r="AF94" s="25" t="str">
        <f t="shared" si="8"/>
        <v>NA</v>
      </c>
      <c r="AG94" s="59" t="str">
        <f t="shared" si="7"/>
        <v>NÃO AVALIADO POR FALHA DE SINCRONISMO</v>
      </c>
      <c r="AH94" s="28" t="s">
        <v>108</v>
      </c>
      <c r="AI94" s="32" t="s">
        <v>1</v>
      </c>
      <c r="AJ94" s="29" t="str">
        <f t="shared" si="9"/>
        <v>GUARULHOS</v>
      </c>
      <c r="AK94" s="33" t="s">
        <v>13</v>
      </c>
    </row>
    <row r="95" spans="1:37" ht="30" customHeight="1" x14ac:dyDescent="0.2">
      <c r="A95" s="82" t="s">
        <v>101</v>
      </c>
      <c r="B95" s="82">
        <v>2615873432</v>
      </c>
      <c r="C95" s="82" t="s">
        <v>1734</v>
      </c>
      <c r="D95" s="82" t="s">
        <v>53</v>
      </c>
      <c r="E95" s="82" t="s">
        <v>102</v>
      </c>
      <c r="F95" s="82" t="s">
        <v>503</v>
      </c>
      <c r="G95" s="82">
        <v>187</v>
      </c>
      <c r="H95" s="82" t="s">
        <v>1820</v>
      </c>
      <c r="I95" s="82" t="s">
        <v>237</v>
      </c>
      <c r="J95" s="82" t="s">
        <v>1736</v>
      </c>
      <c r="K95" s="82" t="s">
        <v>1813</v>
      </c>
      <c r="L95" s="82" t="s">
        <v>902</v>
      </c>
      <c r="M95" s="82" t="s">
        <v>1814</v>
      </c>
      <c r="N95" s="82" t="s">
        <v>1409</v>
      </c>
      <c r="O95" s="36" t="s">
        <v>14</v>
      </c>
      <c r="P95" s="18"/>
      <c r="Q95" s="28" t="s">
        <v>14</v>
      </c>
      <c r="R95" s="18"/>
      <c r="S95" s="28" t="s">
        <v>14</v>
      </c>
      <c r="T95" s="18"/>
      <c r="U95" s="28" t="s">
        <v>14</v>
      </c>
      <c r="V95" s="18"/>
      <c r="W95" s="28" t="s">
        <v>14</v>
      </c>
      <c r="X95" s="18"/>
      <c r="Y95" s="28" t="s">
        <v>14</v>
      </c>
      <c r="Z95" s="18"/>
      <c r="AA95" s="28" t="s">
        <v>14</v>
      </c>
      <c r="AB95" s="18"/>
      <c r="AC95" s="28" t="s">
        <v>14</v>
      </c>
      <c r="AD95" s="18"/>
      <c r="AE95" s="28" t="s">
        <v>14</v>
      </c>
      <c r="AF95" s="25" t="str">
        <f t="shared" si="8"/>
        <v>NA</v>
      </c>
      <c r="AG95" s="59" t="str">
        <f t="shared" si="7"/>
        <v>NÃO AVALIADO POR FALHA DE SINCRONISMO</v>
      </c>
      <c r="AH95" s="28" t="s">
        <v>108</v>
      </c>
      <c r="AI95" s="32" t="s">
        <v>1</v>
      </c>
      <c r="AJ95" s="29" t="str">
        <f t="shared" si="9"/>
        <v>GUARULHOS</v>
      </c>
      <c r="AK95" s="33" t="s">
        <v>13</v>
      </c>
    </row>
    <row r="96" spans="1:37" ht="30" customHeight="1" x14ac:dyDescent="0.2">
      <c r="A96" s="82" t="s">
        <v>101</v>
      </c>
      <c r="B96" s="82">
        <v>2615877873</v>
      </c>
      <c r="C96" s="82" t="s">
        <v>1734</v>
      </c>
      <c r="D96" s="82" t="s">
        <v>53</v>
      </c>
      <c r="E96" s="82" t="s">
        <v>102</v>
      </c>
      <c r="F96" s="82" t="s">
        <v>503</v>
      </c>
      <c r="G96" s="82">
        <v>184</v>
      </c>
      <c r="H96" s="82" t="s">
        <v>110</v>
      </c>
      <c r="I96" s="82" t="s">
        <v>237</v>
      </c>
      <c r="J96" s="82" t="s">
        <v>1736</v>
      </c>
      <c r="K96" s="82" t="s">
        <v>1813</v>
      </c>
      <c r="L96" s="82" t="s">
        <v>902</v>
      </c>
      <c r="M96" s="82" t="s">
        <v>1814</v>
      </c>
      <c r="N96" s="82" t="s">
        <v>1409</v>
      </c>
      <c r="O96" s="36" t="s">
        <v>14</v>
      </c>
      <c r="P96" s="18"/>
      <c r="Q96" s="28" t="s">
        <v>14</v>
      </c>
      <c r="R96" s="18"/>
      <c r="S96" s="28" t="s">
        <v>14</v>
      </c>
      <c r="T96" s="18"/>
      <c r="U96" s="28" t="s">
        <v>14</v>
      </c>
      <c r="V96" s="18"/>
      <c r="W96" s="28" t="s">
        <v>14</v>
      </c>
      <c r="X96" s="18"/>
      <c r="Y96" s="28" t="s">
        <v>14</v>
      </c>
      <c r="Z96" s="18"/>
      <c r="AA96" s="28" t="s">
        <v>14</v>
      </c>
      <c r="AB96" s="18"/>
      <c r="AC96" s="28" t="s">
        <v>14</v>
      </c>
      <c r="AD96" s="18"/>
      <c r="AE96" s="28" t="s">
        <v>14</v>
      </c>
      <c r="AF96" s="25" t="str">
        <f t="shared" si="8"/>
        <v>NA</v>
      </c>
      <c r="AG96" s="59" t="str">
        <f t="shared" si="7"/>
        <v>NÃO AVALIADO POR FALHA DE SINCRONISMO</v>
      </c>
      <c r="AH96" s="28" t="s">
        <v>108</v>
      </c>
      <c r="AI96" s="32" t="s">
        <v>1</v>
      </c>
      <c r="AJ96" s="29" t="str">
        <f t="shared" si="9"/>
        <v>GUARULHOS</v>
      </c>
      <c r="AK96" s="33" t="s">
        <v>13</v>
      </c>
    </row>
    <row r="97" spans="1:37" ht="30" customHeight="1" x14ac:dyDescent="0.2">
      <c r="A97" s="82" t="s">
        <v>101</v>
      </c>
      <c r="B97" s="82">
        <v>2615877671</v>
      </c>
      <c r="C97" s="82" t="s">
        <v>1734</v>
      </c>
      <c r="D97" s="82" t="s">
        <v>53</v>
      </c>
      <c r="E97" s="82" t="s">
        <v>102</v>
      </c>
      <c r="F97" s="82" t="s">
        <v>503</v>
      </c>
      <c r="G97" s="82">
        <v>183</v>
      </c>
      <c r="H97" s="82" t="s">
        <v>1821</v>
      </c>
      <c r="I97" s="82" t="s">
        <v>237</v>
      </c>
      <c r="J97" s="82" t="s">
        <v>1736</v>
      </c>
      <c r="K97" s="82" t="s">
        <v>1813</v>
      </c>
      <c r="L97" s="82" t="s">
        <v>902</v>
      </c>
      <c r="M97" s="82" t="s">
        <v>1814</v>
      </c>
      <c r="N97" s="82" t="s">
        <v>1409</v>
      </c>
      <c r="O97" s="36" t="s">
        <v>14</v>
      </c>
      <c r="P97" s="18"/>
      <c r="Q97" s="28" t="s">
        <v>14</v>
      </c>
      <c r="R97" s="18"/>
      <c r="S97" s="28" t="s">
        <v>14</v>
      </c>
      <c r="T97" s="18"/>
      <c r="U97" s="28" t="s">
        <v>14</v>
      </c>
      <c r="V97" s="18"/>
      <c r="W97" s="28" t="s">
        <v>14</v>
      </c>
      <c r="X97" s="18"/>
      <c r="Y97" s="28" t="s">
        <v>14</v>
      </c>
      <c r="Z97" s="18"/>
      <c r="AA97" s="28" t="s">
        <v>14</v>
      </c>
      <c r="AB97" s="18"/>
      <c r="AC97" s="28" t="s">
        <v>14</v>
      </c>
      <c r="AD97" s="18"/>
      <c r="AE97" s="28" t="s">
        <v>14</v>
      </c>
      <c r="AF97" s="25" t="str">
        <f t="shared" si="8"/>
        <v>NA</v>
      </c>
      <c r="AG97" s="59" t="str">
        <f t="shared" si="7"/>
        <v>NÃO AVALIADO POR FALHA DE SINCRONISMO</v>
      </c>
      <c r="AH97" s="28" t="s">
        <v>108</v>
      </c>
      <c r="AI97" s="32" t="s">
        <v>1</v>
      </c>
      <c r="AJ97" s="29" t="str">
        <f t="shared" si="9"/>
        <v>GUARULHOS</v>
      </c>
      <c r="AK97" s="33" t="s">
        <v>13</v>
      </c>
    </row>
    <row r="98" spans="1:37" ht="30" customHeight="1" x14ac:dyDescent="0.2">
      <c r="A98" s="82" t="s">
        <v>101</v>
      </c>
      <c r="B98" s="82">
        <v>2615914374</v>
      </c>
      <c r="C98" s="82" t="s">
        <v>55</v>
      </c>
      <c r="D98" s="82" t="s">
        <v>54</v>
      </c>
      <c r="E98" s="82" t="s">
        <v>102</v>
      </c>
      <c r="F98" s="82" t="s">
        <v>116</v>
      </c>
      <c r="G98" s="82">
        <v>159</v>
      </c>
      <c r="H98" s="82" t="s">
        <v>117</v>
      </c>
      <c r="I98" s="82" t="s">
        <v>118</v>
      </c>
      <c r="J98" s="82" t="s">
        <v>1693</v>
      </c>
      <c r="K98" s="82" t="s">
        <v>117</v>
      </c>
      <c r="L98" s="82" t="s">
        <v>987</v>
      </c>
      <c r="M98" s="82" t="s">
        <v>1822</v>
      </c>
      <c r="N98" s="82" t="s">
        <v>1694</v>
      </c>
      <c r="O98" s="36" t="s">
        <v>108</v>
      </c>
      <c r="P98" s="18"/>
      <c r="Q98" s="28" t="s">
        <v>108</v>
      </c>
      <c r="R98" s="18"/>
      <c r="S98" s="28" t="s">
        <v>14</v>
      </c>
      <c r="T98" s="18"/>
      <c r="U98" s="28" t="s">
        <v>14</v>
      </c>
      <c r="V98" s="18"/>
      <c r="W98" s="28" t="s">
        <v>14</v>
      </c>
      <c r="X98" s="18"/>
      <c r="Y98" s="28" t="s">
        <v>14</v>
      </c>
      <c r="Z98" s="18"/>
      <c r="AA98" s="28" t="s">
        <v>14</v>
      </c>
      <c r="AB98" s="18"/>
      <c r="AC98" s="28" t="s">
        <v>108</v>
      </c>
      <c r="AD98" s="18"/>
      <c r="AE98" s="28" t="s">
        <v>108</v>
      </c>
      <c r="AF98" s="25" t="str">
        <f t="shared" si="8"/>
        <v>C</v>
      </c>
      <c r="AG98" s="59" t="str">
        <f t="shared" si="7"/>
        <v>UTILIZOU O PDA CORRETAMENTE</v>
      </c>
      <c r="AH98" s="28" t="s">
        <v>108</v>
      </c>
      <c r="AI98" s="32" t="s">
        <v>1</v>
      </c>
      <c r="AJ98" s="29" t="str">
        <f t="shared" si="9"/>
        <v>GUARULHOS</v>
      </c>
      <c r="AK98" s="33" t="s">
        <v>13</v>
      </c>
    </row>
    <row r="99" spans="1:37" ht="30" customHeight="1" x14ac:dyDescent="0.2">
      <c r="A99" s="82" t="s">
        <v>101</v>
      </c>
      <c r="B99" s="82">
        <v>2616213476</v>
      </c>
      <c r="C99" s="82" t="s">
        <v>56</v>
      </c>
      <c r="D99" s="82" t="s">
        <v>53</v>
      </c>
      <c r="E99" s="82" t="s">
        <v>102</v>
      </c>
      <c r="F99" s="82" t="s">
        <v>1824</v>
      </c>
      <c r="G99" s="82">
        <v>52</v>
      </c>
      <c r="H99" s="82" t="s">
        <v>1825</v>
      </c>
      <c r="I99" s="82" t="s">
        <v>179</v>
      </c>
      <c r="J99" s="82" t="s">
        <v>1709</v>
      </c>
      <c r="K99" s="82"/>
      <c r="L99" s="82" t="s">
        <v>987</v>
      </c>
      <c r="M99" s="82" t="s">
        <v>1826</v>
      </c>
      <c r="N99" s="82" t="s">
        <v>1690</v>
      </c>
      <c r="O99" s="36" t="s">
        <v>108</v>
      </c>
      <c r="P99" s="18"/>
      <c r="Q99" s="28" t="s">
        <v>108</v>
      </c>
      <c r="R99" s="18"/>
      <c r="S99" s="28" t="s">
        <v>108</v>
      </c>
      <c r="T99" s="18"/>
      <c r="U99" s="28" t="s">
        <v>108</v>
      </c>
      <c r="V99" s="18"/>
      <c r="W99" s="28" t="s">
        <v>108</v>
      </c>
      <c r="X99" s="18"/>
      <c r="Y99" s="28" t="s">
        <v>14</v>
      </c>
      <c r="Z99" s="18"/>
      <c r="AA99" s="28" t="s">
        <v>108</v>
      </c>
      <c r="AB99" s="18"/>
      <c r="AC99" s="28" t="s">
        <v>108</v>
      </c>
      <c r="AD99" s="18"/>
      <c r="AE99" s="28" t="s">
        <v>108</v>
      </c>
      <c r="AF99" s="25" t="str">
        <f t="shared" si="8"/>
        <v>C</v>
      </c>
      <c r="AG99" s="59" t="str">
        <f t="shared" si="7"/>
        <v>UTILIZOU O PDA CORRETAMENTE</v>
      </c>
      <c r="AH99" s="28" t="s">
        <v>108</v>
      </c>
      <c r="AI99" s="32" t="s">
        <v>1</v>
      </c>
      <c r="AJ99" s="29" t="str">
        <f t="shared" si="9"/>
        <v>GUARULHOS</v>
      </c>
      <c r="AK99" s="33" t="s">
        <v>13</v>
      </c>
    </row>
    <row r="100" spans="1:37" ht="30" customHeight="1" x14ac:dyDescent="0.2">
      <c r="A100" s="82" t="s">
        <v>101</v>
      </c>
      <c r="B100" s="82">
        <v>2616236059</v>
      </c>
      <c r="C100" s="82" t="s">
        <v>56</v>
      </c>
      <c r="D100" s="82" t="s">
        <v>53</v>
      </c>
      <c r="E100" s="82" t="s">
        <v>102</v>
      </c>
      <c r="F100" s="82" t="s">
        <v>1724</v>
      </c>
      <c r="G100" s="82">
        <v>57</v>
      </c>
      <c r="H100" s="82" t="s">
        <v>198</v>
      </c>
      <c r="I100" s="82" t="s">
        <v>545</v>
      </c>
      <c r="J100" s="82" t="s">
        <v>1709</v>
      </c>
      <c r="K100" s="82"/>
      <c r="L100" s="82" t="s">
        <v>987</v>
      </c>
      <c r="M100" s="82" t="s">
        <v>1827</v>
      </c>
      <c r="N100" s="82" t="s">
        <v>1698</v>
      </c>
      <c r="O100" s="36" t="s">
        <v>108</v>
      </c>
      <c r="P100" s="18"/>
      <c r="Q100" s="28" t="s">
        <v>108</v>
      </c>
      <c r="R100" s="18"/>
      <c r="S100" s="28" t="s">
        <v>108</v>
      </c>
      <c r="T100" s="18"/>
      <c r="U100" s="28" t="s">
        <v>108</v>
      </c>
      <c r="V100" s="18"/>
      <c r="W100" s="28" t="s">
        <v>14</v>
      </c>
      <c r="X100" s="18"/>
      <c r="Y100" s="28" t="s">
        <v>14</v>
      </c>
      <c r="Z100" s="18"/>
      <c r="AA100" s="28" t="s">
        <v>108</v>
      </c>
      <c r="AB100" s="18"/>
      <c r="AC100" s="28" t="s">
        <v>108</v>
      </c>
      <c r="AD100" s="18"/>
      <c r="AE100" s="28" t="s">
        <v>108</v>
      </c>
      <c r="AF100" s="25" t="str">
        <f t="shared" ref="AF100:AF133" si="10">IF(AND(O100="",Q100="",S100="",U100="",W100="",Y100="",AA100="",AC100=""),"",IF(OR(AND(O100&lt;&gt;"NA",O100&lt;&gt;"C",O100&lt;&gt;"NC",O100&lt;&gt;"SF",O100&lt;&gt;""),AND(Q100&lt;&gt;"NA",Q100&lt;&gt;"C",Q100&lt;&gt;"NC",Q100&lt;&gt;"SF",Q100&lt;&gt;""),AND(S100&lt;&gt;"NA",S100&lt;&gt;"C",S100&lt;&gt;"NC",S100&lt;&gt;"SF",S100&lt;&gt;""),AND(U100&lt;&gt;"NA",U100&lt;&gt;"C",U100&lt;&gt;"NC",U100&lt;&gt;"SF",U100&lt;&gt;""),AND(W100&lt;&gt;"NA",W100&lt;&gt;"C",W100&lt;&gt;"NC",W100&lt;&gt;"SF",W100&lt;&gt;""),AND(Y100&lt;&gt;"NA",Y100&lt;&gt;"C",Y100&lt;&gt;"NC",Y100&lt;&gt;"SF",Y100&lt;&gt;""),AND(AA100&lt;&gt;"NA",AA100&lt;&gt;"C",AA100&lt;&gt;"NC",AA100&lt;&gt;"SF",AA100&lt;&gt;""),AND(AC100&lt;&gt;"NA",AC100&lt;&gt;"C",AC100&lt;&gt;"NC",AC100&lt;&gt;"SF",AC100&lt;&gt;"")),"FALSO",IF(AND(O100="NA",Q100="NA",S100="NA",U100="NA",W100="NA",Y100="NA",AA100="NA",AC100="NA"),"NA",IF(OR(O100="NC",Q100="NC",S100="NC",U100="NC",W100="NC",Y100="NC",AA100="NC",AC100="NC",O100="SF",Q100="SF",S100="SF",U100="SF",W100="SF",Y100="SF",AA100="SF",AC100="SF"),"NC",IF(OR(O100="C",Q100="C",S100="C",U100="C",W100="C",Y100="C",AA100="C",AC100="C"),"C","")))))</f>
        <v>C</v>
      </c>
      <c r="AG100" s="59" t="str">
        <f t="shared" ref="AG100:AG133" si="11">IF(AND(AE100="C",AF100="C"),"UTILIZOU O PDA CORRETAMENTE",IF(AND(AE100="C",AF100="NC"),"UTILIZOU O PDA CORRETAMENTE. NÃO HÁ FOTOS DE TODAS AS ETAPAS",IF(AND(AE100="NC",AF100="NC"),"NÃO UTILIZOU O PDA",IF(AND(AE100="NA",AF100="NA"),"NÃO AVALIADO POR FALHA DE SINCRONISMO"))))</f>
        <v>UTILIZOU O PDA CORRETAMENTE</v>
      </c>
      <c r="AH100" s="28" t="s">
        <v>108</v>
      </c>
      <c r="AI100" s="32" t="s">
        <v>1</v>
      </c>
      <c r="AJ100" s="29" t="str">
        <f t="shared" si="9"/>
        <v>GUARULHOS</v>
      </c>
      <c r="AK100" s="33" t="s">
        <v>13</v>
      </c>
    </row>
    <row r="101" spans="1:37" ht="30" customHeight="1" x14ac:dyDescent="0.2">
      <c r="A101" s="82" t="s">
        <v>101</v>
      </c>
      <c r="B101" s="82">
        <v>2615877206</v>
      </c>
      <c r="C101" s="82" t="s">
        <v>1734</v>
      </c>
      <c r="D101" s="82" t="s">
        <v>53</v>
      </c>
      <c r="E101" s="82" t="s">
        <v>102</v>
      </c>
      <c r="F101" s="82" t="s">
        <v>238</v>
      </c>
      <c r="G101" s="82">
        <v>1269</v>
      </c>
      <c r="H101" s="82" t="s">
        <v>1831</v>
      </c>
      <c r="I101" s="82" t="s">
        <v>162</v>
      </c>
      <c r="J101" s="82" t="s">
        <v>1736</v>
      </c>
      <c r="K101" s="88" t="s">
        <v>1832</v>
      </c>
      <c r="L101" s="82" t="s">
        <v>1189</v>
      </c>
      <c r="M101" s="82" t="s">
        <v>1833</v>
      </c>
      <c r="N101" s="82" t="s">
        <v>1409</v>
      </c>
      <c r="O101" s="36" t="s">
        <v>108</v>
      </c>
      <c r="P101" s="18"/>
      <c r="Q101" s="28" t="s">
        <v>108</v>
      </c>
      <c r="R101" s="18"/>
      <c r="S101" s="28" t="s">
        <v>108</v>
      </c>
      <c r="T101" s="18"/>
      <c r="U101" s="28" t="s">
        <v>108</v>
      </c>
      <c r="V101" s="18"/>
      <c r="W101" s="28" t="s">
        <v>108</v>
      </c>
      <c r="X101" s="18"/>
      <c r="Y101" s="28" t="s">
        <v>108</v>
      </c>
      <c r="Z101" s="18"/>
      <c r="AA101" s="28" t="s">
        <v>108</v>
      </c>
      <c r="AB101" s="18"/>
      <c r="AC101" s="28" t="s">
        <v>14</v>
      </c>
      <c r="AD101" s="18"/>
      <c r="AE101" s="28" t="s">
        <v>108</v>
      </c>
      <c r="AF101" s="25" t="str">
        <f t="shared" si="10"/>
        <v>C</v>
      </c>
      <c r="AG101" s="59" t="str">
        <f t="shared" si="11"/>
        <v>UTILIZOU O PDA CORRETAMENTE</v>
      </c>
      <c r="AH101" s="28" t="s">
        <v>108</v>
      </c>
      <c r="AI101" s="32" t="s">
        <v>1</v>
      </c>
      <c r="AJ101" s="29" t="str">
        <f t="shared" si="9"/>
        <v>GUARULHOS</v>
      </c>
      <c r="AK101" s="33" t="s">
        <v>13</v>
      </c>
    </row>
    <row r="102" spans="1:37" ht="30" customHeight="1" x14ac:dyDescent="0.2">
      <c r="A102" s="82" t="s">
        <v>101</v>
      </c>
      <c r="B102" s="82">
        <v>2615876964</v>
      </c>
      <c r="C102" s="82" t="s">
        <v>1734</v>
      </c>
      <c r="D102" s="82" t="s">
        <v>53</v>
      </c>
      <c r="E102" s="82" t="s">
        <v>102</v>
      </c>
      <c r="F102" s="82" t="s">
        <v>238</v>
      </c>
      <c r="G102" s="82">
        <v>1263</v>
      </c>
      <c r="H102" s="82" t="s">
        <v>174</v>
      </c>
      <c r="I102" s="82" t="s">
        <v>162</v>
      </c>
      <c r="J102" s="82" t="s">
        <v>1736</v>
      </c>
      <c r="K102" s="88" t="s">
        <v>1832</v>
      </c>
      <c r="L102" s="82" t="s">
        <v>1189</v>
      </c>
      <c r="M102" s="82" t="s">
        <v>1833</v>
      </c>
      <c r="N102" s="82" t="s">
        <v>1409</v>
      </c>
      <c r="O102" s="36" t="s">
        <v>108</v>
      </c>
      <c r="P102" s="18"/>
      <c r="Q102" s="28" t="s">
        <v>108</v>
      </c>
      <c r="R102" s="18"/>
      <c r="S102" s="28" t="s">
        <v>108</v>
      </c>
      <c r="T102" s="18"/>
      <c r="U102" s="28" t="s">
        <v>108</v>
      </c>
      <c r="V102" s="18"/>
      <c r="W102" s="28" t="s">
        <v>108</v>
      </c>
      <c r="X102" s="18"/>
      <c r="Y102" s="28" t="s">
        <v>108</v>
      </c>
      <c r="Z102" s="18"/>
      <c r="AA102" s="28" t="s">
        <v>108</v>
      </c>
      <c r="AB102" s="18"/>
      <c r="AC102" s="28" t="s">
        <v>14</v>
      </c>
      <c r="AD102" s="18"/>
      <c r="AE102" s="28" t="s">
        <v>108</v>
      </c>
      <c r="AF102" s="25" t="str">
        <f t="shared" si="10"/>
        <v>C</v>
      </c>
      <c r="AG102" s="59" t="str">
        <f t="shared" si="11"/>
        <v>UTILIZOU O PDA CORRETAMENTE</v>
      </c>
      <c r="AH102" s="28" t="s">
        <v>108</v>
      </c>
      <c r="AI102" s="32" t="s">
        <v>1</v>
      </c>
      <c r="AJ102" s="29" t="str">
        <f t="shared" si="9"/>
        <v>GUARULHOS</v>
      </c>
      <c r="AK102" s="33" t="s">
        <v>13</v>
      </c>
    </row>
    <row r="103" spans="1:37" ht="30" customHeight="1" x14ac:dyDescent="0.2">
      <c r="A103" s="82" t="s">
        <v>101</v>
      </c>
      <c r="B103" s="82">
        <v>2615876673</v>
      </c>
      <c r="C103" s="82" t="s">
        <v>1734</v>
      </c>
      <c r="D103" s="82" t="s">
        <v>53</v>
      </c>
      <c r="E103" s="82" t="s">
        <v>102</v>
      </c>
      <c r="F103" s="82" t="s">
        <v>238</v>
      </c>
      <c r="G103" s="82">
        <v>1260</v>
      </c>
      <c r="H103" s="82" t="s">
        <v>1834</v>
      </c>
      <c r="I103" s="82" t="s">
        <v>162</v>
      </c>
      <c r="J103" s="82" t="s">
        <v>1736</v>
      </c>
      <c r="K103" s="88" t="s">
        <v>1832</v>
      </c>
      <c r="L103" s="82" t="s">
        <v>1189</v>
      </c>
      <c r="M103" s="82" t="s">
        <v>1833</v>
      </c>
      <c r="N103" s="82" t="s">
        <v>1409</v>
      </c>
      <c r="O103" s="36" t="s">
        <v>108</v>
      </c>
      <c r="P103" s="18"/>
      <c r="Q103" s="28" t="s">
        <v>108</v>
      </c>
      <c r="R103" s="18"/>
      <c r="S103" s="28" t="s">
        <v>108</v>
      </c>
      <c r="T103" s="18"/>
      <c r="U103" s="28" t="s">
        <v>108</v>
      </c>
      <c r="V103" s="18"/>
      <c r="W103" s="28" t="s">
        <v>108</v>
      </c>
      <c r="X103" s="18"/>
      <c r="Y103" s="28" t="s">
        <v>108</v>
      </c>
      <c r="Z103" s="18"/>
      <c r="AA103" s="28" t="s">
        <v>108</v>
      </c>
      <c r="AB103" s="18"/>
      <c r="AC103" s="28" t="s">
        <v>14</v>
      </c>
      <c r="AD103" s="18"/>
      <c r="AE103" s="28" t="s">
        <v>108</v>
      </c>
      <c r="AF103" s="25" t="str">
        <f t="shared" si="10"/>
        <v>C</v>
      </c>
      <c r="AG103" s="59" t="str">
        <f t="shared" si="11"/>
        <v>UTILIZOU O PDA CORRETAMENTE</v>
      </c>
      <c r="AH103" s="28" t="s">
        <v>108</v>
      </c>
      <c r="AI103" s="32" t="s">
        <v>1</v>
      </c>
      <c r="AJ103" s="29" t="str">
        <f t="shared" ref="AJ103:AJ156" si="12">E103</f>
        <v>GUARULHOS</v>
      </c>
      <c r="AK103" s="33" t="s">
        <v>13</v>
      </c>
    </row>
    <row r="104" spans="1:37" ht="30" customHeight="1" x14ac:dyDescent="0.2">
      <c r="A104" s="82" t="s">
        <v>101</v>
      </c>
      <c r="B104" s="82">
        <v>2615876450</v>
      </c>
      <c r="C104" s="82" t="s">
        <v>1734</v>
      </c>
      <c r="D104" s="82" t="s">
        <v>53</v>
      </c>
      <c r="E104" s="82" t="s">
        <v>102</v>
      </c>
      <c r="F104" s="82" t="s">
        <v>238</v>
      </c>
      <c r="G104" s="82">
        <v>1256</v>
      </c>
      <c r="H104" s="82" t="s">
        <v>1835</v>
      </c>
      <c r="I104" s="82" t="s">
        <v>162</v>
      </c>
      <c r="J104" s="82" t="s">
        <v>1736</v>
      </c>
      <c r="K104" s="88" t="s">
        <v>1832</v>
      </c>
      <c r="L104" s="82" t="s">
        <v>1189</v>
      </c>
      <c r="M104" s="82" t="s">
        <v>1833</v>
      </c>
      <c r="N104" s="82" t="s">
        <v>1409</v>
      </c>
      <c r="O104" s="36" t="s">
        <v>108</v>
      </c>
      <c r="P104" s="18"/>
      <c r="Q104" s="28" t="s">
        <v>108</v>
      </c>
      <c r="R104" s="18"/>
      <c r="S104" s="28" t="s">
        <v>108</v>
      </c>
      <c r="T104" s="18"/>
      <c r="U104" s="28" t="s">
        <v>108</v>
      </c>
      <c r="V104" s="18"/>
      <c r="W104" s="28" t="s">
        <v>108</v>
      </c>
      <c r="X104" s="18"/>
      <c r="Y104" s="28" t="s">
        <v>108</v>
      </c>
      <c r="Z104" s="18"/>
      <c r="AA104" s="28" t="s">
        <v>108</v>
      </c>
      <c r="AB104" s="18"/>
      <c r="AC104" s="28" t="s">
        <v>14</v>
      </c>
      <c r="AD104" s="18"/>
      <c r="AE104" s="28" t="s">
        <v>108</v>
      </c>
      <c r="AF104" s="25" t="str">
        <f t="shared" si="10"/>
        <v>C</v>
      </c>
      <c r="AG104" s="59" t="str">
        <f t="shared" si="11"/>
        <v>UTILIZOU O PDA CORRETAMENTE</v>
      </c>
      <c r="AH104" s="28" t="s">
        <v>108</v>
      </c>
      <c r="AI104" s="32" t="s">
        <v>1</v>
      </c>
      <c r="AJ104" s="29" t="str">
        <f t="shared" si="12"/>
        <v>GUARULHOS</v>
      </c>
      <c r="AK104" s="33" t="s">
        <v>13</v>
      </c>
    </row>
    <row r="105" spans="1:37" ht="30" customHeight="1" x14ac:dyDescent="0.2">
      <c r="A105" s="82" t="s">
        <v>101</v>
      </c>
      <c r="B105" s="82">
        <v>2615876276</v>
      </c>
      <c r="C105" s="82" t="s">
        <v>1734</v>
      </c>
      <c r="D105" s="82" t="s">
        <v>53</v>
      </c>
      <c r="E105" s="82" t="s">
        <v>102</v>
      </c>
      <c r="F105" s="82" t="s">
        <v>238</v>
      </c>
      <c r="G105" s="82">
        <v>1252</v>
      </c>
      <c r="H105" s="82" t="s">
        <v>1836</v>
      </c>
      <c r="I105" s="82" t="s">
        <v>162</v>
      </c>
      <c r="J105" s="82" t="s">
        <v>1736</v>
      </c>
      <c r="K105" s="88" t="s">
        <v>1832</v>
      </c>
      <c r="L105" s="82" t="s">
        <v>1189</v>
      </c>
      <c r="M105" s="82" t="s">
        <v>1833</v>
      </c>
      <c r="N105" s="82" t="s">
        <v>1409</v>
      </c>
      <c r="O105" s="36" t="s">
        <v>108</v>
      </c>
      <c r="P105" s="18"/>
      <c r="Q105" s="28" t="s">
        <v>108</v>
      </c>
      <c r="R105" s="18"/>
      <c r="S105" s="28" t="s">
        <v>108</v>
      </c>
      <c r="T105" s="18"/>
      <c r="U105" s="28" t="s">
        <v>108</v>
      </c>
      <c r="V105" s="18"/>
      <c r="W105" s="28" t="s">
        <v>108</v>
      </c>
      <c r="X105" s="18"/>
      <c r="Y105" s="28" t="s">
        <v>108</v>
      </c>
      <c r="Z105" s="18"/>
      <c r="AA105" s="28" t="s">
        <v>108</v>
      </c>
      <c r="AB105" s="18"/>
      <c r="AC105" s="28" t="s">
        <v>14</v>
      </c>
      <c r="AD105" s="18"/>
      <c r="AE105" s="28" t="s">
        <v>108</v>
      </c>
      <c r="AF105" s="25" t="str">
        <f t="shared" si="10"/>
        <v>C</v>
      </c>
      <c r="AG105" s="59" t="str">
        <f t="shared" si="11"/>
        <v>UTILIZOU O PDA CORRETAMENTE</v>
      </c>
      <c r="AH105" s="28" t="s">
        <v>108</v>
      </c>
      <c r="AI105" s="32" t="s">
        <v>1</v>
      </c>
      <c r="AJ105" s="29" t="str">
        <f t="shared" si="12"/>
        <v>GUARULHOS</v>
      </c>
      <c r="AK105" s="33" t="s">
        <v>13</v>
      </c>
    </row>
    <row r="106" spans="1:37" ht="30" customHeight="1" x14ac:dyDescent="0.2">
      <c r="A106" s="82" t="s">
        <v>101</v>
      </c>
      <c r="B106" s="82">
        <v>2615876002</v>
      </c>
      <c r="C106" s="82" t="s">
        <v>1734</v>
      </c>
      <c r="D106" s="82" t="s">
        <v>53</v>
      </c>
      <c r="E106" s="82" t="s">
        <v>102</v>
      </c>
      <c r="F106" s="82" t="s">
        <v>238</v>
      </c>
      <c r="G106" s="82">
        <v>1244</v>
      </c>
      <c r="H106" s="82" t="s">
        <v>239</v>
      </c>
      <c r="I106" s="82" t="s">
        <v>162</v>
      </c>
      <c r="J106" s="82" t="s">
        <v>1736</v>
      </c>
      <c r="K106" s="88" t="s">
        <v>1832</v>
      </c>
      <c r="L106" s="82" t="s">
        <v>1189</v>
      </c>
      <c r="M106" s="82" t="s">
        <v>1833</v>
      </c>
      <c r="N106" s="82" t="s">
        <v>1409</v>
      </c>
      <c r="O106" s="36" t="s">
        <v>108</v>
      </c>
      <c r="P106" s="18"/>
      <c r="Q106" s="28" t="s">
        <v>108</v>
      </c>
      <c r="R106" s="18"/>
      <c r="S106" s="28" t="s">
        <v>108</v>
      </c>
      <c r="T106" s="18"/>
      <c r="U106" s="28" t="s">
        <v>108</v>
      </c>
      <c r="V106" s="18"/>
      <c r="W106" s="28" t="s">
        <v>108</v>
      </c>
      <c r="X106" s="18"/>
      <c r="Y106" s="28" t="s">
        <v>108</v>
      </c>
      <c r="Z106" s="18"/>
      <c r="AA106" s="28" t="s">
        <v>108</v>
      </c>
      <c r="AB106" s="18"/>
      <c r="AC106" s="28" t="s">
        <v>14</v>
      </c>
      <c r="AD106" s="18"/>
      <c r="AE106" s="28" t="s">
        <v>108</v>
      </c>
      <c r="AF106" s="25" t="str">
        <f t="shared" si="10"/>
        <v>C</v>
      </c>
      <c r="AG106" s="59" t="str">
        <f t="shared" si="11"/>
        <v>UTILIZOU O PDA CORRETAMENTE</v>
      </c>
      <c r="AH106" s="28" t="s">
        <v>108</v>
      </c>
      <c r="AI106" s="32" t="s">
        <v>1</v>
      </c>
      <c r="AJ106" s="29" t="str">
        <f t="shared" si="12"/>
        <v>GUARULHOS</v>
      </c>
      <c r="AK106" s="33" t="s">
        <v>13</v>
      </c>
    </row>
    <row r="107" spans="1:37" ht="30" customHeight="1" x14ac:dyDescent="0.2">
      <c r="A107" s="82" t="s">
        <v>101</v>
      </c>
      <c r="B107" s="82">
        <v>2615875177</v>
      </c>
      <c r="C107" s="82" t="s">
        <v>1734</v>
      </c>
      <c r="D107" s="82" t="s">
        <v>53</v>
      </c>
      <c r="E107" s="82" t="s">
        <v>102</v>
      </c>
      <c r="F107" s="82" t="s">
        <v>238</v>
      </c>
      <c r="G107" s="82">
        <v>1234</v>
      </c>
      <c r="H107" s="82" t="s">
        <v>1837</v>
      </c>
      <c r="I107" s="82" t="s">
        <v>162</v>
      </c>
      <c r="J107" s="82" t="s">
        <v>1736</v>
      </c>
      <c r="K107" s="88" t="s">
        <v>1832</v>
      </c>
      <c r="L107" s="82" t="s">
        <v>1189</v>
      </c>
      <c r="M107" s="82" t="s">
        <v>1833</v>
      </c>
      <c r="N107" s="82" t="s">
        <v>1409</v>
      </c>
      <c r="O107" s="36" t="s">
        <v>108</v>
      </c>
      <c r="P107" s="18"/>
      <c r="Q107" s="28" t="s">
        <v>108</v>
      </c>
      <c r="R107" s="18"/>
      <c r="S107" s="28" t="s">
        <v>108</v>
      </c>
      <c r="T107" s="18"/>
      <c r="U107" s="28" t="s">
        <v>108</v>
      </c>
      <c r="V107" s="18"/>
      <c r="W107" s="28" t="s">
        <v>108</v>
      </c>
      <c r="X107" s="18"/>
      <c r="Y107" s="28" t="s">
        <v>108</v>
      </c>
      <c r="Z107" s="18"/>
      <c r="AA107" s="28" t="s">
        <v>108</v>
      </c>
      <c r="AB107" s="18"/>
      <c r="AC107" s="28" t="s">
        <v>14</v>
      </c>
      <c r="AD107" s="18"/>
      <c r="AE107" s="28" t="s">
        <v>108</v>
      </c>
      <c r="AF107" s="25" t="str">
        <f t="shared" si="10"/>
        <v>C</v>
      </c>
      <c r="AG107" s="59" t="str">
        <f t="shared" si="11"/>
        <v>UTILIZOU O PDA CORRETAMENTE</v>
      </c>
      <c r="AH107" s="28" t="s">
        <v>108</v>
      </c>
      <c r="AI107" s="32" t="s">
        <v>1</v>
      </c>
      <c r="AJ107" s="29" t="str">
        <f t="shared" si="12"/>
        <v>GUARULHOS</v>
      </c>
      <c r="AK107" s="33" t="s">
        <v>13</v>
      </c>
    </row>
    <row r="108" spans="1:37" ht="30" customHeight="1" x14ac:dyDescent="0.2">
      <c r="A108" s="82" t="s">
        <v>101</v>
      </c>
      <c r="B108" s="82">
        <v>2615874614</v>
      </c>
      <c r="C108" s="82" t="s">
        <v>1734</v>
      </c>
      <c r="D108" s="82" t="s">
        <v>53</v>
      </c>
      <c r="E108" s="82" t="s">
        <v>102</v>
      </c>
      <c r="F108" s="82" t="s">
        <v>238</v>
      </c>
      <c r="G108" s="82">
        <v>1228</v>
      </c>
      <c r="H108" s="82" t="s">
        <v>1838</v>
      </c>
      <c r="I108" s="82" t="s">
        <v>162</v>
      </c>
      <c r="J108" s="82" t="s">
        <v>1736</v>
      </c>
      <c r="K108" s="88" t="s">
        <v>1832</v>
      </c>
      <c r="L108" s="82" t="s">
        <v>1189</v>
      </c>
      <c r="M108" s="82" t="s">
        <v>1833</v>
      </c>
      <c r="N108" s="82" t="s">
        <v>1409</v>
      </c>
      <c r="O108" s="36" t="s">
        <v>108</v>
      </c>
      <c r="P108" s="18"/>
      <c r="Q108" s="28" t="s">
        <v>108</v>
      </c>
      <c r="R108" s="18"/>
      <c r="S108" s="28" t="s">
        <v>108</v>
      </c>
      <c r="T108" s="18"/>
      <c r="U108" s="28" t="s">
        <v>108</v>
      </c>
      <c r="V108" s="18"/>
      <c r="W108" s="28" t="s">
        <v>108</v>
      </c>
      <c r="X108" s="18"/>
      <c r="Y108" s="28" t="s">
        <v>108</v>
      </c>
      <c r="Z108" s="18"/>
      <c r="AA108" s="28" t="s">
        <v>108</v>
      </c>
      <c r="AB108" s="18"/>
      <c r="AC108" s="28" t="s">
        <v>14</v>
      </c>
      <c r="AD108" s="18"/>
      <c r="AE108" s="28" t="s">
        <v>108</v>
      </c>
      <c r="AF108" s="25" t="str">
        <f t="shared" si="10"/>
        <v>C</v>
      </c>
      <c r="AG108" s="59" t="str">
        <f t="shared" si="11"/>
        <v>UTILIZOU O PDA CORRETAMENTE</v>
      </c>
      <c r="AH108" s="28" t="s">
        <v>108</v>
      </c>
      <c r="AI108" s="32" t="s">
        <v>1</v>
      </c>
      <c r="AJ108" s="29" t="str">
        <f t="shared" si="12"/>
        <v>GUARULHOS</v>
      </c>
      <c r="AK108" s="33" t="s">
        <v>13</v>
      </c>
    </row>
    <row r="109" spans="1:37" ht="30" customHeight="1" x14ac:dyDescent="0.2">
      <c r="A109" s="82" t="s">
        <v>101</v>
      </c>
      <c r="B109" s="82">
        <v>2615874309</v>
      </c>
      <c r="C109" s="82" t="s">
        <v>1734</v>
      </c>
      <c r="D109" s="82" t="s">
        <v>53</v>
      </c>
      <c r="E109" s="82" t="s">
        <v>102</v>
      </c>
      <c r="F109" s="82" t="s">
        <v>238</v>
      </c>
      <c r="G109" s="82">
        <v>1226</v>
      </c>
      <c r="H109" s="82" t="s">
        <v>1678</v>
      </c>
      <c r="I109" s="82" t="s">
        <v>162</v>
      </c>
      <c r="J109" s="82" t="s">
        <v>1736</v>
      </c>
      <c r="K109" s="88" t="s">
        <v>1832</v>
      </c>
      <c r="L109" s="82" t="s">
        <v>1189</v>
      </c>
      <c r="M109" s="82" t="s">
        <v>1833</v>
      </c>
      <c r="N109" s="82" t="s">
        <v>1409</v>
      </c>
      <c r="O109" s="36" t="s">
        <v>108</v>
      </c>
      <c r="P109" s="18"/>
      <c r="Q109" s="28" t="s">
        <v>108</v>
      </c>
      <c r="R109" s="18"/>
      <c r="S109" s="28" t="s">
        <v>108</v>
      </c>
      <c r="T109" s="18"/>
      <c r="U109" s="28" t="s">
        <v>108</v>
      </c>
      <c r="V109" s="18"/>
      <c r="W109" s="28" t="s">
        <v>108</v>
      </c>
      <c r="X109" s="18"/>
      <c r="Y109" s="28" t="s">
        <v>108</v>
      </c>
      <c r="Z109" s="18"/>
      <c r="AA109" s="28" t="s">
        <v>108</v>
      </c>
      <c r="AB109" s="18"/>
      <c r="AC109" s="28" t="s">
        <v>14</v>
      </c>
      <c r="AD109" s="18"/>
      <c r="AE109" s="28" t="s">
        <v>108</v>
      </c>
      <c r="AF109" s="25" t="str">
        <f t="shared" si="10"/>
        <v>C</v>
      </c>
      <c r="AG109" s="59" t="str">
        <f t="shared" si="11"/>
        <v>UTILIZOU O PDA CORRETAMENTE</v>
      </c>
      <c r="AH109" s="28" t="s">
        <v>108</v>
      </c>
      <c r="AI109" s="32" t="s">
        <v>1</v>
      </c>
      <c r="AJ109" s="29" t="str">
        <f t="shared" si="12"/>
        <v>GUARULHOS</v>
      </c>
      <c r="AK109" s="33" t="s">
        <v>13</v>
      </c>
    </row>
    <row r="110" spans="1:37" ht="30" customHeight="1" x14ac:dyDescent="0.2">
      <c r="A110" s="82" t="s">
        <v>101</v>
      </c>
      <c r="B110" s="82">
        <v>2615874066</v>
      </c>
      <c r="C110" s="82" t="s">
        <v>1734</v>
      </c>
      <c r="D110" s="82" t="s">
        <v>53</v>
      </c>
      <c r="E110" s="82" t="s">
        <v>102</v>
      </c>
      <c r="F110" s="82" t="s">
        <v>238</v>
      </c>
      <c r="G110" s="82">
        <v>1220</v>
      </c>
      <c r="H110" s="82" t="s">
        <v>241</v>
      </c>
      <c r="I110" s="82" t="s">
        <v>162</v>
      </c>
      <c r="J110" s="82" t="s">
        <v>1736</v>
      </c>
      <c r="K110" s="88" t="s">
        <v>1832</v>
      </c>
      <c r="L110" s="82" t="s">
        <v>1189</v>
      </c>
      <c r="M110" s="82" t="s">
        <v>1833</v>
      </c>
      <c r="N110" s="82" t="s">
        <v>1409</v>
      </c>
      <c r="O110" s="36" t="s">
        <v>108</v>
      </c>
      <c r="P110" s="18"/>
      <c r="Q110" s="28" t="s">
        <v>108</v>
      </c>
      <c r="R110" s="18"/>
      <c r="S110" s="28" t="s">
        <v>108</v>
      </c>
      <c r="T110" s="18"/>
      <c r="U110" s="28" t="s">
        <v>108</v>
      </c>
      <c r="V110" s="18"/>
      <c r="W110" s="28" t="s">
        <v>108</v>
      </c>
      <c r="X110" s="18"/>
      <c r="Y110" s="28" t="s">
        <v>108</v>
      </c>
      <c r="Z110" s="18"/>
      <c r="AA110" s="28" t="s">
        <v>108</v>
      </c>
      <c r="AB110" s="18"/>
      <c r="AC110" s="28" t="s">
        <v>14</v>
      </c>
      <c r="AD110" s="18"/>
      <c r="AE110" s="28" t="s">
        <v>108</v>
      </c>
      <c r="AF110" s="25" t="str">
        <f t="shared" si="10"/>
        <v>C</v>
      </c>
      <c r="AG110" s="59" t="str">
        <f t="shared" si="11"/>
        <v>UTILIZOU O PDA CORRETAMENTE</v>
      </c>
      <c r="AH110" s="28" t="s">
        <v>108</v>
      </c>
      <c r="AI110" s="32" t="s">
        <v>1</v>
      </c>
      <c r="AJ110" s="29" t="str">
        <f t="shared" si="12"/>
        <v>GUARULHOS</v>
      </c>
      <c r="AK110" s="33" t="s">
        <v>13</v>
      </c>
    </row>
    <row r="111" spans="1:37" ht="30" customHeight="1" x14ac:dyDescent="0.2">
      <c r="A111" s="82" t="s">
        <v>101</v>
      </c>
      <c r="B111" s="82">
        <v>2615872920</v>
      </c>
      <c r="C111" s="82" t="s">
        <v>1734</v>
      </c>
      <c r="D111" s="82" t="s">
        <v>53</v>
      </c>
      <c r="E111" s="82" t="s">
        <v>102</v>
      </c>
      <c r="F111" s="82" t="s">
        <v>238</v>
      </c>
      <c r="G111" s="82">
        <v>1208</v>
      </c>
      <c r="H111" s="82" t="s">
        <v>1839</v>
      </c>
      <c r="I111" s="82" t="s">
        <v>162</v>
      </c>
      <c r="J111" s="82" t="s">
        <v>1736</v>
      </c>
      <c r="K111" s="88" t="s">
        <v>1840</v>
      </c>
      <c r="L111" s="82" t="s">
        <v>1189</v>
      </c>
      <c r="M111" s="82" t="s">
        <v>1833</v>
      </c>
      <c r="N111" s="82" t="s">
        <v>1409</v>
      </c>
      <c r="O111" s="36" t="s">
        <v>108</v>
      </c>
      <c r="P111" s="18"/>
      <c r="Q111" s="28" t="s">
        <v>108</v>
      </c>
      <c r="R111" s="18"/>
      <c r="S111" s="28" t="s">
        <v>108</v>
      </c>
      <c r="T111" s="18"/>
      <c r="U111" s="28" t="s">
        <v>108</v>
      </c>
      <c r="V111" s="18"/>
      <c r="W111" s="28" t="s">
        <v>108</v>
      </c>
      <c r="X111" s="18"/>
      <c r="Y111" s="28" t="s">
        <v>108</v>
      </c>
      <c r="Z111" s="18"/>
      <c r="AA111" s="28" t="s">
        <v>108</v>
      </c>
      <c r="AB111" s="18"/>
      <c r="AC111" s="28" t="s">
        <v>14</v>
      </c>
      <c r="AD111" s="18"/>
      <c r="AE111" s="28" t="s">
        <v>108</v>
      </c>
      <c r="AF111" s="25" t="str">
        <f t="shared" si="10"/>
        <v>C</v>
      </c>
      <c r="AG111" s="59" t="str">
        <f t="shared" si="11"/>
        <v>UTILIZOU O PDA CORRETAMENTE</v>
      </c>
      <c r="AH111" s="28" t="s">
        <v>108</v>
      </c>
      <c r="AI111" s="32" t="s">
        <v>1</v>
      </c>
      <c r="AJ111" s="29" t="str">
        <f t="shared" si="12"/>
        <v>GUARULHOS</v>
      </c>
      <c r="AK111" s="33" t="s">
        <v>13</v>
      </c>
    </row>
    <row r="112" spans="1:37" ht="30" customHeight="1" x14ac:dyDescent="0.2">
      <c r="A112" s="82" t="s">
        <v>101</v>
      </c>
      <c r="B112" s="82">
        <v>2615866600</v>
      </c>
      <c r="C112" s="82" t="s">
        <v>1734</v>
      </c>
      <c r="D112" s="82" t="s">
        <v>53</v>
      </c>
      <c r="E112" s="82" t="s">
        <v>102</v>
      </c>
      <c r="F112" s="82" t="s">
        <v>785</v>
      </c>
      <c r="G112" s="82">
        <v>96</v>
      </c>
      <c r="H112" s="82"/>
      <c r="I112" s="82" t="s">
        <v>787</v>
      </c>
      <c r="J112" s="82" t="s">
        <v>1736</v>
      </c>
      <c r="K112" s="88" t="s">
        <v>1841</v>
      </c>
      <c r="L112" s="82" t="s">
        <v>1189</v>
      </c>
      <c r="M112" s="82" t="s">
        <v>1833</v>
      </c>
      <c r="N112" s="82" t="s">
        <v>1760</v>
      </c>
      <c r="O112" s="36" t="s">
        <v>14</v>
      </c>
      <c r="P112" s="18"/>
      <c r="Q112" s="28" t="s">
        <v>14</v>
      </c>
      <c r="R112" s="18"/>
      <c r="S112" s="28" t="s">
        <v>14</v>
      </c>
      <c r="T112" s="18"/>
      <c r="U112" s="28" t="s">
        <v>14</v>
      </c>
      <c r="V112" s="18"/>
      <c r="W112" s="28" t="s">
        <v>14</v>
      </c>
      <c r="X112" s="18"/>
      <c r="Y112" s="28" t="s">
        <v>14</v>
      </c>
      <c r="Z112" s="18"/>
      <c r="AA112" s="28" t="s">
        <v>14</v>
      </c>
      <c r="AB112" s="18"/>
      <c r="AC112" s="28" t="s">
        <v>14</v>
      </c>
      <c r="AD112" s="18"/>
      <c r="AE112" s="28" t="s">
        <v>14</v>
      </c>
      <c r="AF112" s="25" t="str">
        <f t="shared" si="10"/>
        <v>NA</v>
      </c>
      <c r="AG112" s="59" t="str">
        <f t="shared" si="11"/>
        <v>NÃO AVALIADO POR FALHA DE SINCRONISMO</v>
      </c>
      <c r="AH112" s="28" t="s">
        <v>108</v>
      </c>
      <c r="AI112" s="32" t="s">
        <v>1</v>
      </c>
      <c r="AJ112" s="29" t="str">
        <f t="shared" si="12"/>
        <v>GUARULHOS</v>
      </c>
      <c r="AK112" s="33" t="s">
        <v>13</v>
      </c>
    </row>
    <row r="113" spans="1:37" ht="30" customHeight="1" x14ac:dyDescent="0.2">
      <c r="A113" s="82" t="s">
        <v>101</v>
      </c>
      <c r="B113" s="82">
        <v>2615867067</v>
      </c>
      <c r="C113" s="82" t="s">
        <v>1734</v>
      </c>
      <c r="D113" s="82" t="s">
        <v>53</v>
      </c>
      <c r="E113" s="82" t="s">
        <v>102</v>
      </c>
      <c r="F113" s="82" t="s">
        <v>785</v>
      </c>
      <c r="G113" s="82">
        <v>90</v>
      </c>
      <c r="H113" s="82" t="s">
        <v>1842</v>
      </c>
      <c r="I113" s="82" t="s">
        <v>787</v>
      </c>
      <c r="J113" s="82" t="s">
        <v>1736</v>
      </c>
      <c r="K113" s="88" t="s">
        <v>1841</v>
      </c>
      <c r="L113" s="82" t="s">
        <v>1189</v>
      </c>
      <c r="M113" s="82" t="s">
        <v>1833</v>
      </c>
      <c r="N113" s="82" t="s">
        <v>1760</v>
      </c>
      <c r="O113" s="36" t="s">
        <v>14</v>
      </c>
      <c r="P113" s="18"/>
      <c r="Q113" s="28" t="s">
        <v>14</v>
      </c>
      <c r="R113" s="18"/>
      <c r="S113" s="28" t="s">
        <v>14</v>
      </c>
      <c r="T113" s="18"/>
      <c r="U113" s="28" t="s">
        <v>14</v>
      </c>
      <c r="V113" s="18"/>
      <c r="W113" s="28" t="s">
        <v>14</v>
      </c>
      <c r="X113" s="18"/>
      <c r="Y113" s="28" t="s">
        <v>14</v>
      </c>
      <c r="Z113" s="18"/>
      <c r="AA113" s="28" t="s">
        <v>14</v>
      </c>
      <c r="AB113" s="18"/>
      <c r="AC113" s="28" t="s">
        <v>14</v>
      </c>
      <c r="AD113" s="18"/>
      <c r="AE113" s="28" t="s">
        <v>14</v>
      </c>
      <c r="AF113" s="25" t="str">
        <f t="shared" si="10"/>
        <v>NA</v>
      </c>
      <c r="AG113" s="59" t="str">
        <f t="shared" si="11"/>
        <v>NÃO AVALIADO POR FALHA DE SINCRONISMO</v>
      </c>
      <c r="AH113" s="28" t="s">
        <v>108</v>
      </c>
      <c r="AI113" s="32" t="s">
        <v>1</v>
      </c>
      <c r="AJ113" s="29" t="str">
        <f t="shared" si="12"/>
        <v>GUARULHOS</v>
      </c>
      <c r="AK113" s="33" t="s">
        <v>13</v>
      </c>
    </row>
    <row r="114" spans="1:37" ht="30" customHeight="1" x14ac:dyDescent="0.2">
      <c r="A114" s="82" t="s">
        <v>101</v>
      </c>
      <c r="B114" s="82">
        <v>2615867564</v>
      </c>
      <c r="C114" s="82" t="s">
        <v>1734</v>
      </c>
      <c r="D114" s="82" t="s">
        <v>53</v>
      </c>
      <c r="E114" s="82" t="s">
        <v>102</v>
      </c>
      <c r="F114" s="82" t="s">
        <v>785</v>
      </c>
      <c r="G114" s="82">
        <v>85</v>
      </c>
      <c r="H114" s="82" t="s">
        <v>1843</v>
      </c>
      <c r="I114" s="82" t="s">
        <v>787</v>
      </c>
      <c r="J114" s="82" t="s">
        <v>1736</v>
      </c>
      <c r="K114" s="88" t="s">
        <v>1841</v>
      </c>
      <c r="L114" s="82" t="s">
        <v>1189</v>
      </c>
      <c r="M114" s="82" t="s">
        <v>1833</v>
      </c>
      <c r="N114" s="82" t="s">
        <v>1760</v>
      </c>
      <c r="O114" s="36" t="s">
        <v>14</v>
      </c>
      <c r="P114" s="18"/>
      <c r="Q114" s="28" t="s">
        <v>14</v>
      </c>
      <c r="R114" s="18"/>
      <c r="S114" s="28" t="s">
        <v>14</v>
      </c>
      <c r="T114" s="18"/>
      <c r="U114" s="28" t="s">
        <v>14</v>
      </c>
      <c r="V114" s="18"/>
      <c r="W114" s="28" t="s">
        <v>14</v>
      </c>
      <c r="X114" s="18"/>
      <c r="Y114" s="28" t="s">
        <v>14</v>
      </c>
      <c r="Z114" s="18"/>
      <c r="AA114" s="28" t="s">
        <v>14</v>
      </c>
      <c r="AB114" s="18"/>
      <c r="AC114" s="28" t="s">
        <v>14</v>
      </c>
      <c r="AD114" s="18"/>
      <c r="AE114" s="28" t="s">
        <v>14</v>
      </c>
      <c r="AF114" s="25" t="str">
        <f t="shared" si="10"/>
        <v>NA</v>
      </c>
      <c r="AG114" s="59" t="str">
        <f t="shared" si="11"/>
        <v>NÃO AVALIADO POR FALHA DE SINCRONISMO</v>
      </c>
      <c r="AH114" s="28" t="s">
        <v>108</v>
      </c>
      <c r="AI114" s="32" t="s">
        <v>1</v>
      </c>
      <c r="AJ114" s="29" t="str">
        <f t="shared" si="12"/>
        <v>GUARULHOS</v>
      </c>
      <c r="AK114" s="33" t="s">
        <v>13</v>
      </c>
    </row>
    <row r="115" spans="1:37" ht="30" customHeight="1" x14ac:dyDescent="0.2">
      <c r="A115" s="82" t="s">
        <v>101</v>
      </c>
      <c r="B115" s="82">
        <v>2615868122</v>
      </c>
      <c r="C115" s="82" t="s">
        <v>1734</v>
      </c>
      <c r="D115" s="82" t="s">
        <v>53</v>
      </c>
      <c r="E115" s="82" t="s">
        <v>102</v>
      </c>
      <c r="F115" s="82" t="s">
        <v>785</v>
      </c>
      <c r="G115" s="82">
        <v>84</v>
      </c>
      <c r="H115" s="82" t="s">
        <v>1844</v>
      </c>
      <c r="I115" s="82" t="s">
        <v>787</v>
      </c>
      <c r="J115" s="82" t="s">
        <v>1736</v>
      </c>
      <c r="K115" s="88" t="s">
        <v>1841</v>
      </c>
      <c r="L115" s="82" t="s">
        <v>1189</v>
      </c>
      <c r="M115" s="82" t="s">
        <v>1833</v>
      </c>
      <c r="N115" s="82" t="s">
        <v>1760</v>
      </c>
      <c r="O115" s="36" t="s">
        <v>14</v>
      </c>
      <c r="P115" s="18"/>
      <c r="Q115" s="28" t="s">
        <v>14</v>
      </c>
      <c r="R115" s="18"/>
      <c r="S115" s="28" t="s">
        <v>14</v>
      </c>
      <c r="T115" s="18"/>
      <c r="U115" s="28" t="s">
        <v>14</v>
      </c>
      <c r="V115" s="18"/>
      <c r="W115" s="28" t="s">
        <v>14</v>
      </c>
      <c r="X115" s="18"/>
      <c r="Y115" s="28" t="s">
        <v>14</v>
      </c>
      <c r="Z115" s="18"/>
      <c r="AA115" s="28" t="s">
        <v>14</v>
      </c>
      <c r="AB115" s="18"/>
      <c r="AC115" s="28" t="s">
        <v>14</v>
      </c>
      <c r="AD115" s="18"/>
      <c r="AE115" s="28" t="s">
        <v>14</v>
      </c>
      <c r="AF115" s="25" t="str">
        <f t="shared" si="10"/>
        <v>NA</v>
      </c>
      <c r="AG115" s="59" t="str">
        <f t="shared" si="11"/>
        <v>NÃO AVALIADO POR FALHA DE SINCRONISMO</v>
      </c>
      <c r="AH115" s="28" t="s">
        <v>108</v>
      </c>
      <c r="AI115" s="32" t="s">
        <v>1</v>
      </c>
      <c r="AJ115" s="29" t="str">
        <f t="shared" si="12"/>
        <v>GUARULHOS</v>
      </c>
      <c r="AK115" s="33" t="s">
        <v>13</v>
      </c>
    </row>
    <row r="116" spans="1:37" ht="30" customHeight="1" x14ac:dyDescent="0.2">
      <c r="A116" s="82" t="s">
        <v>101</v>
      </c>
      <c r="B116" s="82">
        <v>2615870337</v>
      </c>
      <c r="C116" s="82" t="s">
        <v>1734</v>
      </c>
      <c r="D116" s="82" t="s">
        <v>53</v>
      </c>
      <c r="E116" s="82" t="s">
        <v>102</v>
      </c>
      <c r="F116" s="82" t="s">
        <v>785</v>
      </c>
      <c r="G116" s="82">
        <v>79</v>
      </c>
      <c r="H116" s="82" t="s">
        <v>1845</v>
      </c>
      <c r="I116" s="82" t="s">
        <v>787</v>
      </c>
      <c r="J116" s="82" t="s">
        <v>1736</v>
      </c>
      <c r="K116" s="88" t="s">
        <v>1841</v>
      </c>
      <c r="L116" s="82" t="s">
        <v>1189</v>
      </c>
      <c r="M116" s="82" t="s">
        <v>1833</v>
      </c>
      <c r="N116" s="82" t="s">
        <v>1760</v>
      </c>
      <c r="O116" s="36" t="s">
        <v>14</v>
      </c>
      <c r="P116" s="18"/>
      <c r="Q116" s="28" t="s">
        <v>14</v>
      </c>
      <c r="R116" s="18"/>
      <c r="S116" s="28" t="s">
        <v>14</v>
      </c>
      <c r="T116" s="18"/>
      <c r="U116" s="28" t="s">
        <v>14</v>
      </c>
      <c r="V116" s="18"/>
      <c r="W116" s="28" t="s">
        <v>14</v>
      </c>
      <c r="X116" s="18"/>
      <c r="Y116" s="28" t="s">
        <v>14</v>
      </c>
      <c r="Z116" s="18"/>
      <c r="AA116" s="28" t="s">
        <v>14</v>
      </c>
      <c r="AB116" s="18"/>
      <c r="AC116" s="28" t="s">
        <v>14</v>
      </c>
      <c r="AD116" s="18"/>
      <c r="AE116" s="28" t="s">
        <v>14</v>
      </c>
      <c r="AF116" s="25" t="str">
        <f t="shared" si="10"/>
        <v>NA</v>
      </c>
      <c r="AG116" s="59" t="str">
        <f t="shared" si="11"/>
        <v>NÃO AVALIADO POR FALHA DE SINCRONISMO</v>
      </c>
      <c r="AH116" s="28" t="s">
        <v>108</v>
      </c>
      <c r="AI116" s="32" t="s">
        <v>1</v>
      </c>
      <c r="AJ116" s="29" t="str">
        <f t="shared" si="12"/>
        <v>GUARULHOS</v>
      </c>
      <c r="AK116" s="33" t="s">
        <v>13</v>
      </c>
    </row>
    <row r="117" spans="1:37" ht="30" customHeight="1" x14ac:dyDescent="0.2">
      <c r="A117" s="82" t="s">
        <v>101</v>
      </c>
      <c r="B117" s="82">
        <v>2615868629</v>
      </c>
      <c r="C117" s="82" t="s">
        <v>1734</v>
      </c>
      <c r="D117" s="82" t="s">
        <v>53</v>
      </c>
      <c r="E117" s="82" t="s">
        <v>102</v>
      </c>
      <c r="F117" s="82" t="s">
        <v>785</v>
      </c>
      <c r="G117" s="82">
        <v>78</v>
      </c>
      <c r="H117" s="82" t="s">
        <v>1846</v>
      </c>
      <c r="I117" s="82" t="s">
        <v>787</v>
      </c>
      <c r="J117" s="82" t="s">
        <v>1736</v>
      </c>
      <c r="K117" s="88" t="s">
        <v>1841</v>
      </c>
      <c r="L117" s="82" t="s">
        <v>1189</v>
      </c>
      <c r="M117" s="82" t="s">
        <v>1833</v>
      </c>
      <c r="N117" s="82" t="s">
        <v>1760</v>
      </c>
      <c r="O117" s="36" t="s">
        <v>14</v>
      </c>
      <c r="P117" s="18"/>
      <c r="Q117" s="28" t="s">
        <v>14</v>
      </c>
      <c r="R117" s="18"/>
      <c r="S117" s="28" t="s">
        <v>14</v>
      </c>
      <c r="T117" s="18"/>
      <c r="U117" s="28" t="s">
        <v>14</v>
      </c>
      <c r="V117" s="18"/>
      <c r="W117" s="28" t="s">
        <v>14</v>
      </c>
      <c r="X117" s="18"/>
      <c r="Y117" s="28" t="s">
        <v>14</v>
      </c>
      <c r="Z117" s="18"/>
      <c r="AA117" s="28" t="s">
        <v>14</v>
      </c>
      <c r="AB117" s="18"/>
      <c r="AC117" s="28" t="s">
        <v>14</v>
      </c>
      <c r="AD117" s="18"/>
      <c r="AE117" s="28" t="s">
        <v>14</v>
      </c>
      <c r="AF117" s="25" t="str">
        <f t="shared" si="10"/>
        <v>NA</v>
      </c>
      <c r="AG117" s="59" t="str">
        <f t="shared" si="11"/>
        <v>NÃO AVALIADO POR FALHA DE SINCRONISMO</v>
      </c>
      <c r="AH117" s="28" t="s">
        <v>108</v>
      </c>
      <c r="AI117" s="32" t="s">
        <v>1</v>
      </c>
      <c r="AJ117" s="29" t="str">
        <f t="shared" si="12"/>
        <v>GUARULHOS</v>
      </c>
      <c r="AK117" s="33" t="s">
        <v>13</v>
      </c>
    </row>
    <row r="118" spans="1:37" ht="30" customHeight="1" x14ac:dyDescent="0.2">
      <c r="A118" s="82" t="s">
        <v>101</v>
      </c>
      <c r="B118" s="82">
        <v>2615868901</v>
      </c>
      <c r="C118" s="82" t="s">
        <v>1734</v>
      </c>
      <c r="D118" s="82" t="s">
        <v>53</v>
      </c>
      <c r="E118" s="82" t="s">
        <v>102</v>
      </c>
      <c r="F118" s="82" t="s">
        <v>785</v>
      </c>
      <c r="G118" s="82">
        <v>72</v>
      </c>
      <c r="H118" s="82"/>
      <c r="I118" s="82" t="s">
        <v>787</v>
      </c>
      <c r="J118" s="82" t="s">
        <v>1736</v>
      </c>
      <c r="K118" s="88" t="s">
        <v>1841</v>
      </c>
      <c r="L118" s="82" t="s">
        <v>1189</v>
      </c>
      <c r="M118" s="82" t="s">
        <v>1833</v>
      </c>
      <c r="N118" s="82" t="s">
        <v>1760</v>
      </c>
      <c r="O118" s="36" t="s">
        <v>14</v>
      </c>
      <c r="P118" s="18"/>
      <c r="Q118" s="28" t="s">
        <v>14</v>
      </c>
      <c r="R118" s="18"/>
      <c r="S118" s="28" t="s">
        <v>14</v>
      </c>
      <c r="T118" s="18"/>
      <c r="U118" s="28" t="s">
        <v>14</v>
      </c>
      <c r="V118" s="18"/>
      <c r="W118" s="28" t="s">
        <v>14</v>
      </c>
      <c r="X118" s="18"/>
      <c r="Y118" s="28" t="s">
        <v>14</v>
      </c>
      <c r="Z118" s="18"/>
      <c r="AA118" s="28" t="s">
        <v>14</v>
      </c>
      <c r="AB118" s="18"/>
      <c r="AC118" s="28" t="s">
        <v>14</v>
      </c>
      <c r="AD118" s="18"/>
      <c r="AE118" s="28" t="s">
        <v>14</v>
      </c>
      <c r="AF118" s="25" t="str">
        <f t="shared" si="10"/>
        <v>NA</v>
      </c>
      <c r="AG118" s="59" t="str">
        <f t="shared" si="11"/>
        <v>NÃO AVALIADO POR FALHA DE SINCRONISMO</v>
      </c>
      <c r="AH118" s="28" t="s">
        <v>108</v>
      </c>
      <c r="AI118" s="32" t="s">
        <v>1</v>
      </c>
      <c r="AJ118" s="29" t="str">
        <f t="shared" si="12"/>
        <v>GUARULHOS</v>
      </c>
      <c r="AK118" s="33" t="s">
        <v>13</v>
      </c>
    </row>
    <row r="119" spans="1:37" ht="30" customHeight="1" x14ac:dyDescent="0.2">
      <c r="A119" s="82" t="s">
        <v>101</v>
      </c>
      <c r="B119" s="82">
        <v>2615869591</v>
      </c>
      <c r="C119" s="82" t="s">
        <v>1734</v>
      </c>
      <c r="D119" s="82" t="s">
        <v>53</v>
      </c>
      <c r="E119" s="82" t="s">
        <v>102</v>
      </c>
      <c r="F119" s="82" t="s">
        <v>785</v>
      </c>
      <c r="G119" s="82">
        <v>66</v>
      </c>
      <c r="H119" s="82" t="s">
        <v>1847</v>
      </c>
      <c r="I119" s="82" t="s">
        <v>787</v>
      </c>
      <c r="J119" s="82" t="s">
        <v>1736</v>
      </c>
      <c r="K119" s="88" t="s">
        <v>1841</v>
      </c>
      <c r="L119" s="82" t="s">
        <v>1189</v>
      </c>
      <c r="M119" s="82" t="s">
        <v>1833</v>
      </c>
      <c r="N119" s="82" t="s">
        <v>1760</v>
      </c>
      <c r="O119" s="36" t="s">
        <v>14</v>
      </c>
      <c r="P119" s="18"/>
      <c r="Q119" s="28" t="s">
        <v>14</v>
      </c>
      <c r="R119" s="18"/>
      <c r="S119" s="28" t="s">
        <v>14</v>
      </c>
      <c r="T119" s="18"/>
      <c r="U119" s="28" t="s">
        <v>14</v>
      </c>
      <c r="V119" s="18"/>
      <c r="W119" s="28" t="s">
        <v>14</v>
      </c>
      <c r="X119" s="18"/>
      <c r="Y119" s="28" t="s">
        <v>14</v>
      </c>
      <c r="Z119" s="18"/>
      <c r="AA119" s="28" t="s">
        <v>14</v>
      </c>
      <c r="AB119" s="18"/>
      <c r="AC119" s="28" t="s">
        <v>14</v>
      </c>
      <c r="AD119" s="18"/>
      <c r="AE119" s="28" t="s">
        <v>14</v>
      </c>
      <c r="AF119" s="25" t="str">
        <f t="shared" si="10"/>
        <v>NA</v>
      </c>
      <c r="AG119" s="59" t="str">
        <f t="shared" si="11"/>
        <v>NÃO AVALIADO POR FALHA DE SINCRONISMO</v>
      </c>
      <c r="AH119" s="28" t="s">
        <v>108</v>
      </c>
      <c r="AI119" s="32" t="s">
        <v>1</v>
      </c>
      <c r="AJ119" s="29" t="str">
        <f t="shared" si="12"/>
        <v>GUARULHOS</v>
      </c>
      <c r="AK119" s="33" t="s">
        <v>13</v>
      </c>
    </row>
    <row r="120" spans="1:37" ht="30" customHeight="1" x14ac:dyDescent="0.2">
      <c r="A120" s="82" t="s">
        <v>101</v>
      </c>
      <c r="B120" s="82">
        <v>2615870029</v>
      </c>
      <c r="C120" s="82" t="s">
        <v>1734</v>
      </c>
      <c r="D120" s="82" t="s">
        <v>53</v>
      </c>
      <c r="E120" s="82" t="s">
        <v>102</v>
      </c>
      <c r="F120" s="82" t="s">
        <v>785</v>
      </c>
      <c r="G120" s="82">
        <v>60</v>
      </c>
      <c r="H120" s="82" t="s">
        <v>1848</v>
      </c>
      <c r="I120" s="82" t="s">
        <v>787</v>
      </c>
      <c r="J120" s="82" t="s">
        <v>1736</v>
      </c>
      <c r="K120" s="88" t="s">
        <v>1841</v>
      </c>
      <c r="L120" s="82" t="s">
        <v>1189</v>
      </c>
      <c r="M120" s="82" t="s">
        <v>1833</v>
      </c>
      <c r="N120" s="82" t="s">
        <v>1760</v>
      </c>
      <c r="O120" s="36" t="s">
        <v>14</v>
      </c>
      <c r="P120" s="18"/>
      <c r="Q120" s="28" t="s">
        <v>14</v>
      </c>
      <c r="R120" s="18"/>
      <c r="S120" s="28" t="s">
        <v>14</v>
      </c>
      <c r="T120" s="18"/>
      <c r="U120" s="28" t="s">
        <v>14</v>
      </c>
      <c r="V120" s="18"/>
      <c r="W120" s="28" t="s">
        <v>14</v>
      </c>
      <c r="X120" s="18"/>
      <c r="Y120" s="28" t="s">
        <v>14</v>
      </c>
      <c r="Z120" s="18"/>
      <c r="AA120" s="28" t="s">
        <v>14</v>
      </c>
      <c r="AB120" s="18"/>
      <c r="AC120" s="28" t="s">
        <v>14</v>
      </c>
      <c r="AD120" s="18"/>
      <c r="AE120" s="28" t="s">
        <v>14</v>
      </c>
      <c r="AF120" s="25" t="str">
        <f t="shared" si="10"/>
        <v>NA</v>
      </c>
      <c r="AG120" s="59" t="str">
        <f t="shared" si="11"/>
        <v>NÃO AVALIADO POR FALHA DE SINCRONISMO</v>
      </c>
      <c r="AH120" s="28" t="s">
        <v>108</v>
      </c>
      <c r="AI120" s="32" t="s">
        <v>1</v>
      </c>
      <c r="AJ120" s="29" t="str">
        <f t="shared" si="12"/>
        <v>GUARULHOS</v>
      </c>
      <c r="AK120" s="33" t="s">
        <v>13</v>
      </c>
    </row>
    <row r="121" spans="1:37" ht="30" customHeight="1" x14ac:dyDescent="0.2">
      <c r="A121" s="82" t="s">
        <v>101</v>
      </c>
      <c r="B121" s="82">
        <v>2615871695</v>
      </c>
      <c r="C121" s="82" t="s">
        <v>1734</v>
      </c>
      <c r="D121" s="82" t="s">
        <v>53</v>
      </c>
      <c r="E121" s="82" t="s">
        <v>102</v>
      </c>
      <c r="F121" s="82" t="s">
        <v>785</v>
      </c>
      <c r="G121" s="82">
        <v>48</v>
      </c>
      <c r="H121" s="82" t="s">
        <v>1849</v>
      </c>
      <c r="I121" s="82" t="s">
        <v>787</v>
      </c>
      <c r="J121" s="82" t="s">
        <v>1736</v>
      </c>
      <c r="K121" s="88" t="s">
        <v>1841</v>
      </c>
      <c r="L121" s="82" t="s">
        <v>1189</v>
      </c>
      <c r="M121" s="82" t="s">
        <v>1833</v>
      </c>
      <c r="N121" s="82" t="s">
        <v>1409</v>
      </c>
      <c r="O121" s="36" t="s">
        <v>14</v>
      </c>
      <c r="P121" s="18"/>
      <c r="Q121" s="28" t="s">
        <v>14</v>
      </c>
      <c r="R121" s="18"/>
      <c r="S121" s="28" t="s">
        <v>14</v>
      </c>
      <c r="T121" s="18"/>
      <c r="U121" s="28" t="s">
        <v>14</v>
      </c>
      <c r="V121" s="18"/>
      <c r="W121" s="28" t="s">
        <v>14</v>
      </c>
      <c r="X121" s="18"/>
      <c r="Y121" s="28" t="s">
        <v>14</v>
      </c>
      <c r="Z121" s="18"/>
      <c r="AA121" s="28" t="s">
        <v>14</v>
      </c>
      <c r="AB121" s="18"/>
      <c r="AC121" s="28" t="s">
        <v>14</v>
      </c>
      <c r="AD121" s="18"/>
      <c r="AE121" s="28" t="s">
        <v>14</v>
      </c>
      <c r="AF121" s="25" t="str">
        <f t="shared" si="10"/>
        <v>NA</v>
      </c>
      <c r="AG121" s="59" t="str">
        <f t="shared" si="11"/>
        <v>NÃO AVALIADO POR FALHA DE SINCRONISMO</v>
      </c>
      <c r="AH121" s="28" t="s">
        <v>108</v>
      </c>
      <c r="AI121" s="32" t="s">
        <v>1</v>
      </c>
      <c r="AJ121" s="29" t="str">
        <f t="shared" si="12"/>
        <v>GUARULHOS</v>
      </c>
      <c r="AK121" s="33" t="s">
        <v>13</v>
      </c>
    </row>
    <row r="122" spans="1:37" ht="30" customHeight="1" x14ac:dyDescent="0.2">
      <c r="A122" s="82" t="s">
        <v>101</v>
      </c>
      <c r="B122" s="82">
        <v>2615871396</v>
      </c>
      <c r="C122" s="82" t="s">
        <v>1734</v>
      </c>
      <c r="D122" s="82" t="s">
        <v>53</v>
      </c>
      <c r="E122" s="82" t="s">
        <v>102</v>
      </c>
      <c r="F122" s="82" t="s">
        <v>785</v>
      </c>
      <c r="G122" s="82">
        <v>42</v>
      </c>
      <c r="H122" s="82" t="s">
        <v>1850</v>
      </c>
      <c r="I122" s="82" t="s">
        <v>787</v>
      </c>
      <c r="J122" s="82" t="s">
        <v>1736</v>
      </c>
      <c r="K122" s="88" t="s">
        <v>1841</v>
      </c>
      <c r="L122" s="82" t="s">
        <v>1189</v>
      </c>
      <c r="M122" s="82" t="s">
        <v>1833</v>
      </c>
      <c r="N122" s="82" t="s">
        <v>1409</v>
      </c>
      <c r="O122" s="36" t="s">
        <v>14</v>
      </c>
      <c r="P122" s="18"/>
      <c r="Q122" s="28" t="s">
        <v>14</v>
      </c>
      <c r="R122" s="18"/>
      <c r="S122" s="28" t="s">
        <v>14</v>
      </c>
      <c r="T122" s="18"/>
      <c r="U122" s="28" t="s">
        <v>14</v>
      </c>
      <c r="V122" s="18"/>
      <c r="W122" s="28" t="s">
        <v>14</v>
      </c>
      <c r="X122" s="18"/>
      <c r="Y122" s="28" t="s">
        <v>14</v>
      </c>
      <c r="Z122" s="18"/>
      <c r="AA122" s="28" t="s">
        <v>14</v>
      </c>
      <c r="AB122" s="18"/>
      <c r="AC122" s="28" t="s">
        <v>14</v>
      </c>
      <c r="AD122" s="18"/>
      <c r="AE122" s="28" t="s">
        <v>14</v>
      </c>
      <c r="AF122" s="25" t="str">
        <f t="shared" si="10"/>
        <v>NA</v>
      </c>
      <c r="AG122" s="59" t="str">
        <f t="shared" si="11"/>
        <v>NÃO AVALIADO POR FALHA DE SINCRONISMO</v>
      </c>
      <c r="AH122" s="28" t="s">
        <v>108</v>
      </c>
      <c r="AI122" s="32" t="s">
        <v>1</v>
      </c>
      <c r="AJ122" s="29" t="str">
        <f t="shared" si="12"/>
        <v>GUARULHOS</v>
      </c>
      <c r="AK122" s="33" t="s">
        <v>13</v>
      </c>
    </row>
    <row r="123" spans="1:37" ht="30" customHeight="1" x14ac:dyDescent="0.2">
      <c r="A123" s="82" t="s">
        <v>101</v>
      </c>
      <c r="B123" s="82">
        <v>2615870871</v>
      </c>
      <c r="C123" s="82" t="s">
        <v>1734</v>
      </c>
      <c r="D123" s="82" t="s">
        <v>53</v>
      </c>
      <c r="E123" s="82" t="s">
        <v>102</v>
      </c>
      <c r="F123" s="82" t="s">
        <v>785</v>
      </c>
      <c r="G123" s="82">
        <v>36</v>
      </c>
      <c r="H123" s="82" t="s">
        <v>117</v>
      </c>
      <c r="I123" s="82" t="s">
        <v>787</v>
      </c>
      <c r="J123" s="82" t="s">
        <v>1736</v>
      </c>
      <c r="K123" s="88" t="s">
        <v>1841</v>
      </c>
      <c r="L123" s="82" t="s">
        <v>1189</v>
      </c>
      <c r="M123" s="82" t="s">
        <v>1833</v>
      </c>
      <c r="N123" s="82" t="s">
        <v>1409</v>
      </c>
      <c r="O123" s="36" t="s">
        <v>14</v>
      </c>
      <c r="P123" s="18"/>
      <c r="Q123" s="28" t="s">
        <v>14</v>
      </c>
      <c r="R123" s="18"/>
      <c r="S123" s="28" t="s">
        <v>14</v>
      </c>
      <c r="T123" s="18"/>
      <c r="U123" s="28" t="s">
        <v>14</v>
      </c>
      <c r="V123" s="18"/>
      <c r="W123" s="28" t="s">
        <v>14</v>
      </c>
      <c r="X123" s="18"/>
      <c r="Y123" s="28" t="s">
        <v>14</v>
      </c>
      <c r="Z123" s="18"/>
      <c r="AA123" s="28" t="s">
        <v>14</v>
      </c>
      <c r="AB123" s="18"/>
      <c r="AC123" s="28" t="s">
        <v>14</v>
      </c>
      <c r="AD123" s="18"/>
      <c r="AE123" s="28" t="s">
        <v>14</v>
      </c>
      <c r="AF123" s="25" t="str">
        <f t="shared" si="10"/>
        <v>NA</v>
      </c>
      <c r="AG123" s="59" t="str">
        <f t="shared" si="11"/>
        <v>NÃO AVALIADO POR FALHA DE SINCRONISMO</v>
      </c>
      <c r="AH123" s="28" t="s">
        <v>108</v>
      </c>
      <c r="AI123" s="32" t="s">
        <v>1</v>
      </c>
      <c r="AJ123" s="29" t="str">
        <f t="shared" si="12"/>
        <v>GUARULHOS</v>
      </c>
      <c r="AK123" s="33" t="s">
        <v>13</v>
      </c>
    </row>
    <row r="124" spans="1:37" ht="30" customHeight="1" x14ac:dyDescent="0.2">
      <c r="A124" s="82" t="s">
        <v>101</v>
      </c>
      <c r="B124" s="82">
        <v>2615865780</v>
      </c>
      <c r="C124" s="82" t="s">
        <v>1734</v>
      </c>
      <c r="D124" s="82" t="s">
        <v>53</v>
      </c>
      <c r="E124" s="82" t="s">
        <v>102</v>
      </c>
      <c r="F124" s="82" t="s">
        <v>785</v>
      </c>
      <c r="G124" s="82">
        <v>102</v>
      </c>
      <c r="H124" s="82" t="s">
        <v>1851</v>
      </c>
      <c r="I124" s="82" t="s">
        <v>787</v>
      </c>
      <c r="J124" s="82" t="s">
        <v>1736</v>
      </c>
      <c r="K124" s="88" t="s">
        <v>1841</v>
      </c>
      <c r="L124" s="82" t="s">
        <v>1189</v>
      </c>
      <c r="M124" s="82" t="s">
        <v>1833</v>
      </c>
      <c r="N124" s="82" t="s">
        <v>1409</v>
      </c>
      <c r="O124" s="36" t="s">
        <v>14</v>
      </c>
      <c r="P124" s="18"/>
      <c r="Q124" s="28" t="s">
        <v>14</v>
      </c>
      <c r="R124" s="18"/>
      <c r="S124" s="28" t="s">
        <v>14</v>
      </c>
      <c r="T124" s="18"/>
      <c r="U124" s="28" t="s">
        <v>14</v>
      </c>
      <c r="V124" s="18"/>
      <c r="W124" s="28" t="s">
        <v>14</v>
      </c>
      <c r="X124" s="18"/>
      <c r="Y124" s="28" t="s">
        <v>14</v>
      </c>
      <c r="Z124" s="18"/>
      <c r="AA124" s="28" t="s">
        <v>14</v>
      </c>
      <c r="AB124" s="18"/>
      <c r="AC124" s="28" t="s">
        <v>14</v>
      </c>
      <c r="AD124" s="18"/>
      <c r="AE124" s="28" t="s">
        <v>14</v>
      </c>
      <c r="AF124" s="25" t="str">
        <f t="shared" si="10"/>
        <v>NA</v>
      </c>
      <c r="AG124" s="59" t="str">
        <f t="shared" si="11"/>
        <v>NÃO AVALIADO POR FALHA DE SINCRONISMO</v>
      </c>
      <c r="AH124" s="28" t="s">
        <v>108</v>
      </c>
      <c r="AI124" s="32" t="s">
        <v>1</v>
      </c>
      <c r="AJ124" s="29" t="str">
        <f t="shared" si="12"/>
        <v>GUARULHOS</v>
      </c>
      <c r="AK124" s="33" t="s">
        <v>13</v>
      </c>
    </row>
    <row r="125" spans="1:37" ht="30" customHeight="1" x14ac:dyDescent="0.2">
      <c r="A125" s="82" t="s">
        <v>101</v>
      </c>
      <c r="B125" s="82">
        <v>2615872698</v>
      </c>
      <c r="C125" s="82" t="s">
        <v>1734</v>
      </c>
      <c r="D125" s="82" t="s">
        <v>53</v>
      </c>
      <c r="E125" s="82" t="s">
        <v>102</v>
      </c>
      <c r="F125" s="82" t="s">
        <v>572</v>
      </c>
      <c r="G125" s="82">
        <v>173</v>
      </c>
      <c r="H125" s="82">
        <v>77</v>
      </c>
      <c r="I125" s="82" t="s">
        <v>162</v>
      </c>
      <c r="J125" s="82" t="s">
        <v>1736</v>
      </c>
      <c r="K125" s="88" t="s">
        <v>1852</v>
      </c>
      <c r="L125" s="82" t="s">
        <v>1189</v>
      </c>
      <c r="M125" s="82" t="s">
        <v>1833</v>
      </c>
      <c r="N125" s="82" t="s">
        <v>1738</v>
      </c>
      <c r="O125" s="36" t="s">
        <v>14</v>
      </c>
      <c r="P125" s="18"/>
      <c r="Q125" s="28" t="s">
        <v>14</v>
      </c>
      <c r="R125" s="18"/>
      <c r="S125" s="28" t="s">
        <v>14</v>
      </c>
      <c r="T125" s="18"/>
      <c r="U125" s="28" t="s">
        <v>14</v>
      </c>
      <c r="V125" s="18"/>
      <c r="W125" s="28" t="s">
        <v>14</v>
      </c>
      <c r="X125" s="18"/>
      <c r="Y125" s="28" t="s">
        <v>14</v>
      </c>
      <c r="Z125" s="18"/>
      <c r="AA125" s="28" t="s">
        <v>14</v>
      </c>
      <c r="AB125" s="18"/>
      <c r="AC125" s="28" t="s">
        <v>14</v>
      </c>
      <c r="AD125" s="18"/>
      <c r="AE125" s="28" t="s">
        <v>14</v>
      </c>
      <c r="AF125" s="25" t="str">
        <f t="shared" si="10"/>
        <v>NA</v>
      </c>
      <c r="AG125" s="59" t="str">
        <f t="shared" si="11"/>
        <v>NÃO AVALIADO POR FALHA DE SINCRONISMO</v>
      </c>
      <c r="AH125" s="28" t="s">
        <v>108</v>
      </c>
      <c r="AI125" s="32" t="s">
        <v>1</v>
      </c>
      <c r="AJ125" s="29" t="str">
        <f t="shared" si="12"/>
        <v>GUARULHOS</v>
      </c>
      <c r="AK125" s="33" t="s">
        <v>13</v>
      </c>
    </row>
    <row r="126" spans="1:37" ht="30" customHeight="1" x14ac:dyDescent="0.2">
      <c r="A126" s="82" t="s">
        <v>101</v>
      </c>
      <c r="B126" s="82">
        <v>2615872948</v>
      </c>
      <c r="C126" s="82" t="s">
        <v>1734</v>
      </c>
      <c r="D126" s="82" t="s">
        <v>53</v>
      </c>
      <c r="E126" s="82" t="s">
        <v>102</v>
      </c>
      <c r="F126" s="82" t="s">
        <v>572</v>
      </c>
      <c r="G126" s="82">
        <v>170</v>
      </c>
      <c r="H126" s="82"/>
      <c r="I126" s="82" t="s">
        <v>162</v>
      </c>
      <c r="J126" s="82" t="s">
        <v>1736</v>
      </c>
      <c r="K126" s="88" t="s">
        <v>1852</v>
      </c>
      <c r="L126" s="82" t="s">
        <v>1189</v>
      </c>
      <c r="M126" s="82" t="s">
        <v>1833</v>
      </c>
      <c r="N126" s="82" t="s">
        <v>1738</v>
      </c>
      <c r="O126" s="36" t="s">
        <v>14</v>
      </c>
      <c r="P126" s="18"/>
      <c r="Q126" s="28" t="s">
        <v>14</v>
      </c>
      <c r="R126" s="18"/>
      <c r="S126" s="28" t="s">
        <v>14</v>
      </c>
      <c r="T126" s="18"/>
      <c r="U126" s="28" t="s">
        <v>14</v>
      </c>
      <c r="V126" s="18"/>
      <c r="W126" s="28" t="s">
        <v>14</v>
      </c>
      <c r="X126" s="18"/>
      <c r="Y126" s="28" t="s">
        <v>14</v>
      </c>
      <c r="Z126" s="18"/>
      <c r="AA126" s="28" t="s">
        <v>14</v>
      </c>
      <c r="AB126" s="18"/>
      <c r="AC126" s="28" t="s">
        <v>14</v>
      </c>
      <c r="AD126" s="18"/>
      <c r="AE126" s="28" t="s">
        <v>14</v>
      </c>
      <c r="AF126" s="25" t="str">
        <f t="shared" si="10"/>
        <v>NA</v>
      </c>
      <c r="AG126" s="59" t="str">
        <f t="shared" si="11"/>
        <v>NÃO AVALIADO POR FALHA DE SINCRONISMO</v>
      </c>
      <c r="AH126" s="28"/>
      <c r="AI126" s="32" t="s">
        <v>1</v>
      </c>
      <c r="AJ126" s="29" t="str">
        <f t="shared" si="12"/>
        <v>GUARULHOS</v>
      </c>
      <c r="AK126" s="33" t="s">
        <v>13</v>
      </c>
    </row>
    <row r="127" spans="1:37" ht="30" customHeight="1" x14ac:dyDescent="0.2">
      <c r="A127" s="82" t="s">
        <v>101</v>
      </c>
      <c r="B127" s="82">
        <v>2615872007</v>
      </c>
      <c r="C127" s="82" t="s">
        <v>1734</v>
      </c>
      <c r="D127" s="82" t="s">
        <v>53</v>
      </c>
      <c r="E127" s="82" t="s">
        <v>102</v>
      </c>
      <c r="F127" s="82" t="s">
        <v>572</v>
      </c>
      <c r="G127" s="82">
        <v>166</v>
      </c>
      <c r="H127" s="82" t="s">
        <v>174</v>
      </c>
      <c r="I127" s="82" t="s">
        <v>162</v>
      </c>
      <c r="J127" s="82" t="s">
        <v>1736</v>
      </c>
      <c r="K127" s="88" t="s">
        <v>1852</v>
      </c>
      <c r="L127" s="82" t="s">
        <v>1189</v>
      </c>
      <c r="M127" s="82" t="s">
        <v>1833</v>
      </c>
      <c r="N127" s="82" t="s">
        <v>1738</v>
      </c>
      <c r="O127" s="36" t="s">
        <v>14</v>
      </c>
      <c r="P127" s="18"/>
      <c r="Q127" s="28" t="s">
        <v>14</v>
      </c>
      <c r="R127" s="18"/>
      <c r="S127" s="28" t="s">
        <v>14</v>
      </c>
      <c r="T127" s="18"/>
      <c r="U127" s="28" t="s">
        <v>14</v>
      </c>
      <c r="V127" s="18"/>
      <c r="W127" s="28" t="s">
        <v>14</v>
      </c>
      <c r="X127" s="18"/>
      <c r="Y127" s="28" t="s">
        <v>14</v>
      </c>
      <c r="Z127" s="18"/>
      <c r="AA127" s="28" t="s">
        <v>14</v>
      </c>
      <c r="AB127" s="18"/>
      <c r="AC127" s="28" t="s">
        <v>14</v>
      </c>
      <c r="AD127" s="18"/>
      <c r="AE127" s="28" t="s">
        <v>14</v>
      </c>
      <c r="AF127" s="25" t="str">
        <f t="shared" si="10"/>
        <v>NA</v>
      </c>
      <c r="AG127" s="59" t="str">
        <f t="shared" si="11"/>
        <v>NÃO AVALIADO POR FALHA DE SINCRONISMO</v>
      </c>
      <c r="AH127" s="28"/>
      <c r="AI127" s="32" t="s">
        <v>1</v>
      </c>
      <c r="AJ127" s="29" t="str">
        <f t="shared" si="12"/>
        <v>GUARULHOS</v>
      </c>
      <c r="AK127" s="33" t="s">
        <v>13</v>
      </c>
    </row>
    <row r="128" spans="1:37" ht="30" customHeight="1" x14ac:dyDescent="0.2">
      <c r="A128" s="82" t="s">
        <v>101</v>
      </c>
      <c r="B128" s="82">
        <v>2615872313</v>
      </c>
      <c r="C128" s="82" t="s">
        <v>1734</v>
      </c>
      <c r="D128" s="82" t="s">
        <v>53</v>
      </c>
      <c r="E128" s="82" t="s">
        <v>102</v>
      </c>
      <c r="F128" s="82" t="s">
        <v>572</v>
      </c>
      <c r="G128" s="82">
        <v>163</v>
      </c>
      <c r="H128" s="82"/>
      <c r="I128" s="82" t="s">
        <v>162</v>
      </c>
      <c r="J128" s="82" t="s">
        <v>1736</v>
      </c>
      <c r="K128" s="88" t="s">
        <v>1852</v>
      </c>
      <c r="L128" s="82" t="s">
        <v>1189</v>
      </c>
      <c r="M128" s="82" t="s">
        <v>1833</v>
      </c>
      <c r="N128" s="82" t="s">
        <v>1738</v>
      </c>
      <c r="O128" s="36" t="s">
        <v>14</v>
      </c>
      <c r="P128" s="18"/>
      <c r="Q128" s="28" t="s">
        <v>14</v>
      </c>
      <c r="R128" s="18"/>
      <c r="S128" s="28" t="s">
        <v>14</v>
      </c>
      <c r="T128" s="18"/>
      <c r="U128" s="28" t="s">
        <v>14</v>
      </c>
      <c r="V128" s="18"/>
      <c r="W128" s="28" t="s">
        <v>14</v>
      </c>
      <c r="X128" s="18"/>
      <c r="Y128" s="28" t="s">
        <v>14</v>
      </c>
      <c r="Z128" s="18"/>
      <c r="AA128" s="28" t="s">
        <v>14</v>
      </c>
      <c r="AB128" s="18"/>
      <c r="AC128" s="28" t="s">
        <v>14</v>
      </c>
      <c r="AD128" s="18"/>
      <c r="AE128" s="28" t="s">
        <v>14</v>
      </c>
      <c r="AF128" s="25" t="str">
        <f t="shared" si="10"/>
        <v>NA</v>
      </c>
      <c r="AG128" s="59" t="str">
        <f t="shared" si="11"/>
        <v>NÃO AVALIADO POR FALHA DE SINCRONISMO</v>
      </c>
      <c r="AH128" s="28"/>
      <c r="AI128" s="32" t="s">
        <v>1</v>
      </c>
      <c r="AJ128" s="29" t="str">
        <f t="shared" si="12"/>
        <v>GUARULHOS</v>
      </c>
      <c r="AK128" s="33" t="s">
        <v>13</v>
      </c>
    </row>
    <row r="129" spans="1:37" ht="30" customHeight="1" x14ac:dyDescent="0.2">
      <c r="A129" s="82" t="s">
        <v>101</v>
      </c>
      <c r="B129" s="82">
        <v>2615871815</v>
      </c>
      <c r="C129" s="82" t="s">
        <v>1734</v>
      </c>
      <c r="D129" s="82" t="s">
        <v>53</v>
      </c>
      <c r="E129" s="82" t="s">
        <v>102</v>
      </c>
      <c r="F129" s="82" t="s">
        <v>572</v>
      </c>
      <c r="G129" s="82">
        <v>157</v>
      </c>
      <c r="H129" s="82" t="s">
        <v>1853</v>
      </c>
      <c r="I129" s="82" t="s">
        <v>162</v>
      </c>
      <c r="J129" s="82" t="s">
        <v>1736</v>
      </c>
      <c r="K129" s="88" t="s">
        <v>1852</v>
      </c>
      <c r="L129" s="82" t="s">
        <v>1189</v>
      </c>
      <c r="M129" s="82" t="s">
        <v>1833</v>
      </c>
      <c r="N129" s="82" t="s">
        <v>1738</v>
      </c>
      <c r="O129" s="36" t="s">
        <v>14</v>
      </c>
      <c r="P129" s="18"/>
      <c r="Q129" s="28" t="s">
        <v>14</v>
      </c>
      <c r="R129" s="18"/>
      <c r="S129" s="28" t="s">
        <v>14</v>
      </c>
      <c r="T129" s="18"/>
      <c r="U129" s="28" t="s">
        <v>14</v>
      </c>
      <c r="V129" s="18"/>
      <c r="W129" s="28" t="s">
        <v>14</v>
      </c>
      <c r="X129" s="18"/>
      <c r="Y129" s="28" t="s">
        <v>14</v>
      </c>
      <c r="Z129" s="18"/>
      <c r="AA129" s="28" t="s">
        <v>14</v>
      </c>
      <c r="AB129" s="18"/>
      <c r="AC129" s="28" t="s">
        <v>14</v>
      </c>
      <c r="AD129" s="18"/>
      <c r="AE129" s="28" t="s">
        <v>14</v>
      </c>
      <c r="AF129" s="25" t="str">
        <f t="shared" si="10"/>
        <v>NA</v>
      </c>
      <c r="AG129" s="59" t="str">
        <f t="shared" si="11"/>
        <v>NÃO AVALIADO POR FALHA DE SINCRONISMO</v>
      </c>
      <c r="AH129" s="28"/>
      <c r="AI129" s="32" t="s">
        <v>1</v>
      </c>
      <c r="AJ129" s="29" t="str">
        <f t="shared" si="12"/>
        <v>GUARULHOS</v>
      </c>
      <c r="AK129" s="33" t="s">
        <v>13</v>
      </c>
    </row>
    <row r="130" spans="1:37" ht="30" customHeight="1" x14ac:dyDescent="0.2">
      <c r="A130" s="82" t="s">
        <v>101</v>
      </c>
      <c r="B130" s="82">
        <v>2615871552</v>
      </c>
      <c r="C130" s="82" t="s">
        <v>1734</v>
      </c>
      <c r="D130" s="82" t="s">
        <v>53</v>
      </c>
      <c r="E130" s="82" t="s">
        <v>102</v>
      </c>
      <c r="F130" s="82" t="s">
        <v>572</v>
      </c>
      <c r="G130" s="82">
        <v>153</v>
      </c>
      <c r="H130" s="82" t="s">
        <v>1854</v>
      </c>
      <c r="I130" s="82" t="s">
        <v>162</v>
      </c>
      <c r="J130" s="82" t="s">
        <v>1736</v>
      </c>
      <c r="K130" s="88" t="s">
        <v>1852</v>
      </c>
      <c r="L130" s="82" t="s">
        <v>1189</v>
      </c>
      <c r="M130" s="82" t="s">
        <v>1833</v>
      </c>
      <c r="N130" s="82" t="s">
        <v>1738</v>
      </c>
      <c r="O130" s="36" t="s">
        <v>14</v>
      </c>
      <c r="P130" s="18"/>
      <c r="Q130" s="28" t="s">
        <v>14</v>
      </c>
      <c r="R130" s="18"/>
      <c r="S130" s="28" t="s">
        <v>14</v>
      </c>
      <c r="T130" s="18"/>
      <c r="U130" s="28" t="s">
        <v>14</v>
      </c>
      <c r="V130" s="18"/>
      <c r="W130" s="28" t="s">
        <v>14</v>
      </c>
      <c r="X130" s="18"/>
      <c r="Y130" s="28" t="s">
        <v>14</v>
      </c>
      <c r="Z130" s="18"/>
      <c r="AA130" s="28" t="s">
        <v>14</v>
      </c>
      <c r="AB130" s="18"/>
      <c r="AC130" s="28" t="s">
        <v>14</v>
      </c>
      <c r="AD130" s="18"/>
      <c r="AE130" s="28" t="s">
        <v>14</v>
      </c>
      <c r="AF130" s="25" t="str">
        <f t="shared" si="10"/>
        <v>NA</v>
      </c>
      <c r="AG130" s="59" t="str">
        <f t="shared" si="11"/>
        <v>NÃO AVALIADO POR FALHA DE SINCRONISMO</v>
      </c>
      <c r="AH130" s="28"/>
      <c r="AI130" s="32" t="s">
        <v>1</v>
      </c>
      <c r="AJ130" s="29" t="str">
        <f t="shared" si="12"/>
        <v>GUARULHOS</v>
      </c>
      <c r="AK130" s="33" t="s">
        <v>13</v>
      </c>
    </row>
    <row r="131" spans="1:37" ht="30" customHeight="1" x14ac:dyDescent="0.2">
      <c r="A131" s="82" t="s">
        <v>101</v>
      </c>
      <c r="B131" s="82">
        <v>2615871219</v>
      </c>
      <c r="C131" s="82" t="s">
        <v>1734</v>
      </c>
      <c r="D131" s="82" t="s">
        <v>53</v>
      </c>
      <c r="E131" s="82" t="s">
        <v>102</v>
      </c>
      <c r="F131" s="82" t="s">
        <v>572</v>
      </c>
      <c r="G131" s="82">
        <v>152</v>
      </c>
      <c r="H131" s="82" t="s">
        <v>117</v>
      </c>
      <c r="I131" s="82" t="s">
        <v>162</v>
      </c>
      <c r="J131" s="82" t="s">
        <v>1736</v>
      </c>
      <c r="K131" s="88" t="s">
        <v>1852</v>
      </c>
      <c r="L131" s="82" t="s">
        <v>1189</v>
      </c>
      <c r="M131" s="82" t="s">
        <v>1833</v>
      </c>
      <c r="N131" s="82" t="s">
        <v>1738</v>
      </c>
      <c r="O131" s="36" t="s">
        <v>14</v>
      </c>
      <c r="P131" s="18"/>
      <c r="Q131" s="28" t="s">
        <v>14</v>
      </c>
      <c r="R131" s="18"/>
      <c r="S131" s="28" t="s">
        <v>14</v>
      </c>
      <c r="T131" s="18"/>
      <c r="U131" s="28" t="s">
        <v>14</v>
      </c>
      <c r="V131" s="18"/>
      <c r="W131" s="28" t="s">
        <v>14</v>
      </c>
      <c r="X131" s="18"/>
      <c r="Y131" s="28" t="s">
        <v>14</v>
      </c>
      <c r="Z131" s="18"/>
      <c r="AA131" s="28" t="s">
        <v>14</v>
      </c>
      <c r="AB131" s="18"/>
      <c r="AC131" s="28" t="s">
        <v>14</v>
      </c>
      <c r="AD131" s="18"/>
      <c r="AE131" s="28" t="s">
        <v>14</v>
      </c>
      <c r="AF131" s="25" t="str">
        <f t="shared" si="10"/>
        <v>NA</v>
      </c>
      <c r="AG131" s="59" t="str">
        <f t="shared" si="11"/>
        <v>NÃO AVALIADO POR FALHA DE SINCRONISMO</v>
      </c>
      <c r="AH131" s="28"/>
      <c r="AI131" s="32" t="s">
        <v>1</v>
      </c>
      <c r="AJ131" s="29" t="str">
        <f t="shared" si="12"/>
        <v>GUARULHOS</v>
      </c>
      <c r="AK131" s="33" t="s">
        <v>13</v>
      </c>
    </row>
    <row r="132" spans="1:37" ht="30" customHeight="1" x14ac:dyDescent="0.2">
      <c r="A132" s="82" t="s">
        <v>101</v>
      </c>
      <c r="B132" s="82">
        <v>2615870796</v>
      </c>
      <c r="C132" s="82" t="s">
        <v>1734</v>
      </c>
      <c r="D132" s="82" t="s">
        <v>53</v>
      </c>
      <c r="E132" s="82" t="s">
        <v>102</v>
      </c>
      <c r="F132" s="82" t="s">
        <v>572</v>
      </c>
      <c r="G132" s="82">
        <v>147</v>
      </c>
      <c r="H132" s="82" t="s">
        <v>1855</v>
      </c>
      <c r="I132" s="82" t="s">
        <v>162</v>
      </c>
      <c r="J132" s="82" t="s">
        <v>1736</v>
      </c>
      <c r="K132" s="88" t="s">
        <v>1856</v>
      </c>
      <c r="L132" s="82" t="s">
        <v>1189</v>
      </c>
      <c r="M132" s="82" t="s">
        <v>1833</v>
      </c>
      <c r="N132" s="82" t="s">
        <v>1738</v>
      </c>
      <c r="O132" s="36" t="s">
        <v>14</v>
      </c>
      <c r="P132" s="18"/>
      <c r="Q132" s="28" t="s">
        <v>14</v>
      </c>
      <c r="R132" s="18"/>
      <c r="S132" s="28" t="s">
        <v>14</v>
      </c>
      <c r="T132" s="18"/>
      <c r="U132" s="28" t="s">
        <v>14</v>
      </c>
      <c r="V132" s="18"/>
      <c r="W132" s="28" t="s">
        <v>14</v>
      </c>
      <c r="X132" s="18"/>
      <c r="Y132" s="28" t="s">
        <v>14</v>
      </c>
      <c r="Z132" s="18"/>
      <c r="AA132" s="28" t="s">
        <v>14</v>
      </c>
      <c r="AB132" s="18"/>
      <c r="AC132" s="28" t="s">
        <v>14</v>
      </c>
      <c r="AD132" s="18"/>
      <c r="AE132" s="28" t="s">
        <v>14</v>
      </c>
      <c r="AF132" s="25" t="str">
        <f t="shared" si="10"/>
        <v>NA</v>
      </c>
      <c r="AG132" s="59" t="str">
        <f t="shared" si="11"/>
        <v>NÃO AVALIADO POR FALHA DE SINCRONISMO</v>
      </c>
      <c r="AH132" s="28"/>
      <c r="AI132" s="32" t="s">
        <v>1</v>
      </c>
      <c r="AJ132" s="29" t="str">
        <f t="shared" si="12"/>
        <v>GUARULHOS</v>
      </c>
      <c r="AK132" s="33" t="s">
        <v>13</v>
      </c>
    </row>
    <row r="133" spans="1:37" ht="30" customHeight="1" x14ac:dyDescent="0.2">
      <c r="A133" s="82" t="s">
        <v>101</v>
      </c>
      <c r="B133" s="82">
        <v>2615871010</v>
      </c>
      <c r="C133" s="82" t="s">
        <v>1734</v>
      </c>
      <c r="D133" s="82" t="s">
        <v>53</v>
      </c>
      <c r="E133" s="82" t="s">
        <v>102</v>
      </c>
      <c r="F133" s="82" t="s">
        <v>572</v>
      </c>
      <c r="G133" s="82">
        <v>143</v>
      </c>
      <c r="H133" s="82" t="s">
        <v>1857</v>
      </c>
      <c r="I133" s="82" t="s">
        <v>162</v>
      </c>
      <c r="J133" s="82" t="s">
        <v>1736</v>
      </c>
      <c r="K133" s="88" t="s">
        <v>1852</v>
      </c>
      <c r="L133" s="82" t="s">
        <v>1189</v>
      </c>
      <c r="M133" s="82" t="s">
        <v>1833</v>
      </c>
      <c r="N133" s="82" t="s">
        <v>1738</v>
      </c>
      <c r="O133" s="36" t="s">
        <v>14</v>
      </c>
      <c r="P133" s="18"/>
      <c r="Q133" s="28" t="s">
        <v>14</v>
      </c>
      <c r="R133" s="18"/>
      <c r="S133" s="28" t="s">
        <v>14</v>
      </c>
      <c r="T133" s="18"/>
      <c r="U133" s="28" t="s">
        <v>14</v>
      </c>
      <c r="V133" s="18"/>
      <c r="W133" s="28" t="s">
        <v>14</v>
      </c>
      <c r="X133" s="18"/>
      <c r="Y133" s="28" t="s">
        <v>14</v>
      </c>
      <c r="Z133" s="18"/>
      <c r="AA133" s="28" t="s">
        <v>14</v>
      </c>
      <c r="AB133" s="18"/>
      <c r="AC133" s="28" t="s">
        <v>14</v>
      </c>
      <c r="AD133" s="18"/>
      <c r="AE133" s="28" t="s">
        <v>14</v>
      </c>
      <c r="AF133" s="25" t="str">
        <f t="shared" si="10"/>
        <v>NA</v>
      </c>
      <c r="AG133" s="59" t="str">
        <f t="shared" si="11"/>
        <v>NÃO AVALIADO POR FALHA DE SINCRONISMO</v>
      </c>
      <c r="AH133" s="28"/>
      <c r="AI133" s="32" t="s">
        <v>1</v>
      </c>
      <c r="AJ133" s="29" t="str">
        <f t="shared" si="12"/>
        <v>GUARULHOS</v>
      </c>
      <c r="AK133" s="33" t="s">
        <v>13</v>
      </c>
    </row>
    <row r="134" spans="1:37" ht="30" customHeight="1" x14ac:dyDescent="0.2">
      <c r="A134" s="82" t="s">
        <v>101</v>
      </c>
      <c r="B134" s="82">
        <v>2616349012</v>
      </c>
      <c r="C134" s="82" t="s">
        <v>1734</v>
      </c>
      <c r="D134" s="82" t="s">
        <v>53</v>
      </c>
      <c r="E134" s="82" t="s">
        <v>102</v>
      </c>
      <c r="F134" s="82" t="s">
        <v>1154</v>
      </c>
      <c r="G134" s="82">
        <v>84</v>
      </c>
      <c r="H134" s="82" t="s">
        <v>1861</v>
      </c>
      <c r="I134" s="82" t="s">
        <v>237</v>
      </c>
      <c r="J134" s="82" t="s">
        <v>1736</v>
      </c>
      <c r="K134" s="88" t="s">
        <v>1862</v>
      </c>
      <c r="L134" s="82" t="s">
        <v>1253</v>
      </c>
      <c r="M134" s="82" t="s">
        <v>1863</v>
      </c>
      <c r="N134" s="82" t="s">
        <v>1738</v>
      </c>
      <c r="O134" s="36" t="s">
        <v>14</v>
      </c>
      <c r="P134" s="18"/>
      <c r="Q134" s="28" t="s">
        <v>14</v>
      </c>
      <c r="R134" s="18"/>
      <c r="S134" s="28" t="s">
        <v>14</v>
      </c>
      <c r="T134" s="18"/>
      <c r="U134" s="28" t="s">
        <v>14</v>
      </c>
      <c r="V134" s="18"/>
      <c r="W134" s="28" t="s">
        <v>14</v>
      </c>
      <c r="X134" s="18"/>
      <c r="Y134" s="28" t="s">
        <v>14</v>
      </c>
      <c r="Z134" s="18"/>
      <c r="AA134" s="28" t="s">
        <v>14</v>
      </c>
      <c r="AB134" s="18"/>
      <c r="AC134" s="28" t="s">
        <v>14</v>
      </c>
      <c r="AD134" s="18"/>
      <c r="AE134" s="28" t="s">
        <v>14</v>
      </c>
      <c r="AF134" s="25" t="str">
        <f t="shared" ref="AF134:AF181" si="13">IF(AND(O134="",Q134="",S134="",U134="",W134="",Y134="",AA134="",AC134=""),"",IF(OR(AND(O134&lt;&gt;"NA",O134&lt;&gt;"C",O134&lt;&gt;"NC",O134&lt;&gt;"SF",O134&lt;&gt;""),AND(Q134&lt;&gt;"NA",Q134&lt;&gt;"C",Q134&lt;&gt;"NC",Q134&lt;&gt;"SF",Q134&lt;&gt;""),AND(S134&lt;&gt;"NA",S134&lt;&gt;"C",S134&lt;&gt;"NC",S134&lt;&gt;"SF",S134&lt;&gt;""),AND(U134&lt;&gt;"NA",U134&lt;&gt;"C",U134&lt;&gt;"NC",U134&lt;&gt;"SF",U134&lt;&gt;""),AND(W134&lt;&gt;"NA",W134&lt;&gt;"C",W134&lt;&gt;"NC",W134&lt;&gt;"SF",W134&lt;&gt;""),AND(Y134&lt;&gt;"NA",Y134&lt;&gt;"C",Y134&lt;&gt;"NC",Y134&lt;&gt;"SF",Y134&lt;&gt;""),AND(AA134&lt;&gt;"NA",AA134&lt;&gt;"C",AA134&lt;&gt;"NC",AA134&lt;&gt;"SF",AA134&lt;&gt;""),AND(AC134&lt;&gt;"NA",AC134&lt;&gt;"C",AC134&lt;&gt;"NC",AC134&lt;&gt;"SF",AC134&lt;&gt;"")),"FALSO",IF(AND(O134="NA",Q134="NA",S134="NA",U134="NA",W134="NA",Y134="NA",AA134="NA",AC134="NA"),"NA",IF(OR(O134="NC",Q134="NC",S134="NC",U134="NC",W134="NC",Y134="NC",AA134="NC",AC134="NC",O134="SF",Q134="SF",S134="SF",U134="SF",W134="SF",Y134="SF",AA134="SF",AC134="SF"),"NC",IF(OR(O134="C",Q134="C",S134="C",U134="C",W134="C",Y134="C",AA134="C",AC134="C"),"C","")))))</f>
        <v>NA</v>
      </c>
      <c r="AG134" s="59" t="str">
        <f t="shared" ref="AG134:AG180" si="14">IF(AND(AE134="C",AF134="C"),"UTILIZOU O PDA CORRETAMENTE",IF(AND(AE134="C",AF134="NC"),"UTILIZOU O PDA CORRETAMENTE. NÃO HÁ FOTOS DE TODAS AS ETAPAS",IF(AND(AE134="NC",AF134="NC"),"NÃO UTILIZOU O PDA",IF(AND(AE134="NA",AF134="NA"),"NÃO AVALIADO POR FALHA DE SINCRONISMO"))))</f>
        <v>NÃO AVALIADO POR FALHA DE SINCRONISMO</v>
      </c>
      <c r="AH134" s="28" t="s">
        <v>108</v>
      </c>
      <c r="AI134" s="32" t="s">
        <v>1</v>
      </c>
      <c r="AJ134" s="29" t="str">
        <f t="shared" si="12"/>
        <v>GUARULHOS</v>
      </c>
      <c r="AK134" s="33" t="s">
        <v>13</v>
      </c>
    </row>
    <row r="135" spans="1:37" ht="30" customHeight="1" x14ac:dyDescent="0.2">
      <c r="A135" s="82" t="s">
        <v>101</v>
      </c>
      <c r="B135" s="82">
        <v>2616350148</v>
      </c>
      <c r="C135" s="82" t="s">
        <v>1734</v>
      </c>
      <c r="D135" s="82" t="s">
        <v>53</v>
      </c>
      <c r="E135" s="82" t="s">
        <v>102</v>
      </c>
      <c r="F135" s="82" t="s">
        <v>1154</v>
      </c>
      <c r="G135" s="82">
        <v>75</v>
      </c>
      <c r="H135" s="82" t="s">
        <v>148</v>
      </c>
      <c r="I135" s="82" t="s">
        <v>237</v>
      </c>
      <c r="J135" s="82" t="s">
        <v>1736</v>
      </c>
      <c r="K135" s="88" t="s">
        <v>1862</v>
      </c>
      <c r="L135" s="82" t="s">
        <v>1253</v>
      </c>
      <c r="M135" s="82" t="s">
        <v>1863</v>
      </c>
      <c r="N135" s="82" t="s">
        <v>1738</v>
      </c>
      <c r="O135" s="36" t="s">
        <v>14</v>
      </c>
      <c r="P135" s="18"/>
      <c r="Q135" s="28" t="s">
        <v>14</v>
      </c>
      <c r="R135" s="18"/>
      <c r="S135" s="28" t="s">
        <v>14</v>
      </c>
      <c r="T135" s="18"/>
      <c r="U135" s="28" t="s">
        <v>14</v>
      </c>
      <c r="V135" s="18"/>
      <c r="W135" s="28" t="s">
        <v>14</v>
      </c>
      <c r="X135" s="18"/>
      <c r="Y135" s="28" t="s">
        <v>14</v>
      </c>
      <c r="Z135" s="18"/>
      <c r="AA135" s="28" t="s">
        <v>14</v>
      </c>
      <c r="AB135" s="18"/>
      <c r="AC135" s="28" t="s">
        <v>14</v>
      </c>
      <c r="AD135" s="18"/>
      <c r="AE135" s="28" t="s">
        <v>14</v>
      </c>
      <c r="AF135" s="25" t="str">
        <f t="shared" si="13"/>
        <v>NA</v>
      </c>
      <c r="AG135" s="59" t="str">
        <f t="shared" si="14"/>
        <v>NÃO AVALIADO POR FALHA DE SINCRONISMO</v>
      </c>
      <c r="AH135" s="28" t="s">
        <v>108</v>
      </c>
      <c r="AI135" s="32" t="s">
        <v>1</v>
      </c>
      <c r="AJ135" s="29" t="str">
        <f t="shared" si="12"/>
        <v>GUARULHOS</v>
      </c>
      <c r="AK135" s="33" t="s">
        <v>13</v>
      </c>
    </row>
    <row r="136" spans="1:37" ht="30" customHeight="1" x14ac:dyDescent="0.2">
      <c r="A136" s="82" t="s">
        <v>101</v>
      </c>
      <c r="B136" s="82">
        <v>2616349954</v>
      </c>
      <c r="C136" s="82" t="s">
        <v>1734</v>
      </c>
      <c r="D136" s="82" t="s">
        <v>53</v>
      </c>
      <c r="E136" s="82" t="s">
        <v>102</v>
      </c>
      <c r="F136" s="82" t="s">
        <v>1154</v>
      </c>
      <c r="G136" s="82">
        <v>72</v>
      </c>
      <c r="H136" s="82" t="s">
        <v>1864</v>
      </c>
      <c r="I136" s="82" t="s">
        <v>237</v>
      </c>
      <c r="J136" s="82" t="s">
        <v>1736</v>
      </c>
      <c r="K136" s="88" t="s">
        <v>1862</v>
      </c>
      <c r="L136" s="82" t="s">
        <v>1253</v>
      </c>
      <c r="M136" s="82" t="s">
        <v>1863</v>
      </c>
      <c r="N136" s="82" t="s">
        <v>1738</v>
      </c>
      <c r="O136" s="36" t="s">
        <v>14</v>
      </c>
      <c r="P136" s="18"/>
      <c r="Q136" s="28" t="s">
        <v>14</v>
      </c>
      <c r="R136" s="18"/>
      <c r="S136" s="28" t="s">
        <v>14</v>
      </c>
      <c r="T136" s="18"/>
      <c r="U136" s="28" t="s">
        <v>14</v>
      </c>
      <c r="V136" s="18"/>
      <c r="W136" s="28" t="s">
        <v>14</v>
      </c>
      <c r="X136" s="18"/>
      <c r="Y136" s="28" t="s">
        <v>14</v>
      </c>
      <c r="Z136" s="18"/>
      <c r="AA136" s="28" t="s">
        <v>14</v>
      </c>
      <c r="AB136" s="18"/>
      <c r="AC136" s="28" t="s">
        <v>14</v>
      </c>
      <c r="AD136" s="18"/>
      <c r="AE136" s="28" t="s">
        <v>14</v>
      </c>
      <c r="AF136" s="25" t="str">
        <f t="shared" si="13"/>
        <v>NA</v>
      </c>
      <c r="AG136" s="59" t="str">
        <f t="shared" si="14"/>
        <v>NÃO AVALIADO POR FALHA DE SINCRONISMO</v>
      </c>
      <c r="AH136" s="28" t="s">
        <v>108</v>
      </c>
      <c r="AI136" s="32" t="s">
        <v>1</v>
      </c>
      <c r="AJ136" s="29" t="str">
        <f t="shared" si="12"/>
        <v>GUARULHOS</v>
      </c>
      <c r="AK136" s="33" t="s">
        <v>13</v>
      </c>
    </row>
    <row r="137" spans="1:37" ht="30" customHeight="1" x14ac:dyDescent="0.2">
      <c r="A137" s="82" t="s">
        <v>101</v>
      </c>
      <c r="B137" s="82">
        <v>2616350354</v>
      </c>
      <c r="C137" s="82" t="s">
        <v>1734</v>
      </c>
      <c r="D137" s="82" t="s">
        <v>53</v>
      </c>
      <c r="E137" s="82" t="s">
        <v>102</v>
      </c>
      <c r="F137" s="82" t="s">
        <v>1154</v>
      </c>
      <c r="G137" s="82">
        <v>67</v>
      </c>
      <c r="H137" s="82" t="s">
        <v>1865</v>
      </c>
      <c r="I137" s="82" t="s">
        <v>237</v>
      </c>
      <c r="J137" s="82" t="s">
        <v>1736</v>
      </c>
      <c r="K137" s="88" t="s">
        <v>1862</v>
      </c>
      <c r="L137" s="82" t="s">
        <v>1253</v>
      </c>
      <c r="M137" s="82" t="s">
        <v>1863</v>
      </c>
      <c r="N137" s="82" t="s">
        <v>1738</v>
      </c>
      <c r="O137" s="36" t="s">
        <v>14</v>
      </c>
      <c r="P137" s="18"/>
      <c r="Q137" s="28" t="s">
        <v>14</v>
      </c>
      <c r="R137" s="18"/>
      <c r="S137" s="28" t="s">
        <v>14</v>
      </c>
      <c r="T137" s="18"/>
      <c r="U137" s="28" t="s">
        <v>14</v>
      </c>
      <c r="V137" s="18"/>
      <c r="W137" s="28" t="s">
        <v>14</v>
      </c>
      <c r="X137" s="18"/>
      <c r="Y137" s="28" t="s">
        <v>14</v>
      </c>
      <c r="Z137" s="18"/>
      <c r="AA137" s="28" t="s">
        <v>14</v>
      </c>
      <c r="AB137" s="18"/>
      <c r="AC137" s="28" t="s">
        <v>14</v>
      </c>
      <c r="AD137" s="18"/>
      <c r="AE137" s="28" t="s">
        <v>14</v>
      </c>
      <c r="AF137" s="25" t="str">
        <f t="shared" si="13"/>
        <v>NA</v>
      </c>
      <c r="AG137" s="59" t="str">
        <f t="shared" si="14"/>
        <v>NÃO AVALIADO POR FALHA DE SINCRONISMO</v>
      </c>
      <c r="AH137" s="28" t="s">
        <v>108</v>
      </c>
      <c r="AI137" s="32" t="s">
        <v>1</v>
      </c>
      <c r="AJ137" s="29" t="str">
        <f t="shared" si="12"/>
        <v>GUARULHOS</v>
      </c>
      <c r="AK137" s="33" t="s">
        <v>13</v>
      </c>
    </row>
    <row r="138" spans="1:37" ht="30" customHeight="1" x14ac:dyDescent="0.2">
      <c r="A138" s="82" t="s">
        <v>101</v>
      </c>
      <c r="B138" s="82">
        <v>2616350688</v>
      </c>
      <c r="C138" s="82" t="s">
        <v>1734</v>
      </c>
      <c r="D138" s="82" t="s">
        <v>53</v>
      </c>
      <c r="E138" s="82" t="s">
        <v>102</v>
      </c>
      <c r="F138" s="82" t="s">
        <v>1154</v>
      </c>
      <c r="G138" s="82">
        <v>60</v>
      </c>
      <c r="H138" s="82" t="s">
        <v>115</v>
      </c>
      <c r="I138" s="82" t="s">
        <v>237</v>
      </c>
      <c r="J138" s="82" t="s">
        <v>1736</v>
      </c>
      <c r="K138" s="88" t="s">
        <v>1862</v>
      </c>
      <c r="L138" s="82" t="s">
        <v>1253</v>
      </c>
      <c r="M138" s="82" t="s">
        <v>1863</v>
      </c>
      <c r="N138" s="82" t="s">
        <v>1738</v>
      </c>
      <c r="O138" s="36" t="s">
        <v>14</v>
      </c>
      <c r="P138" s="18"/>
      <c r="Q138" s="28" t="s">
        <v>14</v>
      </c>
      <c r="R138" s="18"/>
      <c r="S138" s="28" t="s">
        <v>14</v>
      </c>
      <c r="T138" s="18"/>
      <c r="U138" s="28" t="s">
        <v>14</v>
      </c>
      <c r="V138" s="18"/>
      <c r="W138" s="28" t="s">
        <v>14</v>
      </c>
      <c r="X138" s="18"/>
      <c r="Y138" s="28" t="s">
        <v>14</v>
      </c>
      <c r="Z138" s="18"/>
      <c r="AA138" s="28" t="s">
        <v>14</v>
      </c>
      <c r="AB138" s="18"/>
      <c r="AC138" s="28" t="s">
        <v>14</v>
      </c>
      <c r="AD138" s="18"/>
      <c r="AE138" s="28" t="s">
        <v>14</v>
      </c>
      <c r="AF138" s="25" t="str">
        <f t="shared" si="13"/>
        <v>NA</v>
      </c>
      <c r="AG138" s="59" t="str">
        <f t="shared" si="14"/>
        <v>NÃO AVALIADO POR FALHA DE SINCRONISMO</v>
      </c>
      <c r="AH138" s="28" t="s">
        <v>108</v>
      </c>
      <c r="AI138" s="32" t="s">
        <v>1</v>
      </c>
      <c r="AJ138" s="29" t="str">
        <f t="shared" si="12"/>
        <v>GUARULHOS</v>
      </c>
      <c r="AK138" s="33" t="s">
        <v>13</v>
      </c>
    </row>
    <row r="139" spans="1:37" ht="30" customHeight="1" x14ac:dyDescent="0.2">
      <c r="A139" s="82" t="s">
        <v>101</v>
      </c>
      <c r="B139" s="82">
        <v>2616351000</v>
      </c>
      <c r="C139" s="82" t="s">
        <v>1734</v>
      </c>
      <c r="D139" s="82" t="s">
        <v>53</v>
      </c>
      <c r="E139" s="82" t="s">
        <v>102</v>
      </c>
      <c r="F139" s="82" t="s">
        <v>1154</v>
      </c>
      <c r="G139" s="82">
        <v>51</v>
      </c>
      <c r="H139" s="82" t="s">
        <v>1448</v>
      </c>
      <c r="I139" s="82" t="s">
        <v>237</v>
      </c>
      <c r="J139" s="82" t="s">
        <v>1736</v>
      </c>
      <c r="K139" s="88" t="s">
        <v>1866</v>
      </c>
      <c r="L139" s="82" t="s">
        <v>1253</v>
      </c>
      <c r="M139" s="82" t="s">
        <v>1863</v>
      </c>
      <c r="N139" s="82" t="s">
        <v>1738</v>
      </c>
      <c r="O139" s="36" t="s">
        <v>14</v>
      </c>
      <c r="P139" s="18"/>
      <c r="Q139" s="28" t="s">
        <v>14</v>
      </c>
      <c r="R139" s="18"/>
      <c r="S139" s="28" t="s">
        <v>14</v>
      </c>
      <c r="T139" s="18"/>
      <c r="U139" s="28" t="s">
        <v>14</v>
      </c>
      <c r="V139" s="18"/>
      <c r="W139" s="28" t="s">
        <v>14</v>
      </c>
      <c r="X139" s="18"/>
      <c r="Y139" s="28" t="s">
        <v>14</v>
      </c>
      <c r="Z139" s="18"/>
      <c r="AA139" s="28" t="s">
        <v>14</v>
      </c>
      <c r="AB139" s="18"/>
      <c r="AC139" s="28" t="s">
        <v>14</v>
      </c>
      <c r="AD139" s="18"/>
      <c r="AE139" s="28" t="s">
        <v>14</v>
      </c>
      <c r="AF139" s="25" t="str">
        <f t="shared" si="13"/>
        <v>NA</v>
      </c>
      <c r="AG139" s="59" t="str">
        <f t="shared" si="14"/>
        <v>NÃO AVALIADO POR FALHA DE SINCRONISMO</v>
      </c>
      <c r="AH139" s="28" t="s">
        <v>108</v>
      </c>
      <c r="AI139" s="32" t="s">
        <v>1</v>
      </c>
      <c r="AJ139" s="29" t="str">
        <f t="shared" si="12"/>
        <v>GUARULHOS</v>
      </c>
      <c r="AK139" s="33" t="s">
        <v>13</v>
      </c>
    </row>
    <row r="140" spans="1:37" ht="30" customHeight="1" x14ac:dyDescent="0.2">
      <c r="A140" s="82" t="s">
        <v>101</v>
      </c>
      <c r="B140" s="82">
        <v>2616351283</v>
      </c>
      <c r="C140" s="82" t="s">
        <v>1734</v>
      </c>
      <c r="D140" s="82" t="s">
        <v>53</v>
      </c>
      <c r="E140" s="82" t="s">
        <v>102</v>
      </c>
      <c r="F140" s="82" t="s">
        <v>1154</v>
      </c>
      <c r="G140" s="82">
        <v>50</v>
      </c>
      <c r="H140" s="82" t="s">
        <v>1032</v>
      </c>
      <c r="I140" s="82" t="s">
        <v>237</v>
      </c>
      <c r="J140" s="82" t="s">
        <v>1736</v>
      </c>
      <c r="K140" s="88" t="s">
        <v>1862</v>
      </c>
      <c r="L140" s="82" t="s">
        <v>1253</v>
      </c>
      <c r="M140" s="82" t="s">
        <v>1863</v>
      </c>
      <c r="N140" s="82" t="s">
        <v>1738</v>
      </c>
      <c r="O140" s="36" t="s">
        <v>14</v>
      </c>
      <c r="P140" s="18"/>
      <c r="Q140" s="28" t="s">
        <v>14</v>
      </c>
      <c r="R140" s="18"/>
      <c r="S140" s="28" t="s">
        <v>14</v>
      </c>
      <c r="T140" s="18"/>
      <c r="U140" s="28" t="s">
        <v>14</v>
      </c>
      <c r="V140" s="18"/>
      <c r="W140" s="28" t="s">
        <v>14</v>
      </c>
      <c r="X140" s="18"/>
      <c r="Y140" s="28" t="s">
        <v>14</v>
      </c>
      <c r="Z140" s="18"/>
      <c r="AA140" s="28" t="s">
        <v>14</v>
      </c>
      <c r="AB140" s="18"/>
      <c r="AC140" s="28" t="s">
        <v>14</v>
      </c>
      <c r="AD140" s="18"/>
      <c r="AE140" s="28" t="s">
        <v>14</v>
      </c>
      <c r="AF140" s="25" t="str">
        <f t="shared" si="13"/>
        <v>NA</v>
      </c>
      <c r="AG140" s="59" t="str">
        <f t="shared" si="14"/>
        <v>NÃO AVALIADO POR FALHA DE SINCRONISMO</v>
      </c>
      <c r="AH140" s="28" t="s">
        <v>108</v>
      </c>
      <c r="AI140" s="32" t="s">
        <v>1</v>
      </c>
      <c r="AJ140" s="29" t="str">
        <f t="shared" si="12"/>
        <v>GUARULHOS</v>
      </c>
      <c r="AK140" s="33" t="s">
        <v>13</v>
      </c>
    </row>
    <row r="141" spans="1:37" ht="30" customHeight="1" x14ac:dyDescent="0.2">
      <c r="A141" s="82" t="s">
        <v>101</v>
      </c>
      <c r="B141" s="82">
        <v>2616351780</v>
      </c>
      <c r="C141" s="82" t="s">
        <v>1734</v>
      </c>
      <c r="D141" s="82" t="s">
        <v>53</v>
      </c>
      <c r="E141" s="82" t="s">
        <v>102</v>
      </c>
      <c r="F141" s="82" t="s">
        <v>1154</v>
      </c>
      <c r="G141" s="82">
        <v>40</v>
      </c>
      <c r="H141" s="82" t="s">
        <v>1867</v>
      </c>
      <c r="I141" s="82" t="s">
        <v>237</v>
      </c>
      <c r="J141" s="82" t="s">
        <v>1736</v>
      </c>
      <c r="K141" s="88" t="s">
        <v>1862</v>
      </c>
      <c r="L141" s="82" t="s">
        <v>1253</v>
      </c>
      <c r="M141" s="82" t="s">
        <v>1863</v>
      </c>
      <c r="N141" s="82" t="s">
        <v>1738</v>
      </c>
      <c r="O141" s="36" t="s">
        <v>14</v>
      </c>
      <c r="P141" s="18"/>
      <c r="Q141" s="28" t="s">
        <v>14</v>
      </c>
      <c r="R141" s="18"/>
      <c r="S141" s="28" t="s">
        <v>14</v>
      </c>
      <c r="T141" s="18"/>
      <c r="U141" s="28" t="s">
        <v>14</v>
      </c>
      <c r="V141" s="18"/>
      <c r="W141" s="28" t="s">
        <v>14</v>
      </c>
      <c r="X141" s="18"/>
      <c r="Y141" s="28" t="s">
        <v>14</v>
      </c>
      <c r="Z141" s="18"/>
      <c r="AA141" s="28" t="s">
        <v>14</v>
      </c>
      <c r="AB141" s="18"/>
      <c r="AC141" s="28" t="s">
        <v>14</v>
      </c>
      <c r="AD141" s="18"/>
      <c r="AE141" s="28" t="s">
        <v>14</v>
      </c>
      <c r="AF141" s="25" t="str">
        <f t="shared" si="13"/>
        <v>NA</v>
      </c>
      <c r="AG141" s="59" t="str">
        <f t="shared" si="14"/>
        <v>NÃO AVALIADO POR FALHA DE SINCRONISMO</v>
      </c>
      <c r="AH141" s="28" t="s">
        <v>108</v>
      </c>
      <c r="AI141" s="32" t="s">
        <v>1</v>
      </c>
      <c r="AJ141" s="29" t="str">
        <f t="shared" si="12"/>
        <v>GUARULHOS</v>
      </c>
      <c r="AK141" s="33" t="s">
        <v>13</v>
      </c>
    </row>
    <row r="142" spans="1:37" ht="30" customHeight="1" x14ac:dyDescent="0.2">
      <c r="A142" s="82" t="s">
        <v>101</v>
      </c>
      <c r="B142" s="82">
        <v>2616352057</v>
      </c>
      <c r="C142" s="82" t="s">
        <v>1734</v>
      </c>
      <c r="D142" s="82" t="s">
        <v>53</v>
      </c>
      <c r="E142" s="82" t="s">
        <v>102</v>
      </c>
      <c r="F142" s="82" t="s">
        <v>1154</v>
      </c>
      <c r="G142" s="82">
        <v>34</v>
      </c>
      <c r="H142" s="82" t="s">
        <v>1868</v>
      </c>
      <c r="I142" s="82" t="s">
        <v>237</v>
      </c>
      <c r="J142" s="82" t="s">
        <v>1736</v>
      </c>
      <c r="K142" s="88" t="s">
        <v>1869</v>
      </c>
      <c r="L142" s="82" t="s">
        <v>1253</v>
      </c>
      <c r="M142" s="82" t="s">
        <v>1863</v>
      </c>
      <c r="N142" s="82" t="s">
        <v>1738</v>
      </c>
      <c r="O142" s="36" t="s">
        <v>14</v>
      </c>
      <c r="P142" s="18"/>
      <c r="Q142" s="28" t="s">
        <v>14</v>
      </c>
      <c r="R142" s="18"/>
      <c r="S142" s="28" t="s">
        <v>14</v>
      </c>
      <c r="T142" s="18"/>
      <c r="U142" s="28" t="s">
        <v>14</v>
      </c>
      <c r="V142" s="18"/>
      <c r="W142" s="28" t="s">
        <v>14</v>
      </c>
      <c r="X142" s="18"/>
      <c r="Y142" s="28" t="s">
        <v>14</v>
      </c>
      <c r="Z142" s="18"/>
      <c r="AA142" s="28" t="s">
        <v>14</v>
      </c>
      <c r="AB142" s="18"/>
      <c r="AC142" s="28" t="s">
        <v>14</v>
      </c>
      <c r="AD142" s="18"/>
      <c r="AE142" s="28" t="s">
        <v>14</v>
      </c>
      <c r="AF142" s="25" t="str">
        <f t="shared" si="13"/>
        <v>NA</v>
      </c>
      <c r="AG142" s="59" t="str">
        <f t="shared" si="14"/>
        <v>NÃO AVALIADO POR FALHA DE SINCRONISMO</v>
      </c>
      <c r="AH142" s="28" t="s">
        <v>108</v>
      </c>
      <c r="AI142" s="32" t="s">
        <v>1</v>
      </c>
      <c r="AJ142" s="29" t="str">
        <f t="shared" si="12"/>
        <v>GUARULHOS</v>
      </c>
      <c r="AK142" s="33" t="s">
        <v>13</v>
      </c>
    </row>
    <row r="143" spans="1:37" ht="30" customHeight="1" x14ac:dyDescent="0.2">
      <c r="A143" s="82" t="s">
        <v>101</v>
      </c>
      <c r="B143" s="82">
        <v>2616349776</v>
      </c>
      <c r="C143" s="82" t="s">
        <v>1734</v>
      </c>
      <c r="D143" s="82" t="s">
        <v>53</v>
      </c>
      <c r="E143" s="82" t="s">
        <v>102</v>
      </c>
      <c r="F143" s="82" t="s">
        <v>1154</v>
      </c>
      <c r="G143" s="82">
        <v>198</v>
      </c>
      <c r="H143" s="82" t="s">
        <v>1155</v>
      </c>
      <c r="I143" s="82" t="s">
        <v>237</v>
      </c>
      <c r="J143" s="82" t="s">
        <v>1736</v>
      </c>
      <c r="K143" s="88" t="s">
        <v>1862</v>
      </c>
      <c r="L143" s="82" t="s">
        <v>1253</v>
      </c>
      <c r="M143" s="82" t="s">
        <v>1863</v>
      </c>
      <c r="N143" s="82" t="s">
        <v>1738</v>
      </c>
      <c r="O143" s="36" t="s">
        <v>14</v>
      </c>
      <c r="P143" s="18"/>
      <c r="Q143" s="28" t="s">
        <v>14</v>
      </c>
      <c r="R143" s="18"/>
      <c r="S143" s="28" t="s">
        <v>14</v>
      </c>
      <c r="T143" s="18"/>
      <c r="U143" s="28" t="s">
        <v>14</v>
      </c>
      <c r="V143" s="18"/>
      <c r="W143" s="28" t="s">
        <v>14</v>
      </c>
      <c r="X143" s="18"/>
      <c r="Y143" s="28" t="s">
        <v>14</v>
      </c>
      <c r="Z143" s="18"/>
      <c r="AA143" s="28" t="s">
        <v>14</v>
      </c>
      <c r="AB143" s="18"/>
      <c r="AC143" s="28" t="s">
        <v>14</v>
      </c>
      <c r="AD143" s="18"/>
      <c r="AE143" s="28" t="s">
        <v>14</v>
      </c>
      <c r="AF143" s="25" t="str">
        <f t="shared" si="13"/>
        <v>NA</v>
      </c>
      <c r="AG143" s="59" t="str">
        <f t="shared" si="14"/>
        <v>NÃO AVALIADO POR FALHA DE SINCRONISMO</v>
      </c>
      <c r="AH143" s="28" t="s">
        <v>108</v>
      </c>
      <c r="AI143" s="32" t="s">
        <v>1</v>
      </c>
      <c r="AJ143" s="29" t="str">
        <f t="shared" si="12"/>
        <v>GUARULHOS</v>
      </c>
      <c r="AK143" s="33" t="s">
        <v>13</v>
      </c>
    </row>
    <row r="144" spans="1:37" ht="30" customHeight="1" x14ac:dyDescent="0.2">
      <c r="A144" s="82" t="s">
        <v>101</v>
      </c>
      <c r="B144" s="82">
        <v>2616351482</v>
      </c>
      <c r="C144" s="82" t="s">
        <v>1734</v>
      </c>
      <c r="D144" s="82" t="s">
        <v>53</v>
      </c>
      <c r="E144" s="82" t="s">
        <v>102</v>
      </c>
      <c r="F144" s="82" t="s">
        <v>1154</v>
      </c>
      <c r="G144" s="82">
        <v>190</v>
      </c>
      <c r="H144" s="82" t="s">
        <v>117</v>
      </c>
      <c r="I144" s="82" t="s">
        <v>237</v>
      </c>
      <c r="J144" s="82" t="s">
        <v>1736</v>
      </c>
      <c r="K144" s="88" t="s">
        <v>1870</v>
      </c>
      <c r="L144" s="82" t="s">
        <v>1253</v>
      </c>
      <c r="M144" s="82" t="s">
        <v>1863</v>
      </c>
      <c r="N144" s="82" t="s">
        <v>1738</v>
      </c>
      <c r="O144" s="36" t="s">
        <v>14</v>
      </c>
      <c r="P144" s="18"/>
      <c r="Q144" s="28" t="s">
        <v>14</v>
      </c>
      <c r="R144" s="18"/>
      <c r="S144" s="28" t="s">
        <v>14</v>
      </c>
      <c r="T144" s="18"/>
      <c r="U144" s="28" t="s">
        <v>14</v>
      </c>
      <c r="V144" s="18"/>
      <c r="W144" s="28" t="s">
        <v>14</v>
      </c>
      <c r="X144" s="18"/>
      <c r="Y144" s="28" t="s">
        <v>14</v>
      </c>
      <c r="Z144" s="18"/>
      <c r="AA144" s="28" t="s">
        <v>14</v>
      </c>
      <c r="AB144" s="18"/>
      <c r="AC144" s="28" t="s">
        <v>14</v>
      </c>
      <c r="AD144" s="18"/>
      <c r="AE144" s="28" t="s">
        <v>14</v>
      </c>
      <c r="AF144" s="25" t="str">
        <f t="shared" si="13"/>
        <v>NA</v>
      </c>
      <c r="AG144" s="59" t="str">
        <f t="shared" si="14"/>
        <v>NÃO AVALIADO POR FALHA DE SINCRONISMO</v>
      </c>
      <c r="AH144" s="28" t="s">
        <v>108</v>
      </c>
      <c r="AI144" s="32" t="s">
        <v>1</v>
      </c>
      <c r="AJ144" s="29" t="str">
        <f t="shared" si="12"/>
        <v>GUARULHOS</v>
      </c>
      <c r="AK144" s="33" t="s">
        <v>13</v>
      </c>
    </row>
    <row r="145" spans="1:37" ht="30" customHeight="1" x14ac:dyDescent="0.2">
      <c r="A145" s="82" t="s">
        <v>101</v>
      </c>
      <c r="B145" s="82">
        <v>2616350244</v>
      </c>
      <c r="C145" s="82" t="s">
        <v>1734</v>
      </c>
      <c r="D145" s="82" t="s">
        <v>53</v>
      </c>
      <c r="E145" s="82" t="s">
        <v>102</v>
      </c>
      <c r="F145" s="82" t="s">
        <v>1154</v>
      </c>
      <c r="G145" s="82">
        <v>190</v>
      </c>
      <c r="H145" s="82"/>
      <c r="I145" s="82" t="s">
        <v>237</v>
      </c>
      <c r="J145" s="82" t="s">
        <v>1736</v>
      </c>
      <c r="K145" s="88" t="s">
        <v>1870</v>
      </c>
      <c r="L145" s="82" t="s">
        <v>1253</v>
      </c>
      <c r="M145" s="82" t="s">
        <v>1863</v>
      </c>
      <c r="N145" s="82" t="s">
        <v>1738</v>
      </c>
      <c r="O145" s="36" t="s">
        <v>14</v>
      </c>
      <c r="P145" s="18"/>
      <c r="Q145" s="28" t="s">
        <v>14</v>
      </c>
      <c r="R145" s="18"/>
      <c r="S145" s="28" t="s">
        <v>14</v>
      </c>
      <c r="T145" s="18"/>
      <c r="U145" s="28" t="s">
        <v>14</v>
      </c>
      <c r="V145" s="18"/>
      <c r="W145" s="28" t="s">
        <v>14</v>
      </c>
      <c r="X145" s="18"/>
      <c r="Y145" s="28" t="s">
        <v>14</v>
      </c>
      <c r="Z145" s="18"/>
      <c r="AA145" s="28" t="s">
        <v>14</v>
      </c>
      <c r="AB145" s="18"/>
      <c r="AC145" s="28" t="s">
        <v>14</v>
      </c>
      <c r="AD145" s="18"/>
      <c r="AE145" s="28" t="s">
        <v>14</v>
      </c>
      <c r="AF145" s="25" t="str">
        <f t="shared" si="13"/>
        <v>NA</v>
      </c>
      <c r="AG145" s="59" t="str">
        <f t="shared" si="14"/>
        <v>NÃO AVALIADO POR FALHA DE SINCRONISMO</v>
      </c>
      <c r="AH145" s="28" t="s">
        <v>108</v>
      </c>
      <c r="AI145" s="32" t="s">
        <v>1</v>
      </c>
      <c r="AJ145" s="29" t="str">
        <f t="shared" si="12"/>
        <v>GUARULHOS</v>
      </c>
      <c r="AK145" s="33" t="s">
        <v>13</v>
      </c>
    </row>
    <row r="146" spans="1:37" ht="30" customHeight="1" x14ac:dyDescent="0.2">
      <c r="A146" s="82" t="s">
        <v>101</v>
      </c>
      <c r="B146" s="82">
        <v>2616352950</v>
      </c>
      <c r="C146" s="82" t="s">
        <v>1734</v>
      </c>
      <c r="D146" s="82" t="s">
        <v>53</v>
      </c>
      <c r="E146" s="82" t="s">
        <v>102</v>
      </c>
      <c r="F146" s="82" t="s">
        <v>1154</v>
      </c>
      <c r="G146" s="82">
        <v>18</v>
      </c>
      <c r="H146" s="82" t="s">
        <v>117</v>
      </c>
      <c r="I146" s="82" t="s">
        <v>237</v>
      </c>
      <c r="J146" s="82" t="s">
        <v>1736</v>
      </c>
      <c r="K146" s="88" t="s">
        <v>1869</v>
      </c>
      <c r="L146" s="82" t="s">
        <v>1253</v>
      </c>
      <c r="M146" s="82" t="s">
        <v>1863</v>
      </c>
      <c r="N146" s="82" t="s">
        <v>1738</v>
      </c>
      <c r="O146" s="36" t="s">
        <v>14</v>
      </c>
      <c r="P146" s="18"/>
      <c r="Q146" s="28" t="s">
        <v>14</v>
      </c>
      <c r="R146" s="18"/>
      <c r="S146" s="28" t="s">
        <v>14</v>
      </c>
      <c r="T146" s="18"/>
      <c r="U146" s="28" t="s">
        <v>14</v>
      </c>
      <c r="V146" s="18"/>
      <c r="W146" s="28" t="s">
        <v>14</v>
      </c>
      <c r="X146" s="18"/>
      <c r="Y146" s="28" t="s">
        <v>14</v>
      </c>
      <c r="Z146" s="18"/>
      <c r="AA146" s="28" t="s">
        <v>14</v>
      </c>
      <c r="AB146" s="18"/>
      <c r="AC146" s="28" t="s">
        <v>14</v>
      </c>
      <c r="AD146" s="18"/>
      <c r="AE146" s="28" t="s">
        <v>14</v>
      </c>
      <c r="AF146" s="25" t="str">
        <f t="shared" si="13"/>
        <v>NA</v>
      </c>
      <c r="AG146" s="59" t="str">
        <f t="shared" si="14"/>
        <v>NÃO AVALIADO POR FALHA DE SINCRONISMO</v>
      </c>
      <c r="AH146" s="28" t="s">
        <v>108</v>
      </c>
      <c r="AI146" s="32" t="s">
        <v>1</v>
      </c>
      <c r="AJ146" s="29" t="str">
        <f t="shared" si="12"/>
        <v>GUARULHOS</v>
      </c>
      <c r="AK146" s="33" t="s">
        <v>13</v>
      </c>
    </row>
    <row r="147" spans="1:37" ht="30" customHeight="1" x14ac:dyDescent="0.2">
      <c r="A147" s="82" t="s">
        <v>101</v>
      </c>
      <c r="B147" s="82">
        <v>2616352451</v>
      </c>
      <c r="C147" s="82" t="s">
        <v>1734</v>
      </c>
      <c r="D147" s="82" t="s">
        <v>53</v>
      </c>
      <c r="E147" s="82" t="s">
        <v>102</v>
      </c>
      <c r="F147" s="82" t="s">
        <v>1154</v>
      </c>
      <c r="G147" s="82">
        <v>174</v>
      </c>
      <c r="H147" s="82" t="s">
        <v>1871</v>
      </c>
      <c r="I147" s="82" t="s">
        <v>237</v>
      </c>
      <c r="J147" s="82" t="s">
        <v>1736</v>
      </c>
      <c r="K147" s="88" t="s">
        <v>1869</v>
      </c>
      <c r="L147" s="82" t="s">
        <v>1253</v>
      </c>
      <c r="M147" s="82" t="s">
        <v>1863</v>
      </c>
      <c r="N147" s="82" t="s">
        <v>1738</v>
      </c>
      <c r="O147" s="36" t="s">
        <v>14</v>
      </c>
      <c r="P147" s="18"/>
      <c r="Q147" s="28" t="s">
        <v>14</v>
      </c>
      <c r="R147" s="18"/>
      <c r="S147" s="28" t="s">
        <v>14</v>
      </c>
      <c r="T147" s="18"/>
      <c r="U147" s="28" t="s">
        <v>14</v>
      </c>
      <c r="V147" s="18"/>
      <c r="W147" s="28" t="s">
        <v>14</v>
      </c>
      <c r="X147" s="18"/>
      <c r="Y147" s="28" t="s">
        <v>14</v>
      </c>
      <c r="Z147" s="18"/>
      <c r="AA147" s="28" t="s">
        <v>14</v>
      </c>
      <c r="AB147" s="18"/>
      <c r="AC147" s="28" t="s">
        <v>14</v>
      </c>
      <c r="AD147" s="18"/>
      <c r="AE147" s="28" t="s">
        <v>14</v>
      </c>
      <c r="AF147" s="25" t="str">
        <f t="shared" si="13"/>
        <v>NA</v>
      </c>
      <c r="AG147" s="59" t="str">
        <f t="shared" si="14"/>
        <v>NÃO AVALIADO POR FALHA DE SINCRONISMO</v>
      </c>
      <c r="AH147" s="28" t="s">
        <v>108</v>
      </c>
      <c r="AI147" s="32" t="s">
        <v>1</v>
      </c>
      <c r="AJ147" s="29" t="str">
        <f t="shared" si="12"/>
        <v>GUARULHOS</v>
      </c>
      <c r="AK147" s="33" t="s">
        <v>13</v>
      </c>
    </row>
    <row r="148" spans="1:37" ht="30" customHeight="1" x14ac:dyDescent="0.2">
      <c r="A148" s="82" t="s">
        <v>101</v>
      </c>
      <c r="B148" s="82">
        <v>2616354071</v>
      </c>
      <c r="C148" s="82" t="s">
        <v>1734</v>
      </c>
      <c r="D148" s="82" t="s">
        <v>53</v>
      </c>
      <c r="E148" s="82" t="s">
        <v>102</v>
      </c>
      <c r="F148" s="82" t="s">
        <v>1154</v>
      </c>
      <c r="G148" s="82">
        <v>166</v>
      </c>
      <c r="H148" s="82" t="s">
        <v>1872</v>
      </c>
      <c r="I148" s="82" t="s">
        <v>237</v>
      </c>
      <c r="J148" s="82" t="s">
        <v>1736</v>
      </c>
      <c r="K148" s="88" t="s">
        <v>1869</v>
      </c>
      <c r="L148" s="82" t="s">
        <v>1253</v>
      </c>
      <c r="M148" s="82" t="s">
        <v>1863</v>
      </c>
      <c r="N148" s="82" t="s">
        <v>1738</v>
      </c>
      <c r="O148" s="36" t="s">
        <v>14</v>
      </c>
      <c r="P148" s="18"/>
      <c r="Q148" s="28" t="s">
        <v>14</v>
      </c>
      <c r="R148" s="18"/>
      <c r="S148" s="28" t="s">
        <v>14</v>
      </c>
      <c r="T148" s="18"/>
      <c r="U148" s="28" t="s">
        <v>14</v>
      </c>
      <c r="V148" s="18"/>
      <c r="W148" s="28" t="s">
        <v>14</v>
      </c>
      <c r="X148" s="18"/>
      <c r="Y148" s="28" t="s">
        <v>14</v>
      </c>
      <c r="Z148" s="18"/>
      <c r="AA148" s="28" t="s">
        <v>14</v>
      </c>
      <c r="AB148" s="18"/>
      <c r="AC148" s="28" t="s">
        <v>14</v>
      </c>
      <c r="AD148" s="18"/>
      <c r="AE148" s="28" t="s">
        <v>14</v>
      </c>
      <c r="AF148" s="25" t="str">
        <f t="shared" si="13"/>
        <v>NA</v>
      </c>
      <c r="AG148" s="59" t="str">
        <f t="shared" si="14"/>
        <v>NÃO AVALIADO POR FALHA DE SINCRONISMO</v>
      </c>
      <c r="AH148" s="28" t="s">
        <v>108</v>
      </c>
      <c r="AI148" s="32" t="s">
        <v>1</v>
      </c>
      <c r="AJ148" s="29" t="str">
        <f t="shared" si="12"/>
        <v>GUARULHOS</v>
      </c>
      <c r="AK148" s="33" t="s">
        <v>13</v>
      </c>
    </row>
    <row r="149" spans="1:37" ht="30" customHeight="1" x14ac:dyDescent="0.2">
      <c r="A149" s="82" t="s">
        <v>101</v>
      </c>
      <c r="B149" s="82">
        <v>2616356368</v>
      </c>
      <c r="C149" s="82" t="s">
        <v>1734</v>
      </c>
      <c r="D149" s="82" t="s">
        <v>53</v>
      </c>
      <c r="E149" s="82" t="s">
        <v>102</v>
      </c>
      <c r="F149" s="82" t="s">
        <v>1154</v>
      </c>
      <c r="G149" s="82">
        <v>157</v>
      </c>
      <c r="H149" s="82" t="s">
        <v>1873</v>
      </c>
      <c r="I149" s="82" t="s">
        <v>237</v>
      </c>
      <c r="J149" s="82" t="s">
        <v>1736</v>
      </c>
      <c r="K149" s="88" t="s">
        <v>1869</v>
      </c>
      <c r="L149" s="82" t="s">
        <v>1253</v>
      </c>
      <c r="M149" s="82" t="s">
        <v>1863</v>
      </c>
      <c r="N149" s="82" t="s">
        <v>1738</v>
      </c>
      <c r="O149" s="36" t="s">
        <v>14</v>
      </c>
      <c r="P149" s="18"/>
      <c r="Q149" s="28" t="s">
        <v>14</v>
      </c>
      <c r="R149" s="18"/>
      <c r="S149" s="28" t="s">
        <v>14</v>
      </c>
      <c r="T149" s="18"/>
      <c r="U149" s="28" t="s">
        <v>14</v>
      </c>
      <c r="V149" s="18"/>
      <c r="W149" s="28" t="s">
        <v>14</v>
      </c>
      <c r="X149" s="18"/>
      <c r="Y149" s="28" t="s">
        <v>14</v>
      </c>
      <c r="Z149" s="18"/>
      <c r="AA149" s="28" t="s">
        <v>14</v>
      </c>
      <c r="AB149" s="18"/>
      <c r="AC149" s="28" t="s">
        <v>14</v>
      </c>
      <c r="AD149" s="18"/>
      <c r="AE149" s="28" t="s">
        <v>14</v>
      </c>
      <c r="AF149" s="25" t="str">
        <f t="shared" si="13"/>
        <v>NA</v>
      </c>
      <c r="AG149" s="59" t="str">
        <f t="shared" si="14"/>
        <v>NÃO AVALIADO POR FALHA DE SINCRONISMO</v>
      </c>
      <c r="AH149" s="28" t="s">
        <v>108</v>
      </c>
      <c r="AI149" s="32" t="s">
        <v>1</v>
      </c>
      <c r="AJ149" s="29" t="str">
        <f t="shared" si="12"/>
        <v>GUARULHOS</v>
      </c>
      <c r="AK149" s="33" t="s">
        <v>13</v>
      </c>
    </row>
    <row r="150" spans="1:37" ht="30" customHeight="1" x14ac:dyDescent="0.2">
      <c r="A150" s="82" t="s">
        <v>101</v>
      </c>
      <c r="B150" s="82">
        <v>2616355686</v>
      </c>
      <c r="C150" s="82" t="s">
        <v>1734</v>
      </c>
      <c r="D150" s="82" t="s">
        <v>53</v>
      </c>
      <c r="E150" s="82" t="s">
        <v>102</v>
      </c>
      <c r="F150" s="82" t="s">
        <v>1154</v>
      </c>
      <c r="G150" s="82">
        <v>154</v>
      </c>
      <c r="H150" s="82" t="s">
        <v>1874</v>
      </c>
      <c r="I150" s="82" t="s">
        <v>237</v>
      </c>
      <c r="J150" s="82" t="s">
        <v>1736</v>
      </c>
      <c r="K150" s="88" t="s">
        <v>1869</v>
      </c>
      <c r="L150" s="82" t="s">
        <v>1253</v>
      </c>
      <c r="M150" s="82" t="s">
        <v>1863</v>
      </c>
      <c r="N150" s="82" t="s">
        <v>1738</v>
      </c>
      <c r="O150" s="36" t="s">
        <v>14</v>
      </c>
      <c r="P150" s="18"/>
      <c r="Q150" s="28" t="s">
        <v>14</v>
      </c>
      <c r="R150" s="18"/>
      <c r="S150" s="28" t="s">
        <v>14</v>
      </c>
      <c r="T150" s="18"/>
      <c r="U150" s="28" t="s">
        <v>14</v>
      </c>
      <c r="V150" s="18"/>
      <c r="W150" s="28" t="s">
        <v>14</v>
      </c>
      <c r="X150" s="18"/>
      <c r="Y150" s="28" t="s">
        <v>14</v>
      </c>
      <c r="Z150" s="18"/>
      <c r="AA150" s="28" t="s">
        <v>14</v>
      </c>
      <c r="AB150" s="18"/>
      <c r="AC150" s="28" t="s">
        <v>14</v>
      </c>
      <c r="AD150" s="18"/>
      <c r="AE150" s="28" t="s">
        <v>14</v>
      </c>
      <c r="AF150" s="25" t="str">
        <f t="shared" si="13"/>
        <v>NA</v>
      </c>
      <c r="AG150" s="59" t="str">
        <f t="shared" si="14"/>
        <v>NÃO AVALIADO POR FALHA DE SINCRONISMO</v>
      </c>
      <c r="AH150" s="28" t="s">
        <v>108</v>
      </c>
      <c r="AI150" s="32" t="s">
        <v>1</v>
      </c>
      <c r="AJ150" s="29" t="str">
        <f t="shared" si="12"/>
        <v>GUARULHOS</v>
      </c>
      <c r="AK150" s="33" t="s">
        <v>13</v>
      </c>
    </row>
    <row r="151" spans="1:37" ht="30" customHeight="1" x14ac:dyDescent="0.2">
      <c r="A151" s="82" t="s">
        <v>101</v>
      </c>
      <c r="B151" s="82">
        <v>2616355383</v>
      </c>
      <c r="C151" s="82" t="s">
        <v>1734</v>
      </c>
      <c r="D151" s="82" t="s">
        <v>53</v>
      </c>
      <c r="E151" s="82" t="s">
        <v>102</v>
      </c>
      <c r="F151" s="82" t="s">
        <v>1154</v>
      </c>
      <c r="G151" s="82">
        <v>154</v>
      </c>
      <c r="H151" s="82" t="s">
        <v>533</v>
      </c>
      <c r="I151" s="82" t="s">
        <v>237</v>
      </c>
      <c r="J151" s="82" t="s">
        <v>1736</v>
      </c>
      <c r="K151" s="88" t="s">
        <v>1869</v>
      </c>
      <c r="L151" s="82" t="s">
        <v>1253</v>
      </c>
      <c r="M151" s="82" t="s">
        <v>1863</v>
      </c>
      <c r="N151" s="82" t="s">
        <v>1738</v>
      </c>
      <c r="O151" s="36" t="s">
        <v>14</v>
      </c>
      <c r="P151" s="18"/>
      <c r="Q151" s="28" t="s">
        <v>14</v>
      </c>
      <c r="R151" s="18"/>
      <c r="S151" s="28" t="s">
        <v>14</v>
      </c>
      <c r="T151" s="18"/>
      <c r="U151" s="28" t="s">
        <v>14</v>
      </c>
      <c r="V151" s="18"/>
      <c r="W151" s="28" t="s">
        <v>14</v>
      </c>
      <c r="X151" s="18"/>
      <c r="Y151" s="28" t="s">
        <v>14</v>
      </c>
      <c r="Z151" s="18"/>
      <c r="AA151" s="28" t="s">
        <v>14</v>
      </c>
      <c r="AB151" s="18"/>
      <c r="AC151" s="28" t="s">
        <v>14</v>
      </c>
      <c r="AD151" s="18"/>
      <c r="AE151" s="28" t="s">
        <v>14</v>
      </c>
      <c r="AF151" s="25" t="str">
        <f t="shared" si="13"/>
        <v>NA</v>
      </c>
      <c r="AG151" s="59" t="str">
        <f t="shared" si="14"/>
        <v>NÃO AVALIADO POR FALHA DE SINCRONISMO</v>
      </c>
      <c r="AH151" s="28" t="s">
        <v>108</v>
      </c>
      <c r="AI151" s="32" t="s">
        <v>1</v>
      </c>
      <c r="AJ151" s="29" t="str">
        <f t="shared" si="12"/>
        <v>GUARULHOS</v>
      </c>
      <c r="AK151" s="33" t="s">
        <v>13</v>
      </c>
    </row>
    <row r="152" spans="1:37" ht="30" customHeight="1" x14ac:dyDescent="0.2">
      <c r="A152" s="82" t="s">
        <v>101</v>
      </c>
      <c r="B152" s="82">
        <v>2616356812</v>
      </c>
      <c r="C152" s="82" t="s">
        <v>1734</v>
      </c>
      <c r="D152" s="82" t="s">
        <v>53</v>
      </c>
      <c r="E152" s="82" t="s">
        <v>102</v>
      </c>
      <c r="F152" s="82" t="s">
        <v>1154</v>
      </c>
      <c r="G152" s="82">
        <v>151</v>
      </c>
      <c r="H152" s="82" t="s">
        <v>117</v>
      </c>
      <c r="I152" s="82" t="s">
        <v>237</v>
      </c>
      <c r="J152" s="82" t="s">
        <v>1736</v>
      </c>
      <c r="K152" s="88" t="s">
        <v>1869</v>
      </c>
      <c r="L152" s="82" t="s">
        <v>1253</v>
      </c>
      <c r="M152" s="82" t="s">
        <v>1863</v>
      </c>
      <c r="N152" s="82" t="s">
        <v>1738</v>
      </c>
      <c r="O152" s="36" t="s">
        <v>14</v>
      </c>
      <c r="P152" s="18"/>
      <c r="Q152" s="28" t="s">
        <v>14</v>
      </c>
      <c r="R152" s="18"/>
      <c r="S152" s="28" t="s">
        <v>14</v>
      </c>
      <c r="T152" s="18"/>
      <c r="U152" s="28" t="s">
        <v>14</v>
      </c>
      <c r="V152" s="18"/>
      <c r="W152" s="28" t="s">
        <v>14</v>
      </c>
      <c r="X152" s="18"/>
      <c r="Y152" s="28" t="s">
        <v>14</v>
      </c>
      <c r="Z152" s="18"/>
      <c r="AA152" s="28" t="s">
        <v>14</v>
      </c>
      <c r="AB152" s="18"/>
      <c r="AC152" s="28" t="s">
        <v>14</v>
      </c>
      <c r="AD152" s="18"/>
      <c r="AE152" s="28" t="s">
        <v>14</v>
      </c>
      <c r="AF152" s="25" t="str">
        <f t="shared" si="13"/>
        <v>NA</v>
      </c>
      <c r="AG152" s="59" t="str">
        <f t="shared" si="14"/>
        <v>NÃO AVALIADO POR FALHA DE SINCRONISMO</v>
      </c>
      <c r="AH152" s="28" t="s">
        <v>108</v>
      </c>
      <c r="AI152" s="32" t="s">
        <v>1</v>
      </c>
      <c r="AJ152" s="29" t="str">
        <f t="shared" si="12"/>
        <v>GUARULHOS</v>
      </c>
      <c r="AK152" s="33" t="s">
        <v>13</v>
      </c>
    </row>
    <row r="153" spans="1:37" ht="30" customHeight="1" x14ac:dyDescent="0.2">
      <c r="A153" s="82" t="s">
        <v>101</v>
      </c>
      <c r="B153" s="82">
        <v>2616358095</v>
      </c>
      <c r="C153" s="82" t="s">
        <v>1734</v>
      </c>
      <c r="D153" s="82" t="s">
        <v>53</v>
      </c>
      <c r="E153" s="82" t="s">
        <v>102</v>
      </c>
      <c r="F153" s="82" t="s">
        <v>1154</v>
      </c>
      <c r="G153" s="82">
        <v>146</v>
      </c>
      <c r="H153" s="82" t="s">
        <v>1875</v>
      </c>
      <c r="I153" s="82" t="s">
        <v>237</v>
      </c>
      <c r="J153" s="82" t="s">
        <v>1736</v>
      </c>
      <c r="K153" s="88" t="s">
        <v>1869</v>
      </c>
      <c r="L153" s="82" t="s">
        <v>1253</v>
      </c>
      <c r="M153" s="82" t="s">
        <v>1863</v>
      </c>
      <c r="N153" s="82" t="s">
        <v>1738</v>
      </c>
      <c r="O153" s="36" t="s">
        <v>14</v>
      </c>
      <c r="P153" s="18"/>
      <c r="Q153" s="28" t="s">
        <v>14</v>
      </c>
      <c r="R153" s="18"/>
      <c r="S153" s="28" t="s">
        <v>14</v>
      </c>
      <c r="T153" s="18"/>
      <c r="U153" s="28" t="s">
        <v>14</v>
      </c>
      <c r="V153" s="18"/>
      <c r="W153" s="28" t="s">
        <v>14</v>
      </c>
      <c r="X153" s="18"/>
      <c r="Y153" s="28" t="s">
        <v>14</v>
      </c>
      <c r="Z153" s="18"/>
      <c r="AA153" s="28" t="s">
        <v>14</v>
      </c>
      <c r="AB153" s="18"/>
      <c r="AC153" s="28" t="s">
        <v>14</v>
      </c>
      <c r="AD153" s="18"/>
      <c r="AE153" s="28" t="s">
        <v>14</v>
      </c>
      <c r="AF153" s="25" t="str">
        <f t="shared" si="13"/>
        <v>NA</v>
      </c>
      <c r="AG153" s="59" t="str">
        <f t="shared" si="14"/>
        <v>NÃO AVALIADO POR FALHA DE SINCRONISMO</v>
      </c>
      <c r="AH153" s="28" t="s">
        <v>108</v>
      </c>
      <c r="AI153" s="32" t="s">
        <v>1</v>
      </c>
      <c r="AJ153" s="29" t="str">
        <f t="shared" si="12"/>
        <v>GUARULHOS</v>
      </c>
      <c r="AK153" s="33" t="s">
        <v>13</v>
      </c>
    </row>
    <row r="154" spans="1:37" ht="30" customHeight="1" x14ac:dyDescent="0.2">
      <c r="A154" s="82" t="s">
        <v>101</v>
      </c>
      <c r="B154" s="82">
        <v>2616357727</v>
      </c>
      <c r="C154" s="82" t="s">
        <v>1734</v>
      </c>
      <c r="D154" s="82" t="s">
        <v>53</v>
      </c>
      <c r="E154" s="82" t="s">
        <v>102</v>
      </c>
      <c r="F154" s="82" t="s">
        <v>1154</v>
      </c>
      <c r="G154" s="82">
        <v>141</v>
      </c>
      <c r="H154" s="82" t="s">
        <v>117</v>
      </c>
      <c r="I154" s="82" t="s">
        <v>237</v>
      </c>
      <c r="J154" s="82" t="s">
        <v>1736</v>
      </c>
      <c r="K154" s="88" t="s">
        <v>1869</v>
      </c>
      <c r="L154" s="82" t="s">
        <v>1253</v>
      </c>
      <c r="M154" s="82" t="s">
        <v>1863</v>
      </c>
      <c r="N154" s="82" t="s">
        <v>1738</v>
      </c>
      <c r="O154" s="36" t="s">
        <v>14</v>
      </c>
      <c r="P154" s="18"/>
      <c r="Q154" s="28" t="s">
        <v>14</v>
      </c>
      <c r="R154" s="18"/>
      <c r="S154" s="28" t="s">
        <v>14</v>
      </c>
      <c r="T154" s="18"/>
      <c r="U154" s="28" t="s">
        <v>14</v>
      </c>
      <c r="V154" s="18"/>
      <c r="W154" s="28" t="s">
        <v>14</v>
      </c>
      <c r="X154" s="18"/>
      <c r="Y154" s="28" t="s">
        <v>14</v>
      </c>
      <c r="Z154" s="18"/>
      <c r="AA154" s="28" t="s">
        <v>14</v>
      </c>
      <c r="AB154" s="18"/>
      <c r="AC154" s="28" t="s">
        <v>14</v>
      </c>
      <c r="AD154" s="18"/>
      <c r="AE154" s="28" t="s">
        <v>14</v>
      </c>
      <c r="AF154" s="25" t="str">
        <f t="shared" si="13"/>
        <v>NA</v>
      </c>
      <c r="AG154" s="59" t="str">
        <f t="shared" si="14"/>
        <v>NÃO AVALIADO POR FALHA DE SINCRONISMO</v>
      </c>
      <c r="AH154" s="28" t="s">
        <v>108</v>
      </c>
      <c r="AI154" s="32" t="s">
        <v>1</v>
      </c>
      <c r="AJ154" s="29" t="str">
        <f t="shared" si="12"/>
        <v>GUARULHOS</v>
      </c>
      <c r="AK154" s="33" t="s">
        <v>13</v>
      </c>
    </row>
    <row r="155" spans="1:37" ht="30" customHeight="1" x14ac:dyDescent="0.2">
      <c r="A155" s="82" t="s">
        <v>101</v>
      </c>
      <c r="B155" s="82">
        <v>2616358774</v>
      </c>
      <c r="C155" s="82" t="s">
        <v>1734</v>
      </c>
      <c r="D155" s="82" t="s">
        <v>53</v>
      </c>
      <c r="E155" s="82" t="s">
        <v>102</v>
      </c>
      <c r="F155" s="82" t="s">
        <v>1154</v>
      </c>
      <c r="G155" s="82">
        <v>138</v>
      </c>
      <c r="H155" s="82" t="s">
        <v>1525</v>
      </c>
      <c r="I155" s="82" t="s">
        <v>237</v>
      </c>
      <c r="J155" s="82" t="s">
        <v>1736</v>
      </c>
      <c r="K155" s="88" t="s">
        <v>1869</v>
      </c>
      <c r="L155" s="82" t="s">
        <v>1253</v>
      </c>
      <c r="M155" s="82" t="s">
        <v>1863</v>
      </c>
      <c r="N155" s="82" t="s">
        <v>1738</v>
      </c>
      <c r="O155" s="36" t="s">
        <v>14</v>
      </c>
      <c r="P155" s="18"/>
      <c r="Q155" s="28" t="s">
        <v>14</v>
      </c>
      <c r="R155" s="18"/>
      <c r="S155" s="28" t="s">
        <v>14</v>
      </c>
      <c r="T155" s="18"/>
      <c r="U155" s="28" t="s">
        <v>14</v>
      </c>
      <c r="V155" s="18"/>
      <c r="W155" s="28" t="s">
        <v>14</v>
      </c>
      <c r="X155" s="18"/>
      <c r="Y155" s="28" t="s">
        <v>14</v>
      </c>
      <c r="Z155" s="18"/>
      <c r="AA155" s="28" t="s">
        <v>14</v>
      </c>
      <c r="AB155" s="18"/>
      <c r="AC155" s="28" t="s">
        <v>14</v>
      </c>
      <c r="AD155" s="18"/>
      <c r="AE155" s="28" t="s">
        <v>14</v>
      </c>
      <c r="AF155" s="25" t="str">
        <f t="shared" si="13"/>
        <v>NA</v>
      </c>
      <c r="AG155" s="59" t="str">
        <f t="shared" si="14"/>
        <v>NÃO AVALIADO POR FALHA DE SINCRONISMO</v>
      </c>
      <c r="AH155" s="28" t="s">
        <v>108</v>
      </c>
      <c r="AI155" s="32" t="s">
        <v>1</v>
      </c>
      <c r="AJ155" s="29" t="str">
        <f t="shared" si="12"/>
        <v>GUARULHOS</v>
      </c>
      <c r="AK155" s="33" t="s">
        <v>13</v>
      </c>
    </row>
    <row r="156" spans="1:37" ht="30" customHeight="1" x14ac:dyDescent="0.2">
      <c r="A156" s="82" t="s">
        <v>101</v>
      </c>
      <c r="B156" s="82">
        <v>2616358631</v>
      </c>
      <c r="C156" s="82" t="s">
        <v>1734</v>
      </c>
      <c r="D156" s="82" t="s">
        <v>53</v>
      </c>
      <c r="E156" s="82" t="s">
        <v>102</v>
      </c>
      <c r="F156" s="82" t="s">
        <v>1154</v>
      </c>
      <c r="G156" s="82">
        <v>131</v>
      </c>
      <c r="H156" s="82" t="s">
        <v>1876</v>
      </c>
      <c r="I156" s="82" t="s">
        <v>237</v>
      </c>
      <c r="J156" s="82" t="s">
        <v>1736</v>
      </c>
      <c r="K156" s="88" t="s">
        <v>1869</v>
      </c>
      <c r="L156" s="82" t="s">
        <v>1253</v>
      </c>
      <c r="M156" s="82" t="s">
        <v>1863</v>
      </c>
      <c r="N156" s="82" t="s">
        <v>1738</v>
      </c>
      <c r="O156" s="36" t="s">
        <v>14</v>
      </c>
      <c r="P156" s="18"/>
      <c r="Q156" s="28" t="s">
        <v>14</v>
      </c>
      <c r="R156" s="18"/>
      <c r="S156" s="28" t="s">
        <v>14</v>
      </c>
      <c r="T156" s="18"/>
      <c r="U156" s="28" t="s">
        <v>14</v>
      </c>
      <c r="V156" s="18"/>
      <c r="W156" s="28" t="s">
        <v>14</v>
      </c>
      <c r="X156" s="18"/>
      <c r="Y156" s="28" t="s">
        <v>14</v>
      </c>
      <c r="Z156" s="18"/>
      <c r="AA156" s="28" t="s">
        <v>14</v>
      </c>
      <c r="AB156" s="18"/>
      <c r="AC156" s="28" t="s">
        <v>14</v>
      </c>
      <c r="AD156" s="18"/>
      <c r="AE156" s="28" t="s">
        <v>14</v>
      </c>
      <c r="AF156" s="25" t="str">
        <f t="shared" si="13"/>
        <v>NA</v>
      </c>
      <c r="AG156" s="59" t="str">
        <f t="shared" si="14"/>
        <v>NÃO AVALIADO POR FALHA DE SINCRONISMO</v>
      </c>
      <c r="AH156" s="28" t="s">
        <v>108</v>
      </c>
      <c r="AI156" s="32" t="s">
        <v>1</v>
      </c>
      <c r="AJ156" s="29" t="str">
        <f t="shared" si="12"/>
        <v>GUARULHOS</v>
      </c>
      <c r="AK156" s="33" t="s">
        <v>13</v>
      </c>
    </row>
    <row r="157" spans="1:37" ht="30" customHeight="1" x14ac:dyDescent="0.2">
      <c r="A157" s="82" t="s">
        <v>101</v>
      </c>
      <c r="B157" s="82">
        <v>2617163895</v>
      </c>
      <c r="C157" s="82" t="s">
        <v>1734</v>
      </c>
      <c r="D157" s="82" t="s">
        <v>53</v>
      </c>
      <c r="E157" s="82" t="s">
        <v>102</v>
      </c>
      <c r="F157" s="82" t="s">
        <v>1878</v>
      </c>
      <c r="G157" s="82">
        <v>31</v>
      </c>
      <c r="H157" s="82" t="s">
        <v>1879</v>
      </c>
      <c r="I157" s="82" t="s">
        <v>237</v>
      </c>
      <c r="J157" s="82" t="s">
        <v>1736</v>
      </c>
      <c r="K157" s="88" t="s">
        <v>1880</v>
      </c>
      <c r="L157" s="82" t="s">
        <v>1426</v>
      </c>
      <c r="M157" s="82" t="s">
        <v>1877</v>
      </c>
      <c r="N157" s="82" t="s">
        <v>1760</v>
      </c>
      <c r="O157" s="36" t="s">
        <v>14</v>
      </c>
      <c r="P157" s="18"/>
      <c r="Q157" s="28" t="s">
        <v>14</v>
      </c>
      <c r="R157" s="18"/>
      <c r="S157" s="28" t="s">
        <v>14</v>
      </c>
      <c r="T157" s="18"/>
      <c r="U157" s="28" t="s">
        <v>14</v>
      </c>
      <c r="V157" s="18"/>
      <c r="W157" s="28" t="s">
        <v>14</v>
      </c>
      <c r="X157" s="18"/>
      <c r="Y157" s="28" t="s">
        <v>14</v>
      </c>
      <c r="Z157" s="18"/>
      <c r="AA157" s="28" t="s">
        <v>14</v>
      </c>
      <c r="AB157" s="18"/>
      <c r="AC157" s="28" t="s">
        <v>14</v>
      </c>
      <c r="AD157" s="18"/>
      <c r="AE157" s="28" t="s">
        <v>14</v>
      </c>
      <c r="AF157" s="25" t="str">
        <f t="shared" si="13"/>
        <v>NA</v>
      </c>
      <c r="AG157" s="59" t="str">
        <f t="shared" si="14"/>
        <v>NÃO AVALIADO POR FALHA DE SINCRONISMO</v>
      </c>
      <c r="AH157" s="28" t="s">
        <v>108</v>
      </c>
      <c r="AI157" s="32" t="s">
        <v>1</v>
      </c>
      <c r="AJ157" s="29" t="str">
        <f t="shared" ref="AJ157:AJ209" si="15">E157</f>
        <v>GUARULHOS</v>
      </c>
      <c r="AK157" s="33" t="s">
        <v>13</v>
      </c>
    </row>
    <row r="158" spans="1:37" ht="30" customHeight="1" x14ac:dyDescent="0.2">
      <c r="A158" s="82" t="s">
        <v>101</v>
      </c>
      <c r="B158" s="82">
        <v>2617163466</v>
      </c>
      <c r="C158" s="82" t="s">
        <v>1734</v>
      </c>
      <c r="D158" s="82" t="s">
        <v>53</v>
      </c>
      <c r="E158" s="82" t="s">
        <v>102</v>
      </c>
      <c r="F158" s="82" t="s">
        <v>1878</v>
      </c>
      <c r="G158" s="82">
        <v>24</v>
      </c>
      <c r="H158" s="82" t="s">
        <v>174</v>
      </c>
      <c r="I158" s="82" t="s">
        <v>237</v>
      </c>
      <c r="J158" s="82" t="s">
        <v>1736</v>
      </c>
      <c r="K158" s="88" t="s">
        <v>1880</v>
      </c>
      <c r="L158" s="82" t="s">
        <v>1426</v>
      </c>
      <c r="M158" s="82" t="s">
        <v>1877</v>
      </c>
      <c r="N158" s="82" t="s">
        <v>1760</v>
      </c>
      <c r="O158" s="36" t="s">
        <v>14</v>
      </c>
      <c r="P158" s="18"/>
      <c r="Q158" s="28" t="s">
        <v>14</v>
      </c>
      <c r="R158" s="18"/>
      <c r="S158" s="28" t="s">
        <v>14</v>
      </c>
      <c r="T158" s="18"/>
      <c r="U158" s="28" t="s">
        <v>14</v>
      </c>
      <c r="V158" s="18"/>
      <c r="W158" s="28" t="s">
        <v>14</v>
      </c>
      <c r="X158" s="18"/>
      <c r="Y158" s="28" t="s">
        <v>14</v>
      </c>
      <c r="Z158" s="18"/>
      <c r="AA158" s="28" t="s">
        <v>14</v>
      </c>
      <c r="AB158" s="18"/>
      <c r="AC158" s="28" t="s">
        <v>14</v>
      </c>
      <c r="AD158" s="18"/>
      <c r="AE158" s="28" t="s">
        <v>14</v>
      </c>
      <c r="AF158" s="25" t="str">
        <f t="shared" si="13"/>
        <v>NA</v>
      </c>
      <c r="AG158" s="59" t="str">
        <f t="shared" si="14"/>
        <v>NÃO AVALIADO POR FALHA DE SINCRONISMO</v>
      </c>
      <c r="AH158" s="28" t="s">
        <v>108</v>
      </c>
      <c r="AI158" s="32" t="s">
        <v>1</v>
      </c>
      <c r="AJ158" s="29" t="str">
        <f t="shared" si="15"/>
        <v>GUARULHOS</v>
      </c>
      <c r="AK158" s="33" t="s">
        <v>13</v>
      </c>
    </row>
    <row r="159" spans="1:37" ht="30" customHeight="1" x14ac:dyDescent="0.2">
      <c r="A159" s="82" t="s">
        <v>101</v>
      </c>
      <c r="B159" s="82">
        <v>2617163725</v>
      </c>
      <c r="C159" s="82" t="s">
        <v>1734</v>
      </c>
      <c r="D159" s="82" t="s">
        <v>53</v>
      </c>
      <c r="E159" s="82" t="s">
        <v>102</v>
      </c>
      <c r="F159" s="82" t="s">
        <v>1878</v>
      </c>
      <c r="G159" s="82">
        <v>21</v>
      </c>
      <c r="H159" s="82"/>
      <c r="I159" s="82" t="s">
        <v>237</v>
      </c>
      <c r="J159" s="82" t="s">
        <v>1736</v>
      </c>
      <c r="K159" s="88" t="s">
        <v>1880</v>
      </c>
      <c r="L159" s="82" t="s">
        <v>1426</v>
      </c>
      <c r="M159" s="82" t="s">
        <v>1877</v>
      </c>
      <c r="N159" s="82" t="s">
        <v>1760</v>
      </c>
      <c r="O159" s="36" t="s">
        <v>14</v>
      </c>
      <c r="P159" s="18"/>
      <c r="Q159" s="28" t="s">
        <v>14</v>
      </c>
      <c r="R159" s="18"/>
      <c r="S159" s="28" t="s">
        <v>14</v>
      </c>
      <c r="T159" s="18"/>
      <c r="U159" s="28" t="s">
        <v>14</v>
      </c>
      <c r="V159" s="18"/>
      <c r="W159" s="28" t="s">
        <v>14</v>
      </c>
      <c r="X159" s="18"/>
      <c r="Y159" s="28" t="s">
        <v>14</v>
      </c>
      <c r="Z159" s="18"/>
      <c r="AA159" s="28" t="s">
        <v>14</v>
      </c>
      <c r="AB159" s="18"/>
      <c r="AC159" s="28" t="s">
        <v>14</v>
      </c>
      <c r="AD159" s="18"/>
      <c r="AE159" s="28" t="s">
        <v>14</v>
      </c>
      <c r="AF159" s="25" t="str">
        <f t="shared" si="13"/>
        <v>NA</v>
      </c>
      <c r="AG159" s="59" t="str">
        <f t="shared" si="14"/>
        <v>NÃO AVALIADO POR FALHA DE SINCRONISMO</v>
      </c>
      <c r="AH159" s="28" t="s">
        <v>108</v>
      </c>
      <c r="AI159" s="32" t="s">
        <v>1</v>
      </c>
      <c r="AJ159" s="29" t="str">
        <f t="shared" si="15"/>
        <v>GUARULHOS</v>
      </c>
      <c r="AK159" s="33" t="s">
        <v>13</v>
      </c>
    </row>
    <row r="160" spans="1:37" ht="30" customHeight="1" x14ac:dyDescent="0.2">
      <c r="A160" s="82" t="s">
        <v>101</v>
      </c>
      <c r="B160" s="82">
        <v>2617163381</v>
      </c>
      <c r="C160" s="82" t="s">
        <v>1734</v>
      </c>
      <c r="D160" s="82" t="s">
        <v>53</v>
      </c>
      <c r="E160" s="82" t="s">
        <v>102</v>
      </c>
      <c r="F160" s="82" t="s">
        <v>1878</v>
      </c>
      <c r="G160" s="82">
        <v>177</v>
      </c>
      <c r="H160" s="82" t="s">
        <v>404</v>
      </c>
      <c r="I160" s="82" t="s">
        <v>237</v>
      </c>
      <c r="J160" s="82" t="s">
        <v>1736</v>
      </c>
      <c r="K160" s="88" t="s">
        <v>1880</v>
      </c>
      <c r="L160" s="82" t="s">
        <v>1426</v>
      </c>
      <c r="M160" s="82" t="s">
        <v>1877</v>
      </c>
      <c r="N160" s="82" t="s">
        <v>1760</v>
      </c>
      <c r="O160" s="36" t="s">
        <v>14</v>
      </c>
      <c r="P160" s="18"/>
      <c r="Q160" s="28" t="s">
        <v>14</v>
      </c>
      <c r="R160" s="18"/>
      <c r="S160" s="28" t="s">
        <v>14</v>
      </c>
      <c r="T160" s="18"/>
      <c r="U160" s="28" t="s">
        <v>14</v>
      </c>
      <c r="V160" s="18"/>
      <c r="W160" s="28" t="s">
        <v>14</v>
      </c>
      <c r="X160" s="18"/>
      <c r="Y160" s="28" t="s">
        <v>14</v>
      </c>
      <c r="Z160" s="18"/>
      <c r="AA160" s="28" t="s">
        <v>14</v>
      </c>
      <c r="AB160" s="18"/>
      <c r="AC160" s="28" t="s">
        <v>14</v>
      </c>
      <c r="AD160" s="18"/>
      <c r="AE160" s="28" t="s">
        <v>14</v>
      </c>
      <c r="AF160" s="25" t="str">
        <f t="shared" si="13"/>
        <v>NA</v>
      </c>
      <c r="AG160" s="59" t="str">
        <f t="shared" si="14"/>
        <v>NÃO AVALIADO POR FALHA DE SINCRONISMO</v>
      </c>
      <c r="AH160" s="28" t="s">
        <v>108</v>
      </c>
      <c r="AI160" s="32" t="s">
        <v>1</v>
      </c>
      <c r="AJ160" s="29" t="str">
        <f t="shared" si="15"/>
        <v>GUARULHOS</v>
      </c>
      <c r="AK160" s="33" t="s">
        <v>13</v>
      </c>
    </row>
    <row r="161" spans="1:37" ht="30" customHeight="1" x14ac:dyDescent="0.2">
      <c r="A161" s="82" t="s">
        <v>101</v>
      </c>
      <c r="B161" s="82">
        <v>2617162670</v>
      </c>
      <c r="C161" s="82" t="s">
        <v>1734</v>
      </c>
      <c r="D161" s="82" t="s">
        <v>53</v>
      </c>
      <c r="E161" s="82" t="s">
        <v>102</v>
      </c>
      <c r="F161" s="82" t="s">
        <v>1878</v>
      </c>
      <c r="G161" s="82">
        <v>166</v>
      </c>
      <c r="H161" s="82" t="s">
        <v>1881</v>
      </c>
      <c r="I161" s="82" t="s">
        <v>237</v>
      </c>
      <c r="J161" s="82" t="s">
        <v>1736</v>
      </c>
      <c r="K161" s="88" t="s">
        <v>1880</v>
      </c>
      <c r="L161" s="82" t="s">
        <v>1426</v>
      </c>
      <c r="M161" s="82" t="s">
        <v>1877</v>
      </c>
      <c r="N161" s="82" t="s">
        <v>1760</v>
      </c>
      <c r="O161" s="36" t="s">
        <v>14</v>
      </c>
      <c r="P161" s="18"/>
      <c r="Q161" s="28" t="s">
        <v>14</v>
      </c>
      <c r="R161" s="18"/>
      <c r="S161" s="28" t="s">
        <v>14</v>
      </c>
      <c r="T161" s="18"/>
      <c r="U161" s="28" t="s">
        <v>14</v>
      </c>
      <c r="V161" s="18"/>
      <c r="W161" s="28" t="s">
        <v>14</v>
      </c>
      <c r="X161" s="18"/>
      <c r="Y161" s="28" t="s">
        <v>14</v>
      </c>
      <c r="Z161" s="18"/>
      <c r="AA161" s="28" t="s">
        <v>14</v>
      </c>
      <c r="AB161" s="18"/>
      <c r="AC161" s="28" t="s">
        <v>14</v>
      </c>
      <c r="AD161" s="18"/>
      <c r="AE161" s="28" t="s">
        <v>14</v>
      </c>
      <c r="AF161" s="25" t="str">
        <f t="shared" si="13"/>
        <v>NA</v>
      </c>
      <c r="AG161" s="59" t="str">
        <f t="shared" si="14"/>
        <v>NÃO AVALIADO POR FALHA DE SINCRONISMO</v>
      </c>
      <c r="AH161" s="28" t="s">
        <v>108</v>
      </c>
      <c r="AI161" s="32" t="s">
        <v>1</v>
      </c>
      <c r="AJ161" s="29" t="str">
        <f t="shared" si="15"/>
        <v>GUARULHOS</v>
      </c>
      <c r="AK161" s="33" t="s">
        <v>13</v>
      </c>
    </row>
    <row r="162" spans="1:37" ht="30" customHeight="1" x14ac:dyDescent="0.2">
      <c r="A162" s="82" t="s">
        <v>101</v>
      </c>
      <c r="B162" s="82">
        <v>2617162902</v>
      </c>
      <c r="C162" s="82" t="s">
        <v>1734</v>
      </c>
      <c r="D162" s="82" t="s">
        <v>53</v>
      </c>
      <c r="E162" s="82" t="s">
        <v>102</v>
      </c>
      <c r="F162" s="82" t="s">
        <v>1878</v>
      </c>
      <c r="G162" s="82">
        <v>160</v>
      </c>
      <c r="H162" s="82" t="s">
        <v>117</v>
      </c>
      <c r="I162" s="82" t="s">
        <v>237</v>
      </c>
      <c r="J162" s="82" t="s">
        <v>1736</v>
      </c>
      <c r="K162" s="88" t="s">
        <v>1880</v>
      </c>
      <c r="L162" s="82" t="s">
        <v>1426</v>
      </c>
      <c r="M162" s="82" t="s">
        <v>1877</v>
      </c>
      <c r="N162" s="82" t="s">
        <v>1760</v>
      </c>
      <c r="O162" s="36" t="s">
        <v>14</v>
      </c>
      <c r="P162" s="18"/>
      <c r="Q162" s="28" t="s">
        <v>14</v>
      </c>
      <c r="R162" s="18"/>
      <c r="S162" s="28" t="s">
        <v>14</v>
      </c>
      <c r="T162" s="18"/>
      <c r="U162" s="28" t="s">
        <v>14</v>
      </c>
      <c r="V162" s="18"/>
      <c r="W162" s="28" t="s">
        <v>14</v>
      </c>
      <c r="X162" s="18"/>
      <c r="Y162" s="28" t="s">
        <v>14</v>
      </c>
      <c r="Z162" s="18"/>
      <c r="AA162" s="28" t="s">
        <v>14</v>
      </c>
      <c r="AB162" s="18"/>
      <c r="AC162" s="28" t="s">
        <v>14</v>
      </c>
      <c r="AD162" s="18"/>
      <c r="AE162" s="28" t="s">
        <v>14</v>
      </c>
      <c r="AF162" s="25" t="str">
        <f t="shared" si="13"/>
        <v>NA</v>
      </c>
      <c r="AG162" s="59" t="str">
        <f t="shared" si="14"/>
        <v>NÃO AVALIADO POR FALHA DE SINCRONISMO</v>
      </c>
      <c r="AH162" s="28" t="s">
        <v>108</v>
      </c>
      <c r="AI162" s="32" t="s">
        <v>1</v>
      </c>
      <c r="AJ162" s="29" t="str">
        <f t="shared" si="15"/>
        <v>GUARULHOS</v>
      </c>
      <c r="AK162" s="33" t="s">
        <v>13</v>
      </c>
    </row>
    <row r="163" spans="1:37" ht="30" customHeight="1" x14ac:dyDescent="0.2">
      <c r="A163" s="82" t="s">
        <v>101</v>
      </c>
      <c r="B163" s="82">
        <v>2617163236</v>
      </c>
      <c r="C163" s="82" t="s">
        <v>1734</v>
      </c>
      <c r="D163" s="82" t="s">
        <v>53</v>
      </c>
      <c r="E163" s="82" t="s">
        <v>102</v>
      </c>
      <c r="F163" s="82" t="s">
        <v>1878</v>
      </c>
      <c r="G163" s="82">
        <v>159</v>
      </c>
      <c r="H163" s="82" t="s">
        <v>1882</v>
      </c>
      <c r="I163" s="82" t="s">
        <v>237</v>
      </c>
      <c r="J163" s="82" t="s">
        <v>1736</v>
      </c>
      <c r="K163" s="88" t="s">
        <v>1880</v>
      </c>
      <c r="L163" s="82" t="s">
        <v>1426</v>
      </c>
      <c r="M163" s="82" t="s">
        <v>1877</v>
      </c>
      <c r="N163" s="82" t="s">
        <v>1760</v>
      </c>
      <c r="O163" s="36" t="s">
        <v>14</v>
      </c>
      <c r="P163" s="18"/>
      <c r="Q163" s="28" t="s">
        <v>14</v>
      </c>
      <c r="R163" s="18"/>
      <c r="S163" s="28" t="s">
        <v>14</v>
      </c>
      <c r="T163" s="18"/>
      <c r="U163" s="28" t="s">
        <v>14</v>
      </c>
      <c r="V163" s="18"/>
      <c r="W163" s="28" t="s">
        <v>14</v>
      </c>
      <c r="X163" s="18"/>
      <c r="Y163" s="28" t="s">
        <v>14</v>
      </c>
      <c r="Z163" s="18"/>
      <c r="AA163" s="28" t="s">
        <v>14</v>
      </c>
      <c r="AB163" s="18"/>
      <c r="AC163" s="28" t="s">
        <v>14</v>
      </c>
      <c r="AD163" s="18"/>
      <c r="AE163" s="28" t="s">
        <v>14</v>
      </c>
      <c r="AF163" s="25" t="str">
        <f t="shared" si="13"/>
        <v>NA</v>
      </c>
      <c r="AG163" s="59" t="str">
        <f t="shared" si="14"/>
        <v>NÃO AVALIADO POR FALHA DE SINCRONISMO</v>
      </c>
      <c r="AH163" s="28" t="s">
        <v>108</v>
      </c>
      <c r="AI163" s="32" t="s">
        <v>1</v>
      </c>
      <c r="AJ163" s="29" t="str">
        <f t="shared" si="15"/>
        <v>GUARULHOS</v>
      </c>
      <c r="AK163" s="33" t="s">
        <v>13</v>
      </c>
    </row>
    <row r="164" spans="1:37" ht="30" customHeight="1" x14ac:dyDescent="0.2">
      <c r="A164" s="82" t="s">
        <v>101</v>
      </c>
      <c r="B164" s="82">
        <v>2617163124</v>
      </c>
      <c r="C164" s="82" t="s">
        <v>1734</v>
      </c>
      <c r="D164" s="82" t="s">
        <v>53</v>
      </c>
      <c r="E164" s="82" t="s">
        <v>102</v>
      </c>
      <c r="F164" s="82" t="s">
        <v>1878</v>
      </c>
      <c r="G164" s="82">
        <v>152</v>
      </c>
      <c r="H164" s="82" t="s">
        <v>1883</v>
      </c>
      <c r="I164" s="82" t="s">
        <v>237</v>
      </c>
      <c r="J164" s="82" t="s">
        <v>1736</v>
      </c>
      <c r="K164" s="88" t="s">
        <v>1880</v>
      </c>
      <c r="L164" s="82" t="s">
        <v>1426</v>
      </c>
      <c r="M164" s="82" t="s">
        <v>1877</v>
      </c>
      <c r="N164" s="82" t="s">
        <v>1760</v>
      </c>
      <c r="O164" s="36" t="s">
        <v>14</v>
      </c>
      <c r="P164" s="18"/>
      <c r="Q164" s="28" t="s">
        <v>14</v>
      </c>
      <c r="R164" s="18"/>
      <c r="S164" s="28" t="s">
        <v>14</v>
      </c>
      <c r="T164" s="18"/>
      <c r="U164" s="28" t="s">
        <v>14</v>
      </c>
      <c r="V164" s="18"/>
      <c r="W164" s="28" t="s">
        <v>14</v>
      </c>
      <c r="X164" s="18"/>
      <c r="Y164" s="28" t="s">
        <v>14</v>
      </c>
      <c r="Z164" s="18"/>
      <c r="AA164" s="28" t="s">
        <v>14</v>
      </c>
      <c r="AB164" s="18"/>
      <c r="AC164" s="28" t="s">
        <v>14</v>
      </c>
      <c r="AD164" s="18"/>
      <c r="AE164" s="28" t="s">
        <v>14</v>
      </c>
      <c r="AF164" s="25" t="str">
        <f t="shared" si="13"/>
        <v>NA</v>
      </c>
      <c r="AG164" s="59" t="str">
        <f t="shared" si="14"/>
        <v>NÃO AVALIADO POR FALHA DE SINCRONISMO</v>
      </c>
      <c r="AH164" s="28" t="s">
        <v>108</v>
      </c>
      <c r="AI164" s="32" t="s">
        <v>1</v>
      </c>
      <c r="AJ164" s="29" t="str">
        <f t="shared" si="15"/>
        <v>GUARULHOS</v>
      </c>
      <c r="AK164" s="33" t="s">
        <v>13</v>
      </c>
    </row>
    <row r="165" spans="1:37" ht="30" customHeight="1" x14ac:dyDescent="0.2">
      <c r="A165" s="82" t="s">
        <v>101</v>
      </c>
      <c r="B165" s="82">
        <v>2617163583</v>
      </c>
      <c r="C165" s="82" t="s">
        <v>1734</v>
      </c>
      <c r="D165" s="82" t="s">
        <v>53</v>
      </c>
      <c r="E165" s="82" t="s">
        <v>102</v>
      </c>
      <c r="F165" s="82" t="s">
        <v>1878</v>
      </c>
      <c r="G165" s="82">
        <v>15</v>
      </c>
      <c r="H165" s="82"/>
      <c r="I165" s="82" t="s">
        <v>237</v>
      </c>
      <c r="J165" s="82" t="s">
        <v>1736</v>
      </c>
      <c r="K165" s="88" t="s">
        <v>1880</v>
      </c>
      <c r="L165" s="82" t="s">
        <v>1426</v>
      </c>
      <c r="M165" s="82" t="s">
        <v>1877</v>
      </c>
      <c r="N165" s="82" t="s">
        <v>1760</v>
      </c>
      <c r="O165" s="36" t="s">
        <v>14</v>
      </c>
      <c r="P165" s="18"/>
      <c r="Q165" s="28" t="s">
        <v>14</v>
      </c>
      <c r="R165" s="18"/>
      <c r="S165" s="28" t="s">
        <v>14</v>
      </c>
      <c r="T165" s="18"/>
      <c r="U165" s="28" t="s">
        <v>14</v>
      </c>
      <c r="V165" s="18"/>
      <c r="W165" s="28" t="s">
        <v>14</v>
      </c>
      <c r="X165" s="18"/>
      <c r="Y165" s="28" t="s">
        <v>14</v>
      </c>
      <c r="Z165" s="18"/>
      <c r="AA165" s="28" t="s">
        <v>14</v>
      </c>
      <c r="AB165" s="18"/>
      <c r="AC165" s="28" t="s">
        <v>14</v>
      </c>
      <c r="AD165" s="18"/>
      <c r="AE165" s="28" t="s">
        <v>14</v>
      </c>
      <c r="AF165" s="25" t="str">
        <f t="shared" si="13"/>
        <v>NA</v>
      </c>
      <c r="AG165" s="59" t="str">
        <f t="shared" si="14"/>
        <v>NÃO AVALIADO POR FALHA DE SINCRONISMO</v>
      </c>
      <c r="AH165" s="28" t="s">
        <v>108</v>
      </c>
      <c r="AI165" s="32" t="s">
        <v>1</v>
      </c>
      <c r="AJ165" s="29" t="str">
        <f t="shared" si="15"/>
        <v>GUARULHOS</v>
      </c>
      <c r="AK165" s="33" t="s">
        <v>13</v>
      </c>
    </row>
    <row r="166" spans="1:37" ht="30" customHeight="1" x14ac:dyDescent="0.2">
      <c r="A166" s="82" t="s">
        <v>101</v>
      </c>
      <c r="B166" s="82">
        <v>2617163034</v>
      </c>
      <c r="C166" s="82" t="s">
        <v>1734</v>
      </c>
      <c r="D166" s="82" t="s">
        <v>53</v>
      </c>
      <c r="E166" s="82" t="s">
        <v>102</v>
      </c>
      <c r="F166" s="82" t="s">
        <v>1878</v>
      </c>
      <c r="G166" s="82">
        <v>147</v>
      </c>
      <c r="H166" s="82" t="s">
        <v>1884</v>
      </c>
      <c r="I166" s="82" t="s">
        <v>237</v>
      </c>
      <c r="J166" s="82" t="s">
        <v>1736</v>
      </c>
      <c r="K166" s="88" t="s">
        <v>1880</v>
      </c>
      <c r="L166" s="82" t="s">
        <v>1426</v>
      </c>
      <c r="M166" s="82" t="s">
        <v>1877</v>
      </c>
      <c r="N166" s="82" t="s">
        <v>1760</v>
      </c>
      <c r="O166" s="36" t="s">
        <v>14</v>
      </c>
      <c r="P166" s="18"/>
      <c r="Q166" s="28" t="s">
        <v>14</v>
      </c>
      <c r="R166" s="18"/>
      <c r="S166" s="28" t="s">
        <v>14</v>
      </c>
      <c r="T166" s="18"/>
      <c r="U166" s="28" t="s">
        <v>14</v>
      </c>
      <c r="V166" s="18"/>
      <c r="W166" s="28" t="s">
        <v>14</v>
      </c>
      <c r="X166" s="18"/>
      <c r="Y166" s="28" t="s">
        <v>14</v>
      </c>
      <c r="Z166" s="18"/>
      <c r="AA166" s="28" t="s">
        <v>14</v>
      </c>
      <c r="AB166" s="18"/>
      <c r="AC166" s="28" t="s">
        <v>14</v>
      </c>
      <c r="AD166" s="18"/>
      <c r="AE166" s="28" t="s">
        <v>14</v>
      </c>
      <c r="AF166" s="25" t="str">
        <f t="shared" si="13"/>
        <v>NA</v>
      </c>
      <c r="AG166" s="59" t="str">
        <f t="shared" si="14"/>
        <v>NÃO AVALIADO POR FALHA DE SINCRONISMO</v>
      </c>
      <c r="AH166" s="28" t="s">
        <v>108</v>
      </c>
      <c r="AI166" s="32" t="s">
        <v>1</v>
      </c>
      <c r="AJ166" s="29" t="str">
        <f t="shared" si="15"/>
        <v>GUARULHOS</v>
      </c>
      <c r="AK166" s="33" t="s">
        <v>13</v>
      </c>
    </row>
    <row r="167" spans="1:37" ht="30" customHeight="1" x14ac:dyDescent="0.2">
      <c r="A167" s="82" t="s">
        <v>101</v>
      </c>
      <c r="B167" s="82">
        <v>2617163274</v>
      </c>
      <c r="C167" s="82" t="s">
        <v>1734</v>
      </c>
      <c r="D167" s="82" t="s">
        <v>53</v>
      </c>
      <c r="E167" s="82" t="s">
        <v>102</v>
      </c>
      <c r="F167" s="82" t="s">
        <v>1878</v>
      </c>
      <c r="G167" s="82">
        <v>146</v>
      </c>
      <c r="H167" s="82"/>
      <c r="I167" s="82" t="s">
        <v>237</v>
      </c>
      <c r="J167" s="82" t="s">
        <v>1736</v>
      </c>
      <c r="K167" s="88" t="s">
        <v>1880</v>
      </c>
      <c r="L167" s="82" t="s">
        <v>1426</v>
      </c>
      <c r="M167" s="82" t="s">
        <v>1877</v>
      </c>
      <c r="N167" s="82" t="s">
        <v>1760</v>
      </c>
      <c r="O167" s="36" t="s">
        <v>14</v>
      </c>
      <c r="P167" s="18"/>
      <c r="Q167" s="28" t="s">
        <v>14</v>
      </c>
      <c r="R167" s="18"/>
      <c r="S167" s="28" t="s">
        <v>14</v>
      </c>
      <c r="T167" s="18"/>
      <c r="U167" s="28" t="s">
        <v>14</v>
      </c>
      <c r="V167" s="18"/>
      <c r="W167" s="28" t="s">
        <v>14</v>
      </c>
      <c r="X167" s="18"/>
      <c r="Y167" s="28" t="s">
        <v>14</v>
      </c>
      <c r="Z167" s="18"/>
      <c r="AA167" s="28" t="s">
        <v>14</v>
      </c>
      <c r="AB167" s="18"/>
      <c r="AC167" s="28" t="s">
        <v>14</v>
      </c>
      <c r="AD167" s="18"/>
      <c r="AE167" s="28" t="s">
        <v>14</v>
      </c>
      <c r="AF167" s="25" t="str">
        <f t="shared" si="13"/>
        <v>NA</v>
      </c>
      <c r="AG167" s="59" t="str">
        <f t="shared" si="14"/>
        <v>NÃO AVALIADO POR FALHA DE SINCRONISMO</v>
      </c>
      <c r="AH167" s="28" t="s">
        <v>108</v>
      </c>
      <c r="AI167" s="32" t="s">
        <v>1</v>
      </c>
      <c r="AJ167" s="29" t="str">
        <f t="shared" si="15"/>
        <v>GUARULHOS</v>
      </c>
      <c r="AK167" s="33" t="s">
        <v>13</v>
      </c>
    </row>
    <row r="168" spans="1:37" ht="30" customHeight="1" x14ac:dyDescent="0.2">
      <c r="A168" s="82" t="s">
        <v>101</v>
      </c>
      <c r="B168" s="82">
        <v>2617162892</v>
      </c>
      <c r="C168" s="82" t="s">
        <v>1734</v>
      </c>
      <c r="D168" s="82" t="s">
        <v>53</v>
      </c>
      <c r="E168" s="82" t="s">
        <v>102</v>
      </c>
      <c r="F168" s="82" t="s">
        <v>1878</v>
      </c>
      <c r="G168" s="82">
        <v>141</v>
      </c>
      <c r="H168" s="82" t="s">
        <v>1885</v>
      </c>
      <c r="I168" s="82" t="s">
        <v>237</v>
      </c>
      <c r="J168" s="82" t="s">
        <v>1736</v>
      </c>
      <c r="K168" s="88" t="s">
        <v>1880</v>
      </c>
      <c r="L168" s="82" t="s">
        <v>1426</v>
      </c>
      <c r="M168" s="82" t="s">
        <v>1877</v>
      </c>
      <c r="N168" s="82" t="s">
        <v>1760</v>
      </c>
      <c r="O168" s="36" t="s">
        <v>14</v>
      </c>
      <c r="P168" s="18"/>
      <c r="Q168" s="28" t="s">
        <v>14</v>
      </c>
      <c r="R168" s="18"/>
      <c r="S168" s="28" t="s">
        <v>14</v>
      </c>
      <c r="T168" s="18"/>
      <c r="U168" s="28" t="s">
        <v>14</v>
      </c>
      <c r="V168" s="18"/>
      <c r="W168" s="28" t="s">
        <v>14</v>
      </c>
      <c r="X168" s="18"/>
      <c r="Y168" s="28" t="s">
        <v>14</v>
      </c>
      <c r="Z168" s="18"/>
      <c r="AA168" s="28" t="s">
        <v>14</v>
      </c>
      <c r="AB168" s="18"/>
      <c r="AC168" s="28" t="s">
        <v>14</v>
      </c>
      <c r="AD168" s="18"/>
      <c r="AE168" s="28" t="s">
        <v>14</v>
      </c>
      <c r="AF168" s="25" t="str">
        <f t="shared" si="13"/>
        <v>NA</v>
      </c>
      <c r="AG168" s="59" t="str">
        <f t="shared" si="14"/>
        <v>NÃO AVALIADO POR FALHA DE SINCRONISMO</v>
      </c>
      <c r="AH168" s="28" t="s">
        <v>108</v>
      </c>
      <c r="AI168" s="32" t="s">
        <v>1</v>
      </c>
      <c r="AJ168" s="29" t="str">
        <f t="shared" si="15"/>
        <v>GUARULHOS</v>
      </c>
      <c r="AK168" s="33" t="s">
        <v>13</v>
      </c>
    </row>
    <row r="169" spans="1:37" ht="30" customHeight="1" x14ac:dyDescent="0.2">
      <c r="A169" s="82" t="s">
        <v>101</v>
      </c>
      <c r="B169" s="82">
        <v>2617163419</v>
      </c>
      <c r="C169" s="82" t="s">
        <v>1734</v>
      </c>
      <c r="D169" s="82" t="s">
        <v>53</v>
      </c>
      <c r="E169" s="82" t="s">
        <v>102</v>
      </c>
      <c r="F169" s="82" t="s">
        <v>1878</v>
      </c>
      <c r="G169" s="82">
        <v>140</v>
      </c>
      <c r="H169" s="82" t="s">
        <v>110</v>
      </c>
      <c r="I169" s="82" t="s">
        <v>237</v>
      </c>
      <c r="J169" s="82" t="s">
        <v>1736</v>
      </c>
      <c r="K169" s="88" t="s">
        <v>1880</v>
      </c>
      <c r="L169" s="82" t="s">
        <v>1426</v>
      </c>
      <c r="M169" s="82" t="s">
        <v>1877</v>
      </c>
      <c r="N169" s="82" t="s">
        <v>1760</v>
      </c>
      <c r="O169" s="36" t="s">
        <v>14</v>
      </c>
      <c r="P169" s="18"/>
      <c r="Q169" s="28" t="s">
        <v>14</v>
      </c>
      <c r="R169" s="18"/>
      <c r="S169" s="28" t="s">
        <v>14</v>
      </c>
      <c r="T169" s="18"/>
      <c r="U169" s="28" t="s">
        <v>14</v>
      </c>
      <c r="V169" s="18"/>
      <c r="W169" s="28" t="s">
        <v>14</v>
      </c>
      <c r="X169" s="18"/>
      <c r="Y169" s="28" t="s">
        <v>14</v>
      </c>
      <c r="Z169" s="18"/>
      <c r="AA169" s="28" t="s">
        <v>14</v>
      </c>
      <c r="AB169" s="18"/>
      <c r="AC169" s="28" t="s">
        <v>14</v>
      </c>
      <c r="AD169" s="18"/>
      <c r="AE169" s="28" t="s">
        <v>14</v>
      </c>
      <c r="AF169" s="25" t="str">
        <f t="shared" si="13"/>
        <v>NA</v>
      </c>
      <c r="AG169" s="59" t="str">
        <f t="shared" si="14"/>
        <v>NÃO AVALIADO POR FALHA DE SINCRONISMO</v>
      </c>
      <c r="AH169" s="28" t="s">
        <v>108</v>
      </c>
      <c r="AI169" s="32" t="s">
        <v>1</v>
      </c>
      <c r="AJ169" s="29" t="str">
        <f t="shared" si="15"/>
        <v>GUARULHOS</v>
      </c>
      <c r="AK169" s="33" t="s">
        <v>13</v>
      </c>
    </row>
    <row r="170" spans="1:37" ht="30" customHeight="1" x14ac:dyDescent="0.2">
      <c r="A170" s="82" t="s">
        <v>101</v>
      </c>
      <c r="B170" s="82">
        <v>2617163590</v>
      </c>
      <c r="C170" s="82" t="s">
        <v>1734</v>
      </c>
      <c r="D170" s="82" t="s">
        <v>53</v>
      </c>
      <c r="E170" s="82" t="s">
        <v>102</v>
      </c>
      <c r="F170" s="82" t="s">
        <v>1878</v>
      </c>
      <c r="G170" s="82">
        <v>134</v>
      </c>
      <c r="H170" s="82" t="s">
        <v>1886</v>
      </c>
      <c r="I170" s="82" t="s">
        <v>237</v>
      </c>
      <c r="J170" s="82" t="s">
        <v>1736</v>
      </c>
      <c r="K170" s="88" t="s">
        <v>1880</v>
      </c>
      <c r="L170" s="82" t="s">
        <v>1426</v>
      </c>
      <c r="M170" s="82" t="s">
        <v>1877</v>
      </c>
      <c r="N170" s="82" t="s">
        <v>1760</v>
      </c>
      <c r="O170" s="36" t="s">
        <v>14</v>
      </c>
      <c r="P170" s="18"/>
      <c r="Q170" s="28" t="s">
        <v>14</v>
      </c>
      <c r="R170" s="18"/>
      <c r="S170" s="28" t="s">
        <v>14</v>
      </c>
      <c r="T170" s="18"/>
      <c r="U170" s="28" t="s">
        <v>14</v>
      </c>
      <c r="V170" s="18"/>
      <c r="W170" s="28" t="s">
        <v>14</v>
      </c>
      <c r="X170" s="18"/>
      <c r="Y170" s="28" t="s">
        <v>14</v>
      </c>
      <c r="Z170" s="18"/>
      <c r="AA170" s="28" t="s">
        <v>14</v>
      </c>
      <c r="AB170" s="18"/>
      <c r="AC170" s="28" t="s">
        <v>14</v>
      </c>
      <c r="AD170" s="18"/>
      <c r="AE170" s="28" t="s">
        <v>14</v>
      </c>
      <c r="AF170" s="25" t="str">
        <f t="shared" si="13"/>
        <v>NA</v>
      </c>
      <c r="AG170" s="59" t="str">
        <f t="shared" si="14"/>
        <v>NÃO AVALIADO POR FALHA DE SINCRONISMO</v>
      </c>
      <c r="AH170" s="28" t="s">
        <v>108</v>
      </c>
      <c r="AI170" s="32" t="s">
        <v>1</v>
      </c>
      <c r="AJ170" s="29" t="str">
        <f t="shared" si="15"/>
        <v>GUARULHOS</v>
      </c>
      <c r="AK170" s="33" t="s">
        <v>13</v>
      </c>
    </row>
    <row r="171" spans="1:37" ht="30" customHeight="1" x14ac:dyDescent="0.2">
      <c r="A171" s="82" t="s">
        <v>101</v>
      </c>
      <c r="B171" s="82">
        <v>2617162743</v>
      </c>
      <c r="C171" s="82" t="s">
        <v>1734</v>
      </c>
      <c r="D171" s="82" t="s">
        <v>53</v>
      </c>
      <c r="E171" s="82" t="s">
        <v>102</v>
      </c>
      <c r="F171" s="82" t="s">
        <v>1878</v>
      </c>
      <c r="G171" s="82">
        <v>133</v>
      </c>
      <c r="H171" s="82"/>
      <c r="I171" s="82" t="s">
        <v>237</v>
      </c>
      <c r="J171" s="82" t="s">
        <v>1736</v>
      </c>
      <c r="K171" s="88" t="s">
        <v>1880</v>
      </c>
      <c r="L171" s="82" t="s">
        <v>1426</v>
      </c>
      <c r="M171" s="82" t="s">
        <v>1877</v>
      </c>
      <c r="N171" s="82" t="s">
        <v>1760</v>
      </c>
      <c r="O171" s="36" t="s">
        <v>14</v>
      </c>
      <c r="P171" s="18"/>
      <c r="Q171" s="28" t="s">
        <v>14</v>
      </c>
      <c r="R171" s="18"/>
      <c r="S171" s="28" t="s">
        <v>14</v>
      </c>
      <c r="T171" s="18"/>
      <c r="U171" s="28" t="s">
        <v>14</v>
      </c>
      <c r="V171" s="18"/>
      <c r="W171" s="28" t="s">
        <v>14</v>
      </c>
      <c r="X171" s="18"/>
      <c r="Y171" s="28" t="s">
        <v>14</v>
      </c>
      <c r="Z171" s="18"/>
      <c r="AA171" s="28" t="s">
        <v>14</v>
      </c>
      <c r="AB171" s="18"/>
      <c r="AC171" s="28" t="s">
        <v>14</v>
      </c>
      <c r="AD171" s="18"/>
      <c r="AE171" s="28" t="s">
        <v>14</v>
      </c>
      <c r="AF171" s="25" t="str">
        <f t="shared" si="13"/>
        <v>NA</v>
      </c>
      <c r="AG171" s="59" t="str">
        <f t="shared" si="14"/>
        <v>NÃO AVALIADO POR FALHA DE SINCRONISMO</v>
      </c>
      <c r="AH171" s="28" t="s">
        <v>108</v>
      </c>
      <c r="AI171" s="32" t="s">
        <v>1</v>
      </c>
      <c r="AJ171" s="29" t="str">
        <f t="shared" si="15"/>
        <v>GUARULHOS</v>
      </c>
      <c r="AK171" s="33" t="s">
        <v>13</v>
      </c>
    </row>
    <row r="172" spans="1:37" ht="30" customHeight="1" x14ac:dyDescent="0.2">
      <c r="A172" s="82" t="s">
        <v>101</v>
      </c>
      <c r="B172" s="82">
        <v>2617163727</v>
      </c>
      <c r="C172" s="82" t="s">
        <v>1734</v>
      </c>
      <c r="D172" s="82" t="s">
        <v>53</v>
      </c>
      <c r="E172" s="82" t="s">
        <v>102</v>
      </c>
      <c r="F172" s="82" t="s">
        <v>1878</v>
      </c>
      <c r="G172" s="82">
        <v>128</v>
      </c>
      <c r="H172" s="82" t="s">
        <v>1887</v>
      </c>
      <c r="I172" s="82" t="s">
        <v>237</v>
      </c>
      <c r="J172" s="82" t="s">
        <v>1736</v>
      </c>
      <c r="K172" s="88" t="s">
        <v>1880</v>
      </c>
      <c r="L172" s="82" t="s">
        <v>1426</v>
      </c>
      <c r="M172" s="82" t="s">
        <v>1877</v>
      </c>
      <c r="N172" s="82" t="s">
        <v>1760</v>
      </c>
      <c r="O172" s="36" t="s">
        <v>14</v>
      </c>
      <c r="P172" s="18"/>
      <c r="Q172" s="28" t="s">
        <v>14</v>
      </c>
      <c r="R172" s="18"/>
      <c r="S172" s="28" t="s">
        <v>14</v>
      </c>
      <c r="T172" s="18"/>
      <c r="U172" s="28" t="s">
        <v>14</v>
      </c>
      <c r="V172" s="18"/>
      <c r="W172" s="28" t="s">
        <v>14</v>
      </c>
      <c r="X172" s="18"/>
      <c r="Y172" s="28" t="s">
        <v>14</v>
      </c>
      <c r="Z172" s="18"/>
      <c r="AA172" s="28" t="s">
        <v>14</v>
      </c>
      <c r="AB172" s="18"/>
      <c r="AC172" s="28" t="s">
        <v>14</v>
      </c>
      <c r="AD172" s="18"/>
      <c r="AE172" s="28" t="s">
        <v>14</v>
      </c>
      <c r="AF172" s="25" t="str">
        <f t="shared" si="13"/>
        <v>NA</v>
      </c>
      <c r="AG172" s="59" t="str">
        <f t="shared" si="14"/>
        <v>NÃO AVALIADO POR FALHA DE SINCRONISMO</v>
      </c>
      <c r="AH172" s="28" t="s">
        <v>108</v>
      </c>
      <c r="AI172" s="32" t="s">
        <v>1</v>
      </c>
      <c r="AJ172" s="29" t="str">
        <f t="shared" si="15"/>
        <v>GUARULHOS</v>
      </c>
      <c r="AK172" s="33" t="s">
        <v>13</v>
      </c>
    </row>
    <row r="173" spans="1:37" ht="30" customHeight="1" x14ac:dyDescent="0.2">
      <c r="A173" s="82" t="s">
        <v>101</v>
      </c>
      <c r="B173" s="82">
        <v>2617162565</v>
      </c>
      <c r="C173" s="82" t="s">
        <v>1734</v>
      </c>
      <c r="D173" s="82" t="s">
        <v>53</v>
      </c>
      <c r="E173" s="82" t="s">
        <v>102</v>
      </c>
      <c r="F173" s="82" t="s">
        <v>1878</v>
      </c>
      <c r="G173" s="82">
        <v>125</v>
      </c>
      <c r="H173" s="82" t="s">
        <v>1628</v>
      </c>
      <c r="I173" s="82" t="s">
        <v>237</v>
      </c>
      <c r="J173" s="82" t="s">
        <v>1736</v>
      </c>
      <c r="K173" s="88" t="s">
        <v>1880</v>
      </c>
      <c r="L173" s="82" t="s">
        <v>1426</v>
      </c>
      <c r="M173" s="82" t="s">
        <v>1877</v>
      </c>
      <c r="N173" s="82" t="s">
        <v>1760</v>
      </c>
      <c r="O173" s="36" t="s">
        <v>14</v>
      </c>
      <c r="P173" s="18"/>
      <c r="Q173" s="28" t="s">
        <v>14</v>
      </c>
      <c r="R173" s="18"/>
      <c r="S173" s="28" t="s">
        <v>14</v>
      </c>
      <c r="T173" s="18"/>
      <c r="U173" s="28" t="s">
        <v>14</v>
      </c>
      <c r="V173" s="18"/>
      <c r="W173" s="28" t="s">
        <v>14</v>
      </c>
      <c r="X173" s="18"/>
      <c r="Y173" s="28" t="s">
        <v>14</v>
      </c>
      <c r="Z173" s="18"/>
      <c r="AA173" s="28" t="s">
        <v>14</v>
      </c>
      <c r="AB173" s="18"/>
      <c r="AC173" s="28" t="s">
        <v>14</v>
      </c>
      <c r="AD173" s="18"/>
      <c r="AE173" s="28" t="s">
        <v>14</v>
      </c>
      <c r="AF173" s="25" t="str">
        <f t="shared" si="13"/>
        <v>NA</v>
      </c>
      <c r="AG173" s="59" t="str">
        <f t="shared" si="14"/>
        <v>NÃO AVALIADO POR FALHA DE SINCRONISMO</v>
      </c>
      <c r="AH173" s="28" t="s">
        <v>108</v>
      </c>
      <c r="AI173" s="32" t="s">
        <v>1</v>
      </c>
      <c r="AJ173" s="29" t="str">
        <f t="shared" si="15"/>
        <v>GUARULHOS</v>
      </c>
      <c r="AK173" s="33" t="s">
        <v>13</v>
      </c>
    </row>
    <row r="174" spans="1:37" ht="30" customHeight="1" x14ac:dyDescent="0.2">
      <c r="A174" s="82" t="s">
        <v>101</v>
      </c>
      <c r="B174" s="82">
        <v>2617165507</v>
      </c>
      <c r="C174" s="82" t="s">
        <v>1734</v>
      </c>
      <c r="D174" s="82" t="s">
        <v>53</v>
      </c>
      <c r="E174" s="82" t="s">
        <v>102</v>
      </c>
      <c r="F174" s="82" t="s">
        <v>1878</v>
      </c>
      <c r="G174" s="82">
        <v>89</v>
      </c>
      <c r="H174" s="82" t="s">
        <v>603</v>
      </c>
      <c r="I174" s="82" t="s">
        <v>237</v>
      </c>
      <c r="J174" s="82" t="s">
        <v>1736</v>
      </c>
      <c r="K174" s="82" t="s">
        <v>1888</v>
      </c>
      <c r="L174" s="82" t="s">
        <v>1426</v>
      </c>
      <c r="M174" s="82" t="s">
        <v>1889</v>
      </c>
      <c r="N174" s="82" t="s">
        <v>1760</v>
      </c>
      <c r="O174" s="36" t="s">
        <v>14</v>
      </c>
      <c r="P174" s="18"/>
      <c r="Q174" s="28" t="s">
        <v>14</v>
      </c>
      <c r="R174" s="18"/>
      <c r="S174" s="28" t="s">
        <v>14</v>
      </c>
      <c r="T174" s="18"/>
      <c r="U174" s="28" t="s">
        <v>14</v>
      </c>
      <c r="V174" s="18"/>
      <c r="W174" s="28" t="s">
        <v>14</v>
      </c>
      <c r="X174" s="18"/>
      <c r="Y174" s="28" t="s">
        <v>14</v>
      </c>
      <c r="Z174" s="18"/>
      <c r="AA174" s="28" t="s">
        <v>14</v>
      </c>
      <c r="AB174" s="18"/>
      <c r="AC174" s="28" t="s">
        <v>14</v>
      </c>
      <c r="AD174" s="18"/>
      <c r="AE174" s="28" t="s">
        <v>14</v>
      </c>
      <c r="AF174" s="25" t="str">
        <f t="shared" si="13"/>
        <v>NA</v>
      </c>
      <c r="AG174" s="59" t="str">
        <f t="shared" si="14"/>
        <v>NÃO AVALIADO POR FALHA DE SINCRONISMO</v>
      </c>
      <c r="AH174" s="28" t="s">
        <v>108</v>
      </c>
      <c r="AI174" s="32" t="s">
        <v>1</v>
      </c>
      <c r="AJ174" s="29" t="str">
        <f t="shared" si="15"/>
        <v>GUARULHOS</v>
      </c>
      <c r="AK174" s="33" t="s">
        <v>13</v>
      </c>
    </row>
    <row r="175" spans="1:37" ht="30" customHeight="1" x14ac:dyDescent="0.2">
      <c r="A175" s="82" t="s">
        <v>101</v>
      </c>
      <c r="B175" s="82">
        <v>2617164243</v>
      </c>
      <c r="C175" s="82" t="s">
        <v>1734</v>
      </c>
      <c r="D175" s="82" t="s">
        <v>53</v>
      </c>
      <c r="E175" s="82" t="s">
        <v>102</v>
      </c>
      <c r="F175" s="82" t="s">
        <v>1878</v>
      </c>
      <c r="G175" s="82">
        <v>88</v>
      </c>
      <c r="H175" s="82" t="s">
        <v>1169</v>
      </c>
      <c r="I175" s="82" t="s">
        <v>237</v>
      </c>
      <c r="J175" s="82" t="s">
        <v>1736</v>
      </c>
      <c r="K175" s="88" t="s">
        <v>1880</v>
      </c>
      <c r="L175" s="82" t="s">
        <v>1426</v>
      </c>
      <c r="M175" s="82" t="s">
        <v>1877</v>
      </c>
      <c r="N175" s="82" t="s">
        <v>1760</v>
      </c>
      <c r="O175" s="36" t="s">
        <v>14</v>
      </c>
      <c r="P175" s="18"/>
      <c r="Q175" s="28" t="s">
        <v>14</v>
      </c>
      <c r="R175" s="18"/>
      <c r="S175" s="28" t="s">
        <v>14</v>
      </c>
      <c r="T175" s="18"/>
      <c r="U175" s="28" t="s">
        <v>14</v>
      </c>
      <c r="V175" s="18"/>
      <c r="W175" s="28" t="s">
        <v>14</v>
      </c>
      <c r="X175" s="18"/>
      <c r="Y175" s="28" t="s">
        <v>14</v>
      </c>
      <c r="Z175" s="18"/>
      <c r="AA175" s="28" t="s">
        <v>14</v>
      </c>
      <c r="AB175" s="18"/>
      <c r="AC175" s="28" t="s">
        <v>14</v>
      </c>
      <c r="AD175" s="18"/>
      <c r="AE175" s="28" t="s">
        <v>14</v>
      </c>
      <c r="AF175" s="25" t="str">
        <f t="shared" si="13"/>
        <v>NA</v>
      </c>
      <c r="AG175" s="59" t="str">
        <f t="shared" si="14"/>
        <v>NÃO AVALIADO POR FALHA DE SINCRONISMO</v>
      </c>
      <c r="AH175" s="28" t="s">
        <v>108</v>
      </c>
      <c r="AI175" s="32" t="s">
        <v>1</v>
      </c>
      <c r="AJ175" s="29" t="str">
        <f t="shared" si="15"/>
        <v>GUARULHOS</v>
      </c>
      <c r="AK175" s="33" t="s">
        <v>13</v>
      </c>
    </row>
    <row r="176" spans="1:37" ht="30" customHeight="1" x14ac:dyDescent="0.2">
      <c r="A176" s="82" t="s">
        <v>101</v>
      </c>
      <c r="B176" s="82">
        <v>2617165254</v>
      </c>
      <c r="C176" s="82" t="s">
        <v>1734</v>
      </c>
      <c r="D176" s="82" t="s">
        <v>53</v>
      </c>
      <c r="E176" s="82" t="s">
        <v>102</v>
      </c>
      <c r="F176" s="82" t="s">
        <v>1878</v>
      </c>
      <c r="G176" s="82">
        <v>83</v>
      </c>
      <c r="H176" s="82" t="s">
        <v>1890</v>
      </c>
      <c r="I176" s="82" t="s">
        <v>237</v>
      </c>
      <c r="J176" s="82" t="s">
        <v>1736</v>
      </c>
      <c r="K176" s="88" t="s">
        <v>1880</v>
      </c>
      <c r="L176" s="82" t="s">
        <v>1426</v>
      </c>
      <c r="M176" s="82" t="s">
        <v>1877</v>
      </c>
      <c r="N176" s="82" t="s">
        <v>1760</v>
      </c>
      <c r="O176" s="36" t="s">
        <v>14</v>
      </c>
      <c r="P176" s="18"/>
      <c r="Q176" s="28" t="s">
        <v>14</v>
      </c>
      <c r="R176" s="18"/>
      <c r="S176" s="28" t="s">
        <v>14</v>
      </c>
      <c r="T176" s="18"/>
      <c r="U176" s="28" t="s">
        <v>14</v>
      </c>
      <c r="V176" s="18"/>
      <c r="W176" s="28" t="s">
        <v>14</v>
      </c>
      <c r="X176" s="18"/>
      <c r="Y176" s="28" t="s">
        <v>14</v>
      </c>
      <c r="Z176" s="18"/>
      <c r="AA176" s="28" t="s">
        <v>14</v>
      </c>
      <c r="AB176" s="18"/>
      <c r="AC176" s="28" t="s">
        <v>14</v>
      </c>
      <c r="AD176" s="18"/>
      <c r="AE176" s="28" t="s">
        <v>14</v>
      </c>
      <c r="AF176" s="25" t="str">
        <f t="shared" si="13"/>
        <v>NA</v>
      </c>
      <c r="AG176" s="59" t="str">
        <f t="shared" si="14"/>
        <v>NÃO AVALIADO POR FALHA DE SINCRONISMO</v>
      </c>
      <c r="AH176" s="28" t="s">
        <v>108</v>
      </c>
      <c r="AI176" s="32" t="s">
        <v>1</v>
      </c>
      <c r="AJ176" s="29" t="str">
        <f t="shared" si="15"/>
        <v>GUARULHOS</v>
      </c>
      <c r="AK176" s="33" t="s">
        <v>13</v>
      </c>
    </row>
    <row r="177" spans="1:37" ht="30" customHeight="1" x14ac:dyDescent="0.2">
      <c r="A177" s="82" t="s">
        <v>101</v>
      </c>
      <c r="B177" s="82">
        <v>2617164501</v>
      </c>
      <c r="C177" s="82" t="s">
        <v>1734</v>
      </c>
      <c r="D177" s="82" t="s">
        <v>53</v>
      </c>
      <c r="E177" s="82" t="s">
        <v>102</v>
      </c>
      <c r="F177" s="82" t="s">
        <v>1878</v>
      </c>
      <c r="G177" s="82">
        <v>80</v>
      </c>
      <c r="H177" s="82" t="s">
        <v>1891</v>
      </c>
      <c r="I177" s="82" t="s">
        <v>237</v>
      </c>
      <c r="J177" s="82" t="s">
        <v>1736</v>
      </c>
      <c r="K177" s="88" t="s">
        <v>1880</v>
      </c>
      <c r="L177" s="82" t="s">
        <v>1426</v>
      </c>
      <c r="M177" s="82" t="s">
        <v>1877</v>
      </c>
      <c r="N177" s="82" t="s">
        <v>1760</v>
      </c>
      <c r="O177" s="36" t="s">
        <v>14</v>
      </c>
      <c r="P177" s="18"/>
      <c r="Q177" s="28" t="s">
        <v>14</v>
      </c>
      <c r="R177" s="18"/>
      <c r="S177" s="28" t="s">
        <v>14</v>
      </c>
      <c r="T177" s="18"/>
      <c r="U177" s="28" t="s">
        <v>14</v>
      </c>
      <c r="V177" s="18"/>
      <c r="W177" s="28" t="s">
        <v>14</v>
      </c>
      <c r="X177" s="18"/>
      <c r="Y177" s="28" t="s">
        <v>14</v>
      </c>
      <c r="Z177" s="18"/>
      <c r="AA177" s="28" t="s">
        <v>14</v>
      </c>
      <c r="AB177" s="18"/>
      <c r="AC177" s="28" t="s">
        <v>14</v>
      </c>
      <c r="AD177" s="18"/>
      <c r="AE177" s="28" t="s">
        <v>14</v>
      </c>
      <c r="AF177" s="25" t="str">
        <f t="shared" si="13"/>
        <v>NA</v>
      </c>
      <c r="AG177" s="59" t="str">
        <f t="shared" si="14"/>
        <v>NÃO AVALIADO POR FALHA DE SINCRONISMO</v>
      </c>
      <c r="AH177" s="28" t="s">
        <v>108</v>
      </c>
      <c r="AI177" s="32" t="s">
        <v>1</v>
      </c>
      <c r="AJ177" s="29" t="str">
        <f t="shared" si="15"/>
        <v>GUARULHOS</v>
      </c>
      <c r="AK177" s="33" t="s">
        <v>13</v>
      </c>
    </row>
    <row r="178" spans="1:37" ht="30" customHeight="1" x14ac:dyDescent="0.2">
      <c r="A178" s="82" t="s">
        <v>101</v>
      </c>
      <c r="B178" s="82">
        <v>2617164589</v>
      </c>
      <c r="C178" s="82" t="s">
        <v>1734</v>
      </c>
      <c r="D178" s="82" t="s">
        <v>53</v>
      </c>
      <c r="E178" s="82" t="s">
        <v>102</v>
      </c>
      <c r="F178" s="82" t="s">
        <v>1878</v>
      </c>
      <c r="G178" s="82">
        <v>73</v>
      </c>
      <c r="H178" s="82" t="s">
        <v>117</v>
      </c>
      <c r="I178" s="82" t="s">
        <v>237</v>
      </c>
      <c r="J178" s="82" t="s">
        <v>1736</v>
      </c>
      <c r="K178" s="88" t="s">
        <v>1880</v>
      </c>
      <c r="L178" s="82" t="s">
        <v>1426</v>
      </c>
      <c r="M178" s="82" t="s">
        <v>1877</v>
      </c>
      <c r="N178" s="82" t="s">
        <v>1760</v>
      </c>
      <c r="O178" s="36" t="s">
        <v>14</v>
      </c>
      <c r="P178" s="18"/>
      <c r="Q178" s="28" t="s">
        <v>14</v>
      </c>
      <c r="R178" s="18"/>
      <c r="S178" s="28" t="s">
        <v>14</v>
      </c>
      <c r="T178" s="18"/>
      <c r="U178" s="28" t="s">
        <v>14</v>
      </c>
      <c r="V178" s="18"/>
      <c r="W178" s="28" t="s">
        <v>14</v>
      </c>
      <c r="X178" s="18"/>
      <c r="Y178" s="28" t="s">
        <v>14</v>
      </c>
      <c r="Z178" s="18"/>
      <c r="AA178" s="28" t="s">
        <v>14</v>
      </c>
      <c r="AB178" s="18"/>
      <c r="AC178" s="28" t="s">
        <v>14</v>
      </c>
      <c r="AD178" s="18"/>
      <c r="AE178" s="28" t="s">
        <v>14</v>
      </c>
      <c r="AF178" s="25" t="str">
        <f t="shared" si="13"/>
        <v>NA</v>
      </c>
      <c r="AG178" s="59" t="str">
        <f t="shared" si="14"/>
        <v>NÃO AVALIADO POR FALHA DE SINCRONISMO</v>
      </c>
      <c r="AH178" s="28" t="s">
        <v>108</v>
      </c>
      <c r="AI178" s="32" t="s">
        <v>1</v>
      </c>
      <c r="AJ178" s="29" t="str">
        <f t="shared" si="15"/>
        <v>GUARULHOS</v>
      </c>
      <c r="AK178" s="33" t="s">
        <v>13</v>
      </c>
    </row>
    <row r="179" spans="1:37" ht="30" customHeight="1" x14ac:dyDescent="0.2">
      <c r="A179" s="82" t="s">
        <v>101</v>
      </c>
      <c r="B179" s="82">
        <v>2617162492</v>
      </c>
      <c r="C179" s="82" t="s">
        <v>1734</v>
      </c>
      <c r="D179" s="82" t="s">
        <v>53</v>
      </c>
      <c r="E179" s="82" t="s">
        <v>102</v>
      </c>
      <c r="F179" s="82" t="s">
        <v>1878</v>
      </c>
      <c r="G179" s="82">
        <v>69</v>
      </c>
      <c r="H179" s="82" t="s">
        <v>138</v>
      </c>
      <c r="I179" s="82" t="s">
        <v>237</v>
      </c>
      <c r="J179" s="82" t="s">
        <v>1736</v>
      </c>
      <c r="K179" s="88" t="s">
        <v>1880</v>
      </c>
      <c r="L179" s="82" t="s">
        <v>1426</v>
      </c>
      <c r="M179" s="82" t="s">
        <v>1877</v>
      </c>
      <c r="N179" s="82" t="s">
        <v>1760</v>
      </c>
      <c r="O179" s="36" t="s">
        <v>14</v>
      </c>
      <c r="P179" s="18"/>
      <c r="Q179" s="28" t="s">
        <v>14</v>
      </c>
      <c r="R179" s="18"/>
      <c r="S179" s="28" t="s">
        <v>14</v>
      </c>
      <c r="T179" s="18"/>
      <c r="U179" s="28" t="s">
        <v>14</v>
      </c>
      <c r="V179" s="18"/>
      <c r="W179" s="28" t="s">
        <v>14</v>
      </c>
      <c r="X179" s="18"/>
      <c r="Y179" s="28" t="s">
        <v>14</v>
      </c>
      <c r="Z179" s="18"/>
      <c r="AA179" s="28" t="s">
        <v>14</v>
      </c>
      <c r="AB179" s="18"/>
      <c r="AC179" s="28" t="s">
        <v>14</v>
      </c>
      <c r="AD179" s="18"/>
      <c r="AE179" s="28" t="s">
        <v>14</v>
      </c>
      <c r="AF179" s="25" t="str">
        <f t="shared" si="13"/>
        <v>NA</v>
      </c>
      <c r="AG179" s="59" t="str">
        <f t="shared" si="14"/>
        <v>NÃO AVALIADO POR FALHA DE SINCRONISMO</v>
      </c>
      <c r="AH179" s="28" t="s">
        <v>108</v>
      </c>
      <c r="AI179" s="32" t="s">
        <v>1</v>
      </c>
      <c r="AJ179" s="29" t="str">
        <f t="shared" si="15"/>
        <v>GUARULHOS</v>
      </c>
      <c r="AK179" s="33" t="s">
        <v>13</v>
      </c>
    </row>
    <row r="180" spans="1:37" ht="30" customHeight="1" x14ac:dyDescent="0.2">
      <c r="A180" s="82" t="s">
        <v>101</v>
      </c>
      <c r="B180" s="82">
        <v>2617164405</v>
      </c>
      <c r="C180" s="82" t="s">
        <v>1734</v>
      </c>
      <c r="D180" s="82" t="s">
        <v>53</v>
      </c>
      <c r="E180" s="82" t="s">
        <v>102</v>
      </c>
      <c r="F180" s="82" t="s">
        <v>1878</v>
      </c>
      <c r="G180" s="82">
        <v>65</v>
      </c>
      <c r="H180" s="82" t="s">
        <v>1892</v>
      </c>
      <c r="I180" s="82" t="s">
        <v>237</v>
      </c>
      <c r="J180" s="82" t="s">
        <v>1736</v>
      </c>
      <c r="K180" s="88" t="s">
        <v>1880</v>
      </c>
      <c r="L180" s="82" t="s">
        <v>1426</v>
      </c>
      <c r="M180" s="82" t="s">
        <v>1877</v>
      </c>
      <c r="N180" s="82" t="s">
        <v>1760</v>
      </c>
      <c r="O180" s="36" t="s">
        <v>14</v>
      </c>
      <c r="P180" s="18"/>
      <c r="Q180" s="28" t="s">
        <v>14</v>
      </c>
      <c r="R180" s="18"/>
      <c r="S180" s="28" t="s">
        <v>14</v>
      </c>
      <c r="T180" s="18"/>
      <c r="U180" s="28" t="s">
        <v>14</v>
      </c>
      <c r="V180" s="18"/>
      <c r="W180" s="28" t="s">
        <v>14</v>
      </c>
      <c r="X180" s="18"/>
      <c r="Y180" s="28" t="s">
        <v>14</v>
      </c>
      <c r="Z180" s="18"/>
      <c r="AA180" s="28" t="s">
        <v>14</v>
      </c>
      <c r="AB180" s="18"/>
      <c r="AC180" s="28" t="s">
        <v>14</v>
      </c>
      <c r="AD180" s="18"/>
      <c r="AE180" s="28" t="s">
        <v>14</v>
      </c>
      <c r="AF180" s="25" t="str">
        <f t="shared" si="13"/>
        <v>NA</v>
      </c>
      <c r="AG180" s="59" t="str">
        <f t="shared" si="14"/>
        <v>NÃO AVALIADO POR FALHA DE SINCRONISMO</v>
      </c>
      <c r="AH180" s="28" t="s">
        <v>108</v>
      </c>
      <c r="AI180" s="32" t="s">
        <v>1</v>
      </c>
      <c r="AJ180" s="29" t="str">
        <f t="shared" si="15"/>
        <v>GUARULHOS</v>
      </c>
      <c r="AK180" s="33" t="s">
        <v>13</v>
      </c>
    </row>
    <row r="181" spans="1:37" ht="30" customHeight="1" x14ac:dyDescent="0.2">
      <c r="A181" s="82" t="s">
        <v>101</v>
      </c>
      <c r="B181" s="82">
        <v>2617164779</v>
      </c>
      <c r="C181" s="82" t="s">
        <v>1734</v>
      </c>
      <c r="D181" s="82" t="s">
        <v>53</v>
      </c>
      <c r="E181" s="82" t="s">
        <v>102</v>
      </c>
      <c r="F181" s="82" t="s">
        <v>1878</v>
      </c>
      <c r="G181" s="82">
        <v>58</v>
      </c>
      <c r="H181" s="82" t="s">
        <v>181</v>
      </c>
      <c r="I181" s="82" t="s">
        <v>237</v>
      </c>
      <c r="J181" s="82" t="s">
        <v>1736</v>
      </c>
      <c r="K181" s="88" t="s">
        <v>1880</v>
      </c>
      <c r="L181" s="82" t="s">
        <v>1426</v>
      </c>
      <c r="M181" s="82" t="s">
        <v>1877</v>
      </c>
      <c r="N181" s="82" t="s">
        <v>1760</v>
      </c>
      <c r="O181" s="36" t="s">
        <v>14</v>
      </c>
      <c r="P181" s="18"/>
      <c r="Q181" s="28" t="s">
        <v>14</v>
      </c>
      <c r="R181" s="18"/>
      <c r="S181" s="28" t="s">
        <v>14</v>
      </c>
      <c r="T181" s="18"/>
      <c r="U181" s="28" t="s">
        <v>14</v>
      </c>
      <c r="V181" s="18"/>
      <c r="W181" s="28" t="s">
        <v>14</v>
      </c>
      <c r="X181" s="18"/>
      <c r="Y181" s="28" t="s">
        <v>14</v>
      </c>
      <c r="Z181" s="18"/>
      <c r="AA181" s="28" t="s">
        <v>14</v>
      </c>
      <c r="AB181" s="18"/>
      <c r="AC181" s="28" t="s">
        <v>14</v>
      </c>
      <c r="AD181" s="18"/>
      <c r="AE181" s="28" t="s">
        <v>14</v>
      </c>
      <c r="AF181" s="25" t="str">
        <f t="shared" si="13"/>
        <v>NA</v>
      </c>
      <c r="AG181" s="59" t="str">
        <f t="shared" ref="AG181:AG241" si="16">IF(AND(AE181="C",AF181="C"),"UTILIZOU O PDA CORRETAMENTE",IF(AND(AE181="C",AF181="NC"),"UTILIZOU O PDA CORRETAMENTE. NÃO HÁ FOTOS DE TODAS AS ETAPAS",IF(AND(AE181="NC",AF181="NC"),"NÃO UTILIZOU O PDA",IF(AND(AE181="NA",AF181="NA"),"NÃO AVALIADO POR FALHA DE SINCRONISMO"))))</f>
        <v>NÃO AVALIADO POR FALHA DE SINCRONISMO</v>
      </c>
      <c r="AH181" s="28" t="s">
        <v>108</v>
      </c>
      <c r="AI181" s="32" t="s">
        <v>1</v>
      </c>
      <c r="AJ181" s="29" t="str">
        <f t="shared" si="15"/>
        <v>GUARULHOS</v>
      </c>
      <c r="AK181" s="33" t="s">
        <v>13</v>
      </c>
    </row>
    <row r="182" spans="1:37" ht="30" customHeight="1" x14ac:dyDescent="0.2">
      <c r="A182" s="82" t="s">
        <v>101</v>
      </c>
      <c r="B182" s="82">
        <v>2617164957</v>
      </c>
      <c r="C182" s="82" t="s">
        <v>1734</v>
      </c>
      <c r="D182" s="82" t="s">
        <v>53</v>
      </c>
      <c r="E182" s="82" t="s">
        <v>102</v>
      </c>
      <c r="F182" s="82" t="s">
        <v>1878</v>
      </c>
      <c r="G182" s="82">
        <v>54</v>
      </c>
      <c r="H182" s="82" t="s">
        <v>117</v>
      </c>
      <c r="I182" s="82" t="s">
        <v>237</v>
      </c>
      <c r="J182" s="82" t="s">
        <v>1736</v>
      </c>
      <c r="K182" s="88" t="s">
        <v>1880</v>
      </c>
      <c r="L182" s="82" t="s">
        <v>1426</v>
      </c>
      <c r="M182" s="82" t="s">
        <v>1877</v>
      </c>
      <c r="N182" s="82" t="s">
        <v>1760</v>
      </c>
      <c r="O182" s="36" t="s">
        <v>14</v>
      </c>
      <c r="P182" s="18"/>
      <c r="Q182" s="28" t="s">
        <v>14</v>
      </c>
      <c r="R182" s="18"/>
      <c r="S182" s="28" t="s">
        <v>14</v>
      </c>
      <c r="T182" s="18"/>
      <c r="U182" s="28" t="s">
        <v>14</v>
      </c>
      <c r="V182" s="18"/>
      <c r="W182" s="28" t="s">
        <v>14</v>
      </c>
      <c r="X182" s="18"/>
      <c r="Y182" s="28" t="s">
        <v>14</v>
      </c>
      <c r="Z182" s="18"/>
      <c r="AA182" s="28" t="s">
        <v>14</v>
      </c>
      <c r="AB182" s="18"/>
      <c r="AC182" s="28" t="s">
        <v>14</v>
      </c>
      <c r="AD182" s="18"/>
      <c r="AE182" s="28" t="s">
        <v>14</v>
      </c>
      <c r="AF182" s="25" t="str">
        <f t="shared" ref="AF182:AF242" si="17">IF(AND(O182="",Q182="",S182="",U182="",W182="",Y182="",AA182="",AC182=""),"",IF(OR(AND(O182&lt;&gt;"NA",O182&lt;&gt;"C",O182&lt;&gt;"NC",O182&lt;&gt;"SF",O182&lt;&gt;""),AND(Q182&lt;&gt;"NA",Q182&lt;&gt;"C",Q182&lt;&gt;"NC",Q182&lt;&gt;"SF",Q182&lt;&gt;""),AND(S182&lt;&gt;"NA",S182&lt;&gt;"C",S182&lt;&gt;"NC",S182&lt;&gt;"SF",S182&lt;&gt;""),AND(U182&lt;&gt;"NA",U182&lt;&gt;"C",U182&lt;&gt;"NC",U182&lt;&gt;"SF",U182&lt;&gt;""),AND(W182&lt;&gt;"NA",W182&lt;&gt;"C",W182&lt;&gt;"NC",W182&lt;&gt;"SF",W182&lt;&gt;""),AND(Y182&lt;&gt;"NA",Y182&lt;&gt;"C",Y182&lt;&gt;"NC",Y182&lt;&gt;"SF",Y182&lt;&gt;""),AND(AA182&lt;&gt;"NA",AA182&lt;&gt;"C",AA182&lt;&gt;"NC",AA182&lt;&gt;"SF",AA182&lt;&gt;""),AND(AC182&lt;&gt;"NA",AC182&lt;&gt;"C",AC182&lt;&gt;"NC",AC182&lt;&gt;"SF",AC182&lt;&gt;"")),"FALSO",IF(AND(O182="NA",Q182="NA",S182="NA",U182="NA",W182="NA",Y182="NA",AA182="NA",AC182="NA"),"NA",IF(OR(O182="NC",Q182="NC",S182="NC",U182="NC",W182="NC",Y182="NC",AA182="NC",AC182="NC",O182="SF",Q182="SF",S182="SF",U182="SF",W182="SF",Y182="SF",AA182="SF",AC182="SF"),"NC",IF(OR(O182="C",Q182="C",S182="C",U182="C",W182="C",Y182="C",AA182="C",AC182="C"),"C","")))))</f>
        <v>NA</v>
      </c>
      <c r="AG182" s="59" t="str">
        <f t="shared" si="16"/>
        <v>NÃO AVALIADO POR FALHA DE SINCRONISMO</v>
      </c>
      <c r="AH182" s="28" t="s">
        <v>108</v>
      </c>
      <c r="AI182" s="32" t="s">
        <v>1</v>
      </c>
      <c r="AJ182" s="29" t="str">
        <f t="shared" si="15"/>
        <v>GUARULHOS</v>
      </c>
      <c r="AK182" s="33" t="s">
        <v>13</v>
      </c>
    </row>
    <row r="183" spans="1:37" ht="30" customHeight="1" x14ac:dyDescent="0.2">
      <c r="A183" s="82" t="s">
        <v>101</v>
      </c>
      <c r="B183" s="82">
        <v>2617164206</v>
      </c>
      <c r="C183" s="82" t="s">
        <v>1734</v>
      </c>
      <c r="D183" s="82" t="s">
        <v>53</v>
      </c>
      <c r="E183" s="82" t="s">
        <v>102</v>
      </c>
      <c r="F183" s="82" t="s">
        <v>1878</v>
      </c>
      <c r="G183" s="82">
        <v>53</v>
      </c>
      <c r="H183" s="82" t="s">
        <v>174</v>
      </c>
      <c r="I183" s="82" t="s">
        <v>237</v>
      </c>
      <c r="J183" s="82" t="s">
        <v>1736</v>
      </c>
      <c r="K183" s="88" t="s">
        <v>1880</v>
      </c>
      <c r="L183" s="82" t="s">
        <v>1426</v>
      </c>
      <c r="M183" s="82" t="s">
        <v>1877</v>
      </c>
      <c r="N183" s="82" t="s">
        <v>1760</v>
      </c>
      <c r="O183" s="36" t="s">
        <v>14</v>
      </c>
      <c r="P183" s="18"/>
      <c r="Q183" s="28" t="s">
        <v>14</v>
      </c>
      <c r="R183" s="18"/>
      <c r="S183" s="28" t="s">
        <v>14</v>
      </c>
      <c r="T183" s="18"/>
      <c r="U183" s="28" t="s">
        <v>14</v>
      </c>
      <c r="V183" s="18"/>
      <c r="W183" s="28" t="s">
        <v>14</v>
      </c>
      <c r="X183" s="18"/>
      <c r="Y183" s="28" t="s">
        <v>14</v>
      </c>
      <c r="Z183" s="18"/>
      <c r="AA183" s="28" t="s">
        <v>14</v>
      </c>
      <c r="AB183" s="18"/>
      <c r="AC183" s="28" t="s">
        <v>14</v>
      </c>
      <c r="AD183" s="18"/>
      <c r="AE183" s="28" t="s">
        <v>14</v>
      </c>
      <c r="AF183" s="25" t="str">
        <f t="shared" si="17"/>
        <v>NA</v>
      </c>
      <c r="AG183" s="59" t="str">
        <f t="shared" si="16"/>
        <v>NÃO AVALIADO POR FALHA DE SINCRONISMO</v>
      </c>
      <c r="AH183" s="28" t="s">
        <v>108</v>
      </c>
      <c r="AI183" s="32" t="s">
        <v>1</v>
      </c>
      <c r="AJ183" s="29" t="str">
        <f t="shared" si="15"/>
        <v>GUARULHOS</v>
      </c>
      <c r="AK183" s="33" t="s">
        <v>13</v>
      </c>
    </row>
    <row r="184" spans="1:37" ht="30" customHeight="1" x14ac:dyDescent="0.2">
      <c r="A184" s="82" t="s">
        <v>101</v>
      </c>
      <c r="B184" s="82">
        <v>2617164051</v>
      </c>
      <c r="C184" s="82" t="s">
        <v>1734</v>
      </c>
      <c r="D184" s="82" t="s">
        <v>53</v>
      </c>
      <c r="E184" s="82" t="s">
        <v>102</v>
      </c>
      <c r="F184" s="82" t="s">
        <v>1878</v>
      </c>
      <c r="G184" s="82">
        <v>43</v>
      </c>
      <c r="H184" s="82" t="s">
        <v>1893</v>
      </c>
      <c r="I184" s="82" t="s">
        <v>237</v>
      </c>
      <c r="J184" s="82" t="s">
        <v>1736</v>
      </c>
      <c r="K184" s="88" t="s">
        <v>1880</v>
      </c>
      <c r="L184" s="82" t="s">
        <v>1426</v>
      </c>
      <c r="M184" s="82" t="s">
        <v>1877</v>
      </c>
      <c r="N184" s="82" t="s">
        <v>1760</v>
      </c>
      <c r="O184" s="36" t="s">
        <v>14</v>
      </c>
      <c r="P184" s="18"/>
      <c r="Q184" s="28" t="s">
        <v>14</v>
      </c>
      <c r="R184" s="18"/>
      <c r="S184" s="28" t="s">
        <v>14</v>
      </c>
      <c r="T184" s="18"/>
      <c r="U184" s="28" t="s">
        <v>14</v>
      </c>
      <c r="V184" s="18"/>
      <c r="W184" s="28" t="s">
        <v>14</v>
      </c>
      <c r="X184" s="18"/>
      <c r="Y184" s="28" t="s">
        <v>14</v>
      </c>
      <c r="Z184" s="18"/>
      <c r="AA184" s="28" t="s">
        <v>14</v>
      </c>
      <c r="AB184" s="18"/>
      <c r="AC184" s="28" t="s">
        <v>14</v>
      </c>
      <c r="AD184" s="18"/>
      <c r="AE184" s="28" t="s">
        <v>14</v>
      </c>
      <c r="AF184" s="25" t="str">
        <f t="shared" si="17"/>
        <v>NA</v>
      </c>
      <c r="AG184" s="59" t="str">
        <f t="shared" si="16"/>
        <v>NÃO AVALIADO POR FALHA DE SINCRONISMO</v>
      </c>
      <c r="AH184" s="28" t="s">
        <v>108</v>
      </c>
      <c r="AI184" s="32" t="s">
        <v>1</v>
      </c>
      <c r="AJ184" s="29" t="str">
        <f t="shared" si="15"/>
        <v>GUARULHOS</v>
      </c>
      <c r="AK184" s="33" t="s">
        <v>13</v>
      </c>
    </row>
    <row r="185" spans="1:37" ht="30" customHeight="1" x14ac:dyDescent="0.2">
      <c r="A185" s="82" t="s">
        <v>101</v>
      </c>
      <c r="B185" s="82">
        <v>2617163332</v>
      </c>
      <c r="C185" s="82" t="s">
        <v>1734</v>
      </c>
      <c r="D185" s="82" t="s">
        <v>53</v>
      </c>
      <c r="E185" s="82" t="s">
        <v>102</v>
      </c>
      <c r="F185" s="82" t="s">
        <v>1878</v>
      </c>
      <c r="G185" s="82">
        <v>34</v>
      </c>
      <c r="H185" s="82"/>
      <c r="I185" s="82" t="s">
        <v>237</v>
      </c>
      <c r="J185" s="82" t="s">
        <v>1736</v>
      </c>
      <c r="K185" s="88" t="s">
        <v>1880</v>
      </c>
      <c r="L185" s="82" t="s">
        <v>1426</v>
      </c>
      <c r="M185" s="82" t="s">
        <v>1877</v>
      </c>
      <c r="N185" s="82" t="s">
        <v>1760</v>
      </c>
      <c r="O185" s="36" t="s">
        <v>14</v>
      </c>
      <c r="P185" s="18"/>
      <c r="Q185" s="28" t="s">
        <v>14</v>
      </c>
      <c r="R185" s="18"/>
      <c r="S185" s="28" t="s">
        <v>14</v>
      </c>
      <c r="T185" s="18"/>
      <c r="U185" s="28" t="s">
        <v>14</v>
      </c>
      <c r="V185" s="18"/>
      <c r="W185" s="28" t="s">
        <v>14</v>
      </c>
      <c r="X185" s="18"/>
      <c r="Y185" s="28" t="s">
        <v>14</v>
      </c>
      <c r="Z185" s="18"/>
      <c r="AA185" s="28" t="s">
        <v>14</v>
      </c>
      <c r="AB185" s="18"/>
      <c r="AC185" s="28" t="s">
        <v>14</v>
      </c>
      <c r="AD185" s="18"/>
      <c r="AE185" s="28" t="s">
        <v>14</v>
      </c>
      <c r="AF185" s="25" t="str">
        <f t="shared" si="17"/>
        <v>NA</v>
      </c>
      <c r="AG185" s="59" t="str">
        <f t="shared" si="16"/>
        <v>NÃO AVALIADO POR FALHA DE SINCRONISMO</v>
      </c>
      <c r="AH185" s="28" t="s">
        <v>108</v>
      </c>
      <c r="AI185" s="32" t="s">
        <v>1</v>
      </c>
      <c r="AJ185" s="29" t="str">
        <f t="shared" si="15"/>
        <v>GUARULHOS</v>
      </c>
      <c r="AK185" s="33" t="s">
        <v>13</v>
      </c>
    </row>
    <row r="186" spans="1:37" ht="30" customHeight="1" x14ac:dyDescent="0.2">
      <c r="A186" s="82" t="s">
        <v>101</v>
      </c>
      <c r="B186" s="82">
        <v>2617162410</v>
      </c>
      <c r="C186" s="82" t="s">
        <v>1734</v>
      </c>
      <c r="D186" s="82" t="s">
        <v>53</v>
      </c>
      <c r="E186" s="82" t="s">
        <v>102</v>
      </c>
      <c r="F186" s="82" t="s">
        <v>1878</v>
      </c>
      <c r="G186" s="82">
        <v>117</v>
      </c>
      <c r="H186" s="82" t="s">
        <v>174</v>
      </c>
      <c r="I186" s="82" t="s">
        <v>237</v>
      </c>
      <c r="J186" s="82" t="s">
        <v>1736</v>
      </c>
      <c r="K186" s="88" t="s">
        <v>1880</v>
      </c>
      <c r="L186" s="82" t="s">
        <v>1426</v>
      </c>
      <c r="M186" s="82" t="s">
        <v>1877</v>
      </c>
      <c r="N186" s="82" t="s">
        <v>1760</v>
      </c>
      <c r="O186" s="36" t="s">
        <v>14</v>
      </c>
      <c r="P186" s="18"/>
      <c r="Q186" s="28" t="s">
        <v>14</v>
      </c>
      <c r="R186" s="18"/>
      <c r="S186" s="28" t="s">
        <v>14</v>
      </c>
      <c r="T186" s="18"/>
      <c r="U186" s="28" t="s">
        <v>14</v>
      </c>
      <c r="V186" s="18"/>
      <c r="W186" s="28" t="s">
        <v>14</v>
      </c>
      <c r="X186" s="18"/>
      <c r="Y186" s="28" t="s">
        <v>14</v>
      </c>
      <c r="Z186" s="18"/>
      <c r="AA186" s="28" t="s">
        <v>14</v>
      </c>
      <c r="AB186" s="18"/>
      <c r="AC186" s="28" t="s">
        <v>14</v>
      </c>
      <c r="AD186" s="18"/>
      <c r="AE186" s="28" t="s">
        <v>14</v>
      </c>
      <c r="AF186" s="25" t="str">
        <f t="shared" si="17"/>
        <v>NA</v>
      </c>
      <c r="AG186" s="59" t="str">
        <f t="shared" si="16"/>
        <v>NÃO AVALIADO POR FALHA DE SINCRONISMO</v>
      </c>
      <c r="AH186" s="28" t="s">
        <v>108</v>
      </c>
      <c r="AI186" s="32" t="s">
        <v>1</v>
      </c>
      <c r="AJ186" s="29" t="str">
        <f t="shared" si="15"/>
        <v>GUARULHOS</v>
      </c>
      <c r="AK186" s="33" t="s">
        <v>13</v>
      </c>
    </row>
    <row r="187" spans="1:37" ht="30" customHeight="1" x14ac:dyDescent="0.2">
      <c r="A187" s="82" t="s">
        <v>101</v>
      </c>
      <c r="B187" s="82">
        <v>2617163834</v>
      </c>
      <c r="C187" s="82" t="s">
        <v>1734</v>
      </c>
      <c r="D187" s="82" t="s">
        <v>53</v>
      </c>
      <c r="E187" s="82" t="s">
        <v>102</v>
      </c>
      <c r="F187" s="82" t="s">
        <v>1878</v>
      </c>
      <c r="G187" s="82">
        <v>112</v>
      </c>
      <c r="H187" s="82"/>
      <c r="I187" s="82" t="s">
        <v>237</v>
      </c>
      <c r="J187" s="82" t="s">
        <v>1736</v>
      </c>
      <c r="K187" s="88" t="s">
        <v>1880</v>
      </c>
      <c r="L187" s="82" t="s">
        <v>1426</v>
      </c>
      <c r="M187" s="82" t="s">
        <v>1877</v>
      </c>
      <c r="N187" s="82" t="s">
        <v>1760</v>
      </c>
      <c r="O187" s="36" t="s">
        <v>14</v>
      </c>
      <c r="P187" s="18"/>
      <c r="Q187" s="28" t="s">
        <v>14</v>
      </c>
      <c r="R187" s="18"/>
      <c r="S187" s="28" t="s">
        <v>14</v>
      </c>
      <c r="T187" s="18"/>
      <c r="U187" s="28" t="s">
        <v>14</v>
      </c>
      <c r="V187" s="18"/>
      <c r="W187" s="28" t="s">
        <v>14</v>
      </c>
      <c r="X187" s="18"/>
      <c r="Y187" s="28" t="s">
        <v>14</v>
      </c>
      <c r="Z187" s="18"/>
      <c r="AA187" s="28" t="s">
        <v>14</v>
      </c>
      <c r="AB187" s="18"/>
      <c r="AC187" s="28" t="s">
        <v>14</v>
      </c>
      <c r="AD187" s="18"/>
      <c r="AE187" s="28" t="s">
        <v>14</v>
      </c>
      <c r="AF187" s="25" t="str">
        <f t="shared" si="17"/>
        <v>NA</v>
      </c>
      <c r="AG187" s="59" t="str">
        <f t="shared" si="16"/>
        <v>NÃO AVALIADO POR FALHA DE SINCRONISMO</v>
      </c>
      <c r="AH187" s="28" t="s">
        <v>108</v>
      </c>
      <c r="AI187" s="32" t="s">
        <v>1</v>
      </c>
      <c r="AJ187" s="29" t="str">
        <f t="shared" si="15"/>
        <v>GUARULHOS</v>
      </c>
      <c r="AK187" s="33" t="s">
        <v>13</v>
      </c>
    </row>
    <row r="188" spans="1:37" ht="30" customHeight="1" x14ac:dyDescent="0.2">
      <c r="A188" s="82" t="s">
        <v>101</v>
      </c>
      <c r="B188" s="82">
        <v>2617165878</v>
      </c>
      <c r="C188" s="82" t="s">
        <v>1734</v>
      </c>
      <c r="D188" s="82" t="s">
        <v>53</v>
      </c>
      <c r="E188" s="82" t="s">
        <v>102</v>
      </c>
      <c r="F188" s="82" t="s">
        <v>1878</v>
      </c>
      <c r="G188" s="82">
        <v>107</v>
      </c>
      <c r="H188" s="82" t="s">
        <v>1678</v>
      </c>
      <c r="I188" s="82" t="s">
        <v>237</v>
      </c>
      <c r="J188" s="82" t="s">
        <v>1736</v>
      </c>
      <c r="K188" s="82" t="s">
        <v>1888</v>
      </c>
      <c r="L188" s="82" t="s">
        <v>1426</v>
      </c>
      <c r="M188" s="82" t="s">
        <v>1889</v>
      </c>
      <c r="N188" s="82" t="s">
        <v>1760</v>
      </c>
      <c r="O188" s="36" t="s">
        <v>14</v>
      </c>
      <c r="P188" s="18"/>
      <c r="Q188" s="28" t="s">
        <v>14</v>
      </c>
      <c r="R188" s="18"/>
      <c r="S188" s="28" t="s">
        <v>14</v>
      </c>
      <c r="T188" s="18"/>
      <c r="U188" s="28" t="s">
        <v>14</v>
      </c>
      <c r="V188" s="18"/>
      <c r="W188" s="28" t="s">
        <v>14</v>
      </c>
      <c r="X188" s="18"/>
      <c r="Y188" s="28" t="s">
        <v>14</v>
      </c>
      <c r="Z188" s="18"/>
      <c r="AA188" s="28" t="s">
        <v>14</v>
      </c>
      <c r="AB188" s="18"/>
      <c r="AC188" s="28" t="s">
        <v>14</v>
      </c>
      <c r="AD188" s="18"/>
      <c r="AE188" s="28" t="s">
        <v>14</v>
      </c>
      <c r="AF188" s="25" t="str">
        <f t="shared" si="17"/>
        <v>NA</v>
      </c>
      <c r="AG188" s="59" t="str">
        <f t="shared" si="16"/>
        <v>NÃO AVALIADO POR FALHA DE SINCRONISMO</v>
      </c>
      <c r="AH188" s="28" t="s">
        <v>108</v>
      </c>
      <c r="AI188" s="32" t="s">
        <v>1</v>
      </c>
      <c r="AJ188" s="29" t="str">
        <f t="shared" si="15"/>
        <v>GUARULHOS</v>
      </c>
      <c r="AK188" s="33" t="s">
        <v>13</v>
      </c>
    </row>
    <row r="189" spans="1:37" ht="30" customHeight="1" x14ac:dyDescent="0.2">
      <c r="A189" s="82" t="s">
        <v>101</v>
      </c>
      <c r="B189" s="82">
        <v>2617165749</v>
      </c>
      <c r="C189" s="82" t="s">
        <v>1734</v>
      </c>
      <c r="D189" s="82" t="s">
        <v>53</v>
      </c>
      <c r="E189" s="82" t="s">
        <v>102</v>
      </c>
      <c r="F189" s="82" t="s">
        <v>1878</v>
      </c>
      <c r="G189" s="82">
        <v>101</v>
      </c>
      <c r="H189" s="82" t="s">
        <v>639</v>
      </c>
      <c r="I189" s="82" t="s">
        <v>237</v>
      </c>
      <c r="J189" s="82" t="s">
        <v>1736</v>
      </c>
      <c r="K189" s="82" t="s">
        <v>1894</v>
      </c>
      <c r="L189" s="82" t="s">
        <v>1426</v>
      </c>
      <c r="M189" s="82" t="s">
        <v>1889</v>
      </c>
      <c r="N189" s="82" t="s">
        <v>1760</v>
      </c>
      <c r="O189" s="36" t="s">
        <v>14</v>
      </c>
      <c r="P189" s="18"/>
      <c r="Q189" s="28" t="s">
        <v>14</v>
      </c>
      <c r="R189" s="18"/>
      <c r="S189" s="28" t="s">
        <v>14</v>
      </c>
      <c r="T189" s="18"/>
      <c r="U189" s="28" t="s">
        <v>14</v>
      </c>
      <c r="V189" s="18"/>
      <c r="W189" s="28" t="s">
        <v>14</v>
      </c>
      <c r="X189" s="18"/>
      <c r="Y189" s="28" t="s">
        <v>14</v>
      </c>
      <c r="Z189" s="18"/>
      <c r="AA189" s="28" t="s">
        <v>14</v>
      </c>
      <c r="AB189" s="18"/>
      <c r="AC189" s="28" t="s">
        <v>14</v>
      </c>
      <c r="AD189" s="18"/>
      <c r="AE189" s="28" t="s">
        <v>14</v>
      </c>
      <c r="AF189" s="25" t="str">
        <f t="shared" si="17"/>
        <v>NA</v>
      </c>
      <c r="AG189" s="59" t="str">
        <f t="shared" si="16"/>
        <v>NÃO AVALIADO POR FALHA DE SINCRONISMO</v>
      </c>
      <c r="AH189" s="28" t="s">
        <v>108</v>
      </c>
      <c r="AI189" s="32" t="s">
        <v>1</v>
      </c>
      <c r="AJ189" s="29" t="str">
        <f t="shared" si="15"/>
        <v>GUARULHOS</v>
      </c>
      <c r="AK189" s="33" t="s">
        <v>13</v>
      </c>
    </row>
    <row r="190" spans="1:37" ht="30" customHeight="1" x14ac:dyDescent="0.2">
      <c r="A190" s="82" t="s">
        <v>101</v>
      </c>
      <c r="B190" s="82">
        <v>2617164076</v>
      </c>
      <c r="C190" s="82" t="s">
        <v>1734</v>
      </c>
      <c r="D190" s="82" t="s">
        <v>53</v>
      </c>
      <c r="E190" s="82" t="s">
        <v>102</v>
      </c>
      <c r="F190" s="82" t="s">
        <v>1878</v>
      </c>
      <c r="G190" s="82">
        <v>100</v>
      </c>
      <c r="H190" s="82" t="s">
        <v>1618</v>
      </c>
      <c r="I190" s="82" t="s">
        <v>237</v>
      </c>
      <c r="J190" s="82" t="s">
        <v>1736</v>
      </c>
      <c r="K190" s="88" t="s">
        <v>1880</v>
      </c>
      <c r="L190" s="82" t="s">
        <v>1426</v>
      </c>
      <c r="M190" s="82" t="s">
        <v>1877</v>
      </c>
      <c r="N190" s="82" t="s">
        <v>1760</v>
      </c>
      <c r="O190" s="36" t="s">
        <v>14</v>
      </c>
      <c r="P190" s="18"/>
      <c r="Q190" s="28" t="s">
        <v>14</v>
      </c>
      <c r="R190" s="18"/>
      <c r="S190" s="28" t="s">
        <v>14</v>
      </c>
      <c r="T190" s="18"/>
      <c r="U190" s="28" t="s">
        <v>14</v>
      </c>
      <c r="V190" s="18"/>
      <c r="W190" s="28" t="s">
        <v>14</v>
      </c>
      <c r="X190" s="18"/>
      <c r="Y190" s="28" t="s">
        <v>14</v>
      </c>
      <c r="Z190" s="18"/>
      <c r="AA190" s="28" t="s">
        <v>14</v>
      </c>
      <c r="AB190" s="18"/>
      <c r="AC190" s="28" t="s">
        <v>14</v>
      </c>
      <c r="AD190" s="18"/>
      <c r="AE190" s="28" t="s">
        <v>14</v>
      </c>
      <c r="AF190" s="25" t="str">
        <f t="shared" si="17"/>
        <v>NA</v>
      </c>
      <c r="AG190" s="59" t="str">
        <f t="shared" si="16"/>
        <v>NÃO AVALIADO POR FALHA DE SINCRONISMO</v>
      </c>
      <c r="AH190" s="28" t="s">
        <v>108</v>
      </c>
      <c r="AI190" s="32" t="s">
        <v>1</v>
      </c>
      <c r="AJ190" s="29" t="str">
        <f t="shared" si="15"/>
        <v>GUARULHOS</v>
      </c>
      <c r="AK190" s="33" t="s">
        <v>13</v>
      </c>
    </row>
    <row r="191" spans="1:37" ht="30" customHeight="1" x14ac:dyDescent="0.2">
      <c r="A191" s="82" t="s">
        <v>101</v>
      </c>
      <c r="B191" s="82">
        <v>2617299422</v>
      </c>
      <c r="C191" s="82" t="s">
        <v>1734</v>
      </c>
      <c r="D191" s="82" t="s">
        <v>53</v>
      </c>
      <c r="E191" s="82" t="s">
        <v>102</v>
      </c>
      <c r="F191" s="82" t="s">
        <v>161</v>
      </c>
      <c r="G191" s="82">
        <v>415</v>
      </c>
      <c r="H191" s="82" t="s">
        <v>117</v>
      </c>
      <c r="I191" s="82" t="s">
        <v>162</v>
      </c>
      <c r="J191" s="82" t="s">
        <v>1736</v>
      </c>
      <c r="K191" s="88" t="s">
        <v>1895</v>
      </c>
      <c r="L191" s="82" t="s">
        <v>1426</v>
      </c>
      <c r="M191" s="82" t="s">
        <v>1896</v>
      </c>
      <c r="N191" s="82" t="s">
        <v>1740</v>
      </c>
      <c r="O191" s="36" t="s">
        <v>14</v>
      </c>
      <c r="P191" s="18"/>
      <c r="Q191" s="28" t="s">
        <v>14</v>
      </c>
      <c r="R191" s="18"/>
      <c r="S191" s="28" t="s">
        <v>14</v>
      </c>
      <c r="T191" s="18"/>
      <c r="U191" s="28" t="s">
        <v>14</v>
      </c>
      <c r="V191" s="18"/>
      <c r="W191" s="28" t="s">
        <v>14</v>
      </c>
      <c r="X191" s="18"/>
      <c r="Y191" s="28" t="s">
        <v>14</v>
      </c>
      <c r="Z191" s="18"/>
      <c r="AA191" s="28" t="s">
        <v>14</v>
      </c>
      <c r="AB191" s="18"/>
      <c r="AC191" s="28" t="s">
        <v>14</v>
      </c>
      <c r="AD191" s="18"/>
      <c r="AE191" s="28" t="s">
        <v>14</v>
      </c>
      <c r="AF191" s="25" t="str">
        <f t="shared" si="17"/>
        <v>NA</v>
      </c>
      <c r="AG191" s="59" t="str">
        <f t="shared" si="16"/>
        <v>NÃO AVALIADO POR FALHA DE SINCRONISMO</v>
      </c>
      <c r="AH191" s="28" t="s">
        <v>108</v>
      </c>
      <c r="AI191" s="32" t="s">
        <v>1</v>
      </c>
      <c r="AJ191" s="29" t="str">
        <f t="shared" si="15"/>
        <v>GUARULHOS</v>
      </c>
      <c r="AK191" s="33" t="s">
        <v>13</v>
      </c>
    </row>
    <row r="192" spans="1:37" ht="30" customHeight="1" x14ac:dyDescent="0.2">
      <c r="A192" s="82" t="s">
        <v>101</v>
      </c>
      <c r="B192" s="82">
        <v>2617299639</v>
      </c>
      <c r="C192" s="82" t="s">
        <v>1734</v>
      </c>
      <c r="D192" s="82" t="s">
        <v>53</v>
      </c>
      <c r="E192" s="82" t="s">
        <v>102</v>
      </c>
      <c r="F192" s="82" t="s">
        <v>161</v>
      </c>
      <c r="G192" s="82">
        <v>405</v>
      </c>
      <c r="H192" s="82"/>
      <c r="I192" s="82" t="s">
        <v>162</v>
      </c>
      <c r="J192" s="82" t="s">
        <v>1736</v>
      </c>
      <c r="K192" s="88" t="s">
        <v>1895</v>
      </c>
      <c r="L192" s="82" t="s">
        <v>1426</v>
      </c>
      <c r="M192" s="82" t="s">
        <v>1896</v>
      </c>
      <c r="N192" s="82" t="s">
        <v>1740</v>
      </c>
      <c r="O192" s="36" t="s">
        <v>14</v>
      </c>
      <c r="P192" s="18"/>
      <c r="Q192" s="28" t="s">
        <v>14</v>
      </c>
      <c r="R192" s="18"/>
      <c r="S192" s="28" t="s">
        <v>14</v>
      </c>
      <c r="T192" s="18"/>
      <c r="U192" s="28" t="s">
        <v>14</v>
      </c>
      <c r="V192" s="18"/>
      <c r="W192" s="28" t="s">
        <v>14</v>
      </c>
      <c r="X192" s="18"/>
      <c r="Y192" s="28" t="s">
        <v>14</v>
      </c>
      <c r="Z192" s="18"/>
      <c r="AA192" s="28" t="s">
        <v>14</v>
      </c>
      <c r="AB192" s="18"/>
      <c r="AC192" s="28" t="s">
        <v>14</v>
      </c>
      <c r="AD192" s="18"/>
      <c r="AE192" s="28" t="s">
        <v>14</v>
      </c>
      <c r="AF192" s="25" t="str">
        <f t="shared" si="17"/>
        <v>NA</v>
      </c>
      <c r="AG192" s="59" t="str">
        <f t="shared" si="16"/>
        <v>NÃO AVALIADO POR FALHA DE SINCRONISMO</v>
      </c>
      <c r="AH192" s="28" t="s">
        <v>108</v>
      </c>
      <c r="AI192" s="32" t="s">
        <v>1</v>
      </c>
      <c r="AJ192" s="29" t="str">
        <f t="shared" si="15"/>
        <v>GUARULHOS</v>
      </c>
      <c r="AK192" s="33" t="s">
        <v>13</v>
      </c>
    </row>
    <row r="193" spans="1:37" ht="30" customHeight="1" x14ac:dyDescent="0.2">
      <c r="A193" s="82" t="s">
        <v>101</v>
      </c>
      <c r="B193" s="82">
        <v>2617299852</v>
      </c>
      <c r="C193" s="82" t="s">
        <v>1734</v>
      </c>
      <c r="D193" s="82" t="s">
        <v>53</v>
      </c>
      <c r="E193" s="82" t="s">
        <v>102</v>
      </c>
      <c r="F193" s="82" t="s">
        <v>161</v>
      </c>
      <c r="G193" s="82">
        <v>393</v>
      </c>
      <c r="H193" s="82" t="s">
        <v>117</v>
      </c>
      <c r="I193" s="82" t="s">
        <v>162</v>
      </c>
      <c r="J193" s="82" t="s">
        <v>1736</v>
      </c>
      <c r="K193" s="88" t="s">
        <v>1895</v>
      </c>
      <c r="L193" s="82" t="s">
        <v>1426</v>
      </c>
      <c r="M193" s="82" t="s">
        <v>1897</v>
      </c>
      <c r="N193" s="82" t="s">
        <v>1740</v>
      </c>
      <c r="O193" s="36" t="s">
        <v>14</v>
      </c>
      <c r="P193" s="18"/>
      <c r="Q193" s="28" t="s">
        <v>14</v>
      </c>
      <c r="R193" s="18"/>
      <c r="S193" s="28" t="s">
        <v>14</v>
      </c>
      <c r="T193" s="18"/>
      <c r="U193" s="28" t="s">
        <v>14</v>
      </c>
      <c r="V193" s="18"/>
      <c r="W193" s="28" t="s">
        <v>14</v>
      </c>
      <c r="X193" s="18"/>
      <c r="Y193" s="28" t="s">
        <v>14</v>
      </c>
      <c r="Z193" s="18"/>
      <c r="AA193" s="28" t="s">
        <v>14</v>
      </c>
      <c r="AB193" s="18"/>
      <c r="AC193" s="28" t="s">
        <v>14</v>
      </c>
      <c r="AD193" s="18"/>
      <c r="AE193" s="28" t="s">
        <v>14</v>
      </c>
      <c r="AF193" s="25" t="str">
        <f t="shared" si="17"/>
        <v>NA</v>
      </c>
      <c r="AG193" s="59" t="str">
        <f t="shared" si="16"/>
        <v>NÃO AVALIADO POR FALHA DE SINCRONISMO</v>
      </c>
      <c r="AH193" s="28" t="s">
        <v>108</v>
      </c>
      <c r="AI193" s="32" t="s">
        <v>1</v>
      </c>
      <c r="AJ193" s="29" t="str">
        <f t="shared" si="15"/>
        <v>GUARULHOS</v>
      </c>
      <c r="AK193" s="33" t="s">
        <v>13</v>
      </c>
    </row>
    <row r="194" spans="1:37" ht="30" customHeight="1" x14ac:dyDescent="0.2">
      <c r="A194" s="82" t="s">
        <v>101</v>
      </c>
      <c r="B194" s="82">
        <v>2617583379</v>
      </c>
      <c r="C194" s="82" t="s">
        <v>1734</v>
      </c>
      <c r="D194" s="82" t="s">
        <v>53</v>
      </c>
      <c r="E194" s="82" t="s">
        <v>102</v>
      </c>
      <c r="F194" s="82" t="s">
        <v>161</v>
      </c>
      <c r="G194" s="82">
        <v>387</v>
      </c>
      <c r="H194" s="82"/>
      <c r="I194" s="82" t="s">
        <v>162</v>
      </c>
      <c r="J194" s="82" t="s">
        <v>1736</v>
      </c>
      <c r="K194" s="88" t="s">
        <v>1895</v>
      </c>
      <c r="L194" s="82" t="s">
        <v>1426</v>
      </c>
      <c r="M194" s="82" t="s">
        <v>1898</v>
      </c>
      <c r="N194" s="82" t="s">
        <v>1740</v>
      </c>
      <c r="O194" s="36" t="s">
        <v>14</v>
      </c>
      <c r="P194" s="18"/>
      <c r="Q194" s="28" t="s">
        <v>14</v>
      </c>
      <c r="R194" s="18"/>
      <c r="S194" s="28" t="s">
        <v>14</v>
      </c>
      <c r="T194" s="18"/>
      <c r="U194" s="28" t="s">
        <v>14</v>
      </c>
      <c r="V194" s="18"/>
      <c r="W194" s="28" t="s">
        <v>14</v>
      </c>
      <c r="X194" s="18"/>
      <c r="Y194" s="28" t="s">
        <v>14</v>
      </c>
      <c r="Z194" s="18"/>
      <c r="AA194" s="28" t="s">
        <v>14</v>
      </c>
      <c r="AB194" s="18"/>
      <c r="AC194" s="28" t="s">
        <v>14</v>
      </c>
      <c r="AD194" s="18"/>
      <c r="AE194" s="28" t="s">
        <v>14</v>
      </c>
      <c r="AF194" s="25" t="str">
        <f t="shared" si="17"/>
        <v>NA</v>
      </c>
      <c r="AG194" s="59" t="str">
        <f t="shared" si="16"/>
        <v>NÃO AVALIADO POR FALHA DE SINCRONISMO</v>
      </c>
      <c r="AH194" s="28" t="s">
        <v>108</v>
      </c>
      <c r="AI194" s="32" t="s">
        <v>1</v>
      </c>
      <c r="AJ194" s="29" t="str">
        <f t="shared" si="15"/>
        <v>GUARULHOS</v>
      </c>
      <c r="AK194" s="33" t="s">
        <v>13</v>
      </c>
    </row>
    <row r="195" spans="1:37" ht="30" customHeight="1" x14ac:dyDescent="0.2">
      <c r="A195" s="94" t="s">
        <v>101</v>
      </c>
      <c r="B195" s="94">
        <v>2617301814</v>
      </c>
      <c r="C195" s="94" t="s">
        <v>1734</v>
      </c>
      <c r="D195" s="94" t="s">
        <v>53</v>
      </c>
      <c r="E195" s="94" t="s">
        <v>102</v>
      </c>
      <c r="F195" s="94" t="s">
        <v>236</v>
      </c>
      <c r="G195" s="94">
        <v>40</v>
      </c>
      <c r="H195" s="94" t="s">
        <v>117</v>
      </c>
      <c r="I195" s="94" t="s">
        <v>237</v>
      </c>
      <c r="J195" s="94" t="s">
        <v>1736</v>
      </c>
      <c r="K195" s="95" t="s">
        <v>1899</v>
      </c>
      <c r="L195" s="94" t="s">
        <v>1500</v>
      </c>
      <c r="M195" s="94" t="s">
        <v>1900</v>
      </c>
      <c r="N195" s="94" t="s">
        <v>1761</v>
      </c>
      <c r="O195" s="36" t="s">
        <v>14</v>
      </c>
      <c r="P195" s="18"/>
      <c r="Q195" s="28" t="s">
        <v>14</v>
      </c>
      <c r="R195" s="18"/>
      <c r="S195" s="28" t="s">
        <v>14</v>
      </c>
      <c r="T195" s="18"/>
      <c r="U195" s="28" t="s">
        <v>14</v>
      </c>
      <c r="V195" s="18"/>
      <c r="W195" s="28" t="s">
        <v>14</v>
      </c>
      <c r="X195" s="18"/>
      <c r="Y195" s="28" t="s">
        <v>14</v>
      </c>
      <c r="Z195" s="18"/>
      <c r="AA195" s="28" t="s">
        <v>14</v>
      </c>
      <c r="AB195" s="18"/>
      <c r="AC195" s="28" t="s">
        <v>14</v>
      </c>
      <c r="AD195" s="18"/>
      <c r="AE195" s="28" t="s">
        <v>14</v>
      </c>
      <c r="AF195" s="25" t="str">
        <f t="shared" si="17"/>
        <v>NA</v>
      </c>
      <c r="AG195" s="59" t="str">
        <f t="shared" si="16"/>
        <v>NÃO AVALIADO POR FALHA DE SINCRONISMO</v>
      </c>
      <c r="AH195" s="28" t="s">
        <v>108</v>
      </c>
      <c r="AI195" s="32" t="s">
        <v>1</v>
      </c>
      <c r="AJ195" s="29" t="str">
        <f t="shared" si="15"/>
        <v>GUARULHOS</v>
      </c>
      <c r="AK195" s="33" t="s">
        <v>13</v>
      </c>
    </row>
    <row r="196" spans="1:37" ht="30" customHeight="1" x14ac:dyDescent="0.2">
      <c r="A196" s="94" t="s">
        <v>101</v>
      </c>
      <c r="B196" s="94">
        <v>2617300471</v>
      </c>
      <c r="C196" s="94" t="s">
        <v>1734</v>
      </c>
      <c r="D196" s="94" t="s">
        <v>53</v>
      </c>
      <c r="E196" s="94" t="s">
        <v>102</v>
      </c>
      <c r="F196" s="94" t="s">
        <v>236</v>
      </c>
      <c r="G196" s="94">
        <v>26</v>
      </c>
      <c r="H196" s="94" t="s">
        <v>1901</v>
      </c>
      <c r="I196" s="94" t="s">
        <v>237</v>
      </c>
      <c r="J196" s="94" t="s">
        <v>1736</v>
      </c>
      <c r="K196" s="95" t="s">
        <v>1902</v>
      </c>
      <c r="L196" s="94" t="s">
        <v>1500</v>
      </c>
      <c r="M196" s="94" t="s">
        <v>1900</v>
      </c>
      <c r="N196" s="94" t="s">
        <v>1761</v>
      </c>
      <c r="O196" s="36" t="s">
        <v>14</v>
      </c>
      <c r="P196" s="18"/>
      <c r="Q196" s="28" t="s">
        <v>14</v>
      </c>
      <c r="R196" s="18"/>
      <c r="S196" s="28" t="s">
        <v>14</v>
      </c>
      <c r="T196" s="18"/>
      <c r="U196" s="28" t="s">
        <v>14</v>
      </c>
      <c r="V196" s="18"/>
      <c r="W196" s="28" t="s">
        <v>14</v>
      </c>
      <c r="X196" s="18"/>
      <c r="Y196" s="28" t="s">
        <v>14</v>
      </c>
      <c r="Z196" s="18"/>
      <c r="AA196" s="28" t="s">
        <v>14</v>
      </c>
      <c r="AB196" s="18"/>
      <c r="AC196" s="28" t="s">
        <v>14</v>
      </c>
      <c r="AD196" s="18"/>
      <c r="AE196" s="28" t="s">
        <v>14</v>
      </c>
      <c r="AF196" s="25" t="str">
        <f t="shared" si="17"/>
        <v>NA</v>
      </c>
      <c r="AG196" s="59" t="str">
        <f t="shared" si="16"/>
        <v>NÃO AVALIADO POR FALHA DE SINCRONISMO</v>
      </c>
      <c r="AH196" s="28" t="s">
        <v>108</v>
      </c>
      <c r="AI196" s="32" t="s">
        <v>1</v>
      </c>
      <c r="AJ196" s="29" t="str">
        <f t="shared" si="15"/>
        <v>GUARULHOS</v>
      </c>
      <c r="AK196" s="33" t="s">
        <v>13</v>
      </c>
    </row>
    <row r="197" spans="1:37" ht="30" customHeight="1" x14ac:dyDescent="0.2">
      <c r="A197" s="94" t="s">
        <v>101</v>
      </c>
      <c r="B197" s="94">
        <v>2617299741</v>
      </c>
      <c r="C197" s="94" t="s">
        <v>1734</v>
      </c>
      <c r="D197" s="94" t="s">
        <v>53</v>
      </c>
      <c r="E197" s="94" t="s">
        <v>102</v>
      </c>
      <c r="F197" s="94" t="s">
        <v>236</v>
      </c>
      <c r="G197" s="94">
        <v>243</v>
      </c>
      <c r="H197" s="94" t="s">
        <v>117</v>
      </c>
      <c r="I197" s="94" t="s">
        <v>237</v>
      </c>
      <c r="J197" s="94" t="s">
        <v>1736</v>
      </c>
      <c r="K197" s="95" t="s">
        <v>1899</v>
      </c>
      <c r="L197" s="94" t="s">
        <v>1500</v>
      </c>
      <c r="M197" s="94" t="s">
        <v>1900</v>
      </c>
      <c r="N197" s="94" t="s">
        <v>1761</v>
      </c>
      <c r="O197" s="36" t="s">
        <v>14</v>
      </c>
      <c r="P197" s="18"/>
      <c r="Q197" s="28" t="s">
        <v>14</v>
      </c>
      <c r="R197" s="18"/>
      <c r="S197" s="28" t="s">
        <v>14</v>
      </c>
      <c r="T197" s="18"/>
      <c r="U197" s="28" t="s">
        <v>14</v>
      </c>
      <c r="V197" s="18"/>
      <c r="W197" s="28" t="s">
        <v>14</v>
      </c>
      <c r="X197" s="18"/>
      <c r="Y197" s="28" t="s">
        <v>14</v>
      </c>
      <c r="Z197" s="18"/>
      <c r="AA197" s="28" t="s">
        <v>14</v>
      </c>
      <c r="AB197" s="18"/>
      <c r="AC197" s="28" t="s">
        <v>14</v>
      </c>
      <c r="AD197" s="18"/>
      <c r="AE197" s="28" t="s">
        <v>14</v>
      </c>
      <c r="AF197" s="25" t="str">
        <f t="shared" si="17"/>
        <v>NA</v>
      </c>
      <c r="AG197" s="59" t="str">
        <f t="shared" si="16"/>
        <v>NÃO AVALIADO POR FALHA DE SINCRONISMO</v>
      </c>
      <c r="AH197" s="28" t="s">
        <v>108</v>
      </c>
      <c r="AI197" s="32" t="s">
        <v>1</v>
      </c>
      <c r="AJ197" s="29" t="str">
        <f t="shared" si="15"/>
        <v>GUARULHOS</v>
      </c>
      <c r="AK197" s="33" t="s">
        <v>13</v>
      </c>
    </row>
    <row r="198" spans="1:37" ht="30" customHeight="1" x14ac:dyDescent="0.2">
      <c r="A198" s="94" t="s">
        <v>101</v>
      </c>
      <c r="B198" s="94">
        <v>2617307314</v>
      </c>
      <c r="C198" s="94" t="s">
        <v>1734</v>
      </c>
      <c r="D198" s="94" t="s">
        <v>53</v>
      </c>
      <c r="E198" s="94" t="s">
        <v>102</v>
      </c>
      <c r="F198" s="94" t="s">
        <v>236</v>
      </c>
      <c r="G198" s="94">
        <v>238</v>
      </c>
      <c r="H198" s="94"/>
      <c r="I198" s="94" t="s">
        <v>237</v>
      </c>
      <c r="J198" s="94" t="s">
        <v>1736</v>
      </c>
      <c r="K198" s="95" t="s">
        <v>1903</v>
      </c>
      <c r="L198" s="94" t="s">
        <v>1500</v>
      </c>
      <c r="M198" s="94" t="s">
        <v>1904</v>
      </c>
      <c r="N198" s="94" t="s">
        <v>1761</v>
      </c>
      <c r="O198" s="36" t="s">
        <v>14</v>
      </c>
      <c r="P198" s="18"/>
      <c r="Q198" s="28" t="s">
        <v>14</v>
      </c>
      <c r="R198" s="18"/>
      <c r="S198" s="28" t="s">
        <v>14</v>
      </c>
      <c r="T198" s="18"/>
      <c r="U198" s="28" t="s">
        <v>14</v>
      </c>
      <c r="V198" s="18"/>
      <c r="W198" s="28" t="s">
        <v>14</v>
      </c>
      <c r="X198" s="18"/>
      <c r="Y198" s="28" t="s">
        <v>14</v>
      </c>
      <c r="Z198" s="18"/>
      <c r="AA198" s="28" t="s">
        <v>14</v>
      </c>
      <c r="AB198" s="18"/>
      <c r="AC198" s="28" t="s">
        <v>14</v>
      </c>
      <c r="AD198" s="18"/>
      <c r="AE198" s="28" t="s">
        <v>14</v>
      </c>
      <c r="AF198" s="25" t="str">
        <f t="shared" si="17"/>
        <v>NA</v>
      </c>
      <c r="AG198" s="59" t="str">
        <f t="shared" si="16"/>
        <v>NÃO AVALIADO POR FALHA DE SINCRONISMO</v>
      </c>
      <c r="AH198" s="28" t="s">
        <v>108</v>
      </c>
      <c r="AI198" s="32" t="s">
        <v>1</v>
      </c>
      <c r="AJ198" s="29" t="str">
        <f t="shared" si="15"/>
        <v>GUARULHOS</v>
      </c>
      <c r="AK198" s="33" t="s">
        <v>13</v>
      </c>
    </row>
    <row r="199" spans="1:37" ht="30" customHeight="1" x14ac:dyDescent="0.2">
      <c r="A199" s="94" t="s">
        <v>101</v>
      </c>
      <c r="B199" s="94">
        <v>2617299401</v>
      </c>
      <c r="C199" s="94" t="s">
        <v>1734</v>
      </c>
      <c r="D199" s="94" t="s">
        <v>53</v>
      </c>
      <c r="E199" s="94" t="s">
        <v>102</v>
      </c>
      <c r="F199" s="94" t="s">
        <v>236</v>
      </c>
      <c r="G199" s="94">
        <v>237</v>
      </c>
      <c r="H199" s="94" t="s">
        <v>117</v>
      </c>
      <c r="I199" s="94" t="s">
        <v>237</v>
      </c>
      <c r="J199" s="94" t="s">
        <v>1736</v>
      </c>
      <c r="K199" s="95" t="s">
        <v>1902</v>
      </c>
      <c r="L199" s="94" t="s">
        <v>1500</v>
      </c>
      <c r="M199" s="94" t="s">
        <v>1900</v>
      </c>
      <c r="N199" s="94" t="s">
        <v>1761</v>
      </c>
      <c r="O199" s="36" t="s">
        <v>14</v>
      </c>
      <c r="P199" s="18"/>
      <c r="Q199" s="28" t="s">
        <v>14</v>
      </c>
      <c r="R199" s="18"/>
      <c r="S199" s="28" t="s">
        <v>14</v>
      </c>
      <c r="T199" s="18"/>
      <c r="U199" s="28" t="s">
        <v>14</v>
      </c>
      <c r="V199" s="18"/>
      <c r="W199" s="28" t="s">
        <v>14</v>
      </c>
      <c r="X199" s="18"/>
      <c r="Y199" s="28" t="s">
        <v>14</v>
      </c>
      <c r="Z199" s="18"/>
      <c r="AA199" s="28" t="s">
        <v>14</v>
      </c>
      <c r="AB199" s="18"/>
      <c r="AC199" s="28" t="s">
        <v>14</v>
      </c>
      <c r="AD199" s="18"/>
      <c r="AE199" s="28" t="s">
        <v>14</v>
      </c>
      <c r="AF199" s="25" t="str">
        <f t="shared" si="17"/>
        <v>NA</v>
      </c>
      <c r="AG199" s="59" t="str">
        <f t="shared" si="16"/>
        <v>NÃO AVALIADO POR FALHA DE SINCRONISMO</v>
      </c>
      <c r="AH199" s="28" t="s">
        <v>108</v>
      </c>
      <c r="AI199" s="32" t="s">
        <v>1</v>
      </c>
      <c r="AJ199" s="29" t="str">
        <f t="shared" si="15"/>
        <v>GUARULHOS</v>
      </c>
      <c r="AK199" s="33" t="s">
        <v>13</v>
      </c>
    </row>
    <row r="200" spans="1:37" ht="30" customHeight="1" x14ac:dyDescent="0.2">
      <c r="A200" s="94" t="s">
        <v>101</v>
      </c>
      <c r="B200" s="94">
        <v>2617307003</v>
      </c>
      <c r="C200" s="94" t="s">
        <v>1734</v>
      </c>
      <c r="D200" s="94" t="s">
        <v>53</v>
      </c>
      <c r="E200" s="94" t="s">
        <v>102</v>
      </c>
      <c r="F200" s="94" t="s">
        <v>236</v>
      </c>
      <c r="G200" s="94">
        <v>234</v>
      </c>
      <c r="H200" s="94"/>
      <c r="I200" s="94" t="s">
        <v>237</v>
      </c>
      <c r="J200" s="94" t="s">
        <v>1736</v>
      </c>
      <c r="K200" s="95" t="s">
        <v>1903</v>
      </c>
      <c r="L200" s="94" t="s">
        <v>1500</v>
      </c>
      <c r="M200" s="94" t="s">
        <v>1904</v>
      </c>
      <c r="N200" s="94" t="s">
        <v>1761</v>
      </c>
      <c r="O200" s="36" t="s">
        <v>14</v>
      </c>
      <c r="P200" s="18"/>
      <c r="Q200" s="28" t="s">
        <v>14</v>
      </c>
      <c r="R200" s="18"/>
      <c r="S200" s="28" t="s">
        <v>14</v>
      </c>
      <c r="T200" s="18"/>
      <c r="U200" s="28" t="s">
        <v>14</v>
      </c>
      <c r="V200" s="18"/>
      <c r="W200" s="28" t="s">
        <v>14</v>
      </c>
      <c r="X200" s="18"/>
      <c r="Y200" s="28" t="s">
        <v>14</v>
      </c>
      <c r="Z200" s="18"/>
      <c r="AA200" s="28" t="s">
        <v>14</v>
      </c>
      <c r="AB200" s="18"/>
      <c r="AC200" s="28" t="s">
        <v>14</v>
      </c>
      <c r="AD200" s="18"/>
      <c r="AE200" s="28" t="s">
        <v>14</v>
      </c>
      <c r="AF200" s="25" t="str">
        <f t="shared" si="17"/>
        <v>NA</v>
      </c>
      <c r="AG200" s="59" t="str">
        <f t="shared" si="16"/>
        <v>NÃO AVALIADO POR FALHA DE SINCRONISMO</v>
      </c>
      <c r="AH200" s="28" t="s">
        <v>108</v>
      </c>
      <c r="AI200" s="32" t="s">
        <v>1</v>
      </c>
      <c r="AJ200" s="29" t="str">
        <f t="shared" si="15"/>
        <v>GUARULHOS</v>
      </c>
      <c r="AK200" s="33" t="s">
        <v>13</v>
      </c>
    </row>
    <row r="201" spans="1:37" ht="30" customHeight="1" x14ac:dyDescent="0.2">
      <c r="A201" s="94" t="s">
        <v>101</v>
      </c>
      <c r="B201" s="94">
        <v>2617306242</v>
      </c>
      <c r="C201" s="94" t="s">
        <v>1734</v>
      </c>
      <c r="D201" s="94" t="s">
        <v>53</v>
      </c>
      <c r="E201" s="94" t="s">
        <v>102</v>
      </c>
      <c r="F201" s="94" t="s">
        <v>236</v>
      </c>
      <c r="G201" s="94">
        <v>233</v>
      </c>
      <c r="H201" s="94" t="s">
        <v>241</v>
      </c>
      <c r="I201" s="94" t="s">
        <v>237</v>
      </c>
      <c r="J201" s="94" t="s">
        <v>1736</v>
      </c>
      <c r="K201" s="95" t="s">
        <v>1903</v>
      </c>
      <c r="L201" s="94" t="s">
        <v>1500</v>
      </c>
      <c r="M201" s="94" t="s">
        <v>1904</v>
      </c>
      <c r="N201" s="94" t="s">
        <v>1761</v>
      </c>
      <c r="O201" s="36" t="s">
        <v>14</v>
      </c>
      <c r="P201" s="18"/>
      <c r="Q201" s="28" t="s">
        <v>14</v>
      </c>
      <c r="R201" s="18"/>
      <c r="S201" s="28" t="s">
        <v>14</v>
      </c>
      <c r="T201" s="18"/>
      <c r="U201" s="28" t="s">
        <v>14</v>
      </c>
      <c r="V201" s="18"/>
      <c r="W201" s="28" t="s">
        <v>14</v>
      </c>
      <c r="X201" s="18"/>
      <c r="Y201" s="28" t="s">
        <v>14</v>
      </c>
      <c r="Z201" s="18"/>
      <c r="AA201" s="28" t="s">
        <v>14</v>
      </c>
      <c r="AB201" s="18"/>
      <c r="AC201" s="28" t="s">
        <v>14</v>
      </c>
      <c r="AD201" s="18"/>
      <c r="AE201" s="28" t="s">
        <v>14</v>
      </c>
      <c r="AF201" s="25" t="str">
        <f t="shared" si="17"/>
        <v>NA</v>
      </c>
      <c r="AG201" s="59" t="str">
        <f t="shared" si="16"/>
        <v>NÃO AVALIADO POR FALHA DE SINCRONISMO</v>
      </c>
      <c r="AH201" s="28" t="s">
        <v>108</v>
      </c>
      <c r="AI201" s="32" t="s">
        <v>1</v>
      </c>
      <c r="AJ201" s="29" t="str">
        <f t="shared" si="15"/>
        <v>GUARULHOS</v>
      </c>
      <c r="AK201" s="33" t="s">
        <v>13</v>
      </c>
    </row>
    <row r="202" spans="1:37" ht="30" customHeight="1" x14ac:dyDescent="0.2">
      <c r="A202" s="94" t="s">
        <v>101</v>
      </c>
      <c r="B202" s="94">
        <v>2617305748</v>
      </c>
      <c r="C202" s="94" t="s">
        <v>1734</v>
      </c>
      <c r="D202" s="94" t="s">
        <v>53</v>
      </c>
      <c r="E202" s="94" t="s">
        <v>102</v>
      </c>
      <c r="F202" s="94" t="s">
        <v>236</v>
      </c>
      <c r="G202" s="94">
        <v>229</v>
      </c>
      <c r="H202" s="94"/>
      <c r="I202" s="94" t="s">
        <v>237</v>
      </c>
      <c r="J202" s="94" t="s">
        <v>1736</v>
      </c>
      <c r="K202" s="95" t="s">
        <v>1903</v>
      </c>
      <c r="L202" s="94" t="s">
        <v>1500</v>
      </c>
      <c r="M202" s="94" t="s">
        <v>1904</v>
      </c>
      <c r="N202" s="94" t="s">
        <v>1761</v>
      </c>
      <c r="O202" s="36" t="s">
        <v>14</v>
      </c>
      <c r="P202" s="18"/>
      <c r="Q202" s="28" t="s">
        <v>14</v>
      </c>
      <c r="R202" s="18"/>
      <c r="S202" s="28" t="s">
        <v>14</v>
      </c>
      <c r="T202" s="18"/>
      <c r="U202" s="28" t="s">
        <v>14</v>
      </c>
      <c r="V202" s="18"/>
      <c r="W202" s="28" t="s">
        <v>14</v>
      </c>
      <c r="X202" s="18"/>
      <c r="Y202" s="28" t="s">
        <v>14</v>
      </c>
      <c r="Z202" s="18"/>
      <c r="AA202" s="28" t="s">
        <v>14</v>
      </c>
      <c r="AB202" s="18"/>
      <c r="AC202" s="28" t="s">
        <v>14</v>
      </c>
      <c r="AD202" s="18"/>
      <c r="AE202" s="28" t="s">
        <v>14</v>
      </c>
      <c r="AF202" s="25" t="str">
        <f t="shared" si="17"/>
        <v>NA</v>
      </c>
      <c r="AG202" s="59" t="str">
        <f t="shared" si="16"/>
        <v>NÃO AVALIADO POR FALHA DE SINCRONISMO</v>
      </c>
      <c r="AH202" s="28" t="s">
        <v>108</v>
      </c>
      <c r="AI202" s="32" t="s">
        <v>1</v>
      </c>
      <c r="AJ202" s="29" t="str">
        <f t="shared" si="15"/>
        <v>GUARULHOS</v>
      </c>
      <c r="AK202" s="33" t="s">
        <v>13</v>
      </c>
    </row>
    <row r="203" spans="1:37" ht="30" customHeight="1" x14ac:dyDescent="0.2">
      <c r="A203" s="94" t="s">
        <v>101</v>
      </c>
      <c r="B203" s="94">
        <v>2617305994</v>
      </c>
      <c r="C203" s="94" t="s">
        <v>1734</v>
      </c>
      <c r="D203" s="94" t="s">
        <v>53</v>
      </c>
      <c r="E203" s="94" t="s">
        <v>102</v>
      </c>
      <c r="F203" s="94" t="s">
        <v>236</v>
      </c>
      <c r="G203" s="94">
        <v>228</v>
      </c>
      <c r="H203" s="94">
        <v>202</v>
      </c>
      <c r="I203" s="94" t="s">
        <v>237</v>
      </c>
      <c r="J203" s="94" t="s">
        <v>1736</v>
      </c>
      <c r="K203" s="95" t="s">
        <v>1903</v>
      </c>
      <c r="L203" s="94" t="s">
        <v>1500</v>
      </c>
      <c r="M203" s="94" t="s">
        <v>1904</v>
      </c>
      <c r="N203" s="94" t="s">
        <v>1761</v>
      </c>
      <c r="O203" s="36" t="s">
        <v>14</v>
      </c>
      <c r="P203" s="18"/>
      <c r="Q203" s="28" t="s">
        <v>14</v>
      </c>
      <c r="R203" s="18"/>
      <c r="S203" s="28" t="s">
        <v>14</v>
      </c>
      <c r="T203" s="18"/>
      <c r="U203" s="28" t="s">
        <v>14</v>
      </c>
      <c r="V203" s="18"/>
      <c r="W203" s="28" t="s">
        <v>14</v>
      </c>
      <c r="X203" s="18"/>
      <c r="Y203" s="28" t="s">
        <v>14</v>
      </c>
      <c r="Z203" s="18"/>
      <c r="AA203" s="28" t="s">
        <v>14</v>
      </c>
      <c r="AB203" s="18"/>
      <c r="AC203" s="28" t="s">
        <v>14</v>
      </c>
      <c r="AD203" s="18"/>
      <c r="AE203" s="28" t="s">
        <v>14</v>
      </c>
      <c r="AF203" s="25" t="str">
        <f t="shared" si="17"/>
        <v>NA</v>
      </c>
      <c r="AG203" s="59" t="str">
        <f t="shared" si="16"/>
        <v>NÃO AVALIADO POR FALHA DE SINCRONISMO</v>
      </c>
      <c r="AH203" s="28" t="s">
        <v>108</v>
      </c>
      <c r="AI203" s="32" t="s">
        <v>1</v>
      </c>
      <c r="AJ203" s="29" t="str">
        <f t="shared" si="15"/>
        <v>GUARULHOS</v>
      </c>
      <c r="AK203" s="33" t="s">
        <v>13</v>
      </c>
    </row>
    <row r="204" spans="1:37" ht="30" customHeight="1" x14ac:dyDescent="0.2">
      <c r="A204" s="94" t="s">
        <v>101</v>
      </c>
      <c r="B204" s="94">
        <v>2617305532</v>
      </c>
      <c r="C204" s="94" t="s">
        <v>1734</v>
      </c>
      <c r="D204" s="94" t="s">
        <v>53</v>
      </c>
      <c r="E204" s="94" t="s">
        <v>102</v>
      </c>
      <c r="F204" s="94" t="s">
        <v>236</v>
      </c>
      <c r="G204" s="94">
        <v>223</v>
      </c>
      <c r="H204" s="94"/>
      <c r="I204" s="94" t="s">
        <v>237</v>
      </c>
      <c r="J204" s="94" t="s">
        <v>1736</v>
      </c>
      <c r="K204" s="95" t="s">
        <v>1905</v>
      </c>
      <c r="L204" s="94" t="s">
        <v>1500</v>
      </c>
      <c r="M204" s="94" t="s">
        <v>1904</v>
      </c>
      <c r="N204" s="94" t="s">
        <v>1761</v>
      </c>
      <c r="O204" s="36" t="s">
        <v>14</v>
      </c>
      <c r="P204" s="18"/>
      <c r="Q204" s="28" t="s">
        <v>14</v>
      </c>
      <c r="R204" s="18"/>
      <c r="S204" s="28" t="s">
        <v>14</v>
      </c>
      <c r="T204" s="18"/>
      <c r="U204" s="28" t="s">
        <v>14</v>
      </c>
      <c r="V204" s="18"/>
      <c r="W204" s="28" t="s">
        <v>14</v>
      </c>
      <c r="X204" s="18"/>
      <c r="Y204" s="28" t="s">
        <v>14</v>
      </c>
      <c r="Z204" s="18"/>
      <c r="AA204" s="28" t="s">
        <v>14</v>
      </c>
      <c r="AB204" s="18"/>
      <c r="AC204" s="28" t="s">
        <v>14</v>
      </c>
      <c r="AD204" s="18"/>
      <c r="AE204" s="28" t="s">
        <v>14</v>
      </c>
      <c r="AF204" s="25" t="str">
        <f t="shared" si="17"/>
        <v>NA</v>
      </c>
      <c r="AG204" s="59" t="str">
        <f t="shared" si="16"/>
        <v>NÃO AVALIADO POR FALHA DE SINCRONISMO</v>
      </c>
      <c r="AH204" s="28" t="s">
        <v>108</v>
      </c>
      <c r="AI204" s="32" t="s">
        <v>1</v>
      </c>
      <c r="AJ204" s="29" t="str">
        <f t="shared" si="15"/>
        <v>GUARULHOS</v>
      </c>
      <c r="AK204" s="33" t="s">
        <v>13</v>
      </c>
    </row>
    <row r="205" spans="1:37" ht="30" customHeight="1" x14ac:dyDescent="0.2">
      <c r="A205" s="94" t="s">
        <v>101</v>
      </c>
      <c r="B205" s="94">
        <v>2617305296</v>
      </c>
      <c r="C205" s="94" t="s">
        <v>1734</v>
      </c>
      <c r="D205" s="94" t="s">
        <v>53</v>
      </c>
      <c r="E205" s="94" t="s">
        <v>102</v>
      </c>
      <c r="F205" s="94" t="s">
        <v>236</v>
      </c>
      <c r="G205" s="94">
        <v>222</v>
      </c>
      <c r="H205" s="94" t="s">
        <v>1906</v>
      </c>
      <c r="I205" s="94" t="s">
        <v>237</v>
      </c>
      <c r="J205" s="94" t="s">
        <v>1736</v>
      </c>
      <c r="K205" s="95" t="s">
        <v>1903</v>
      </c>
      <c r="L205" s="94" t="s">
        <v>1500</v>
      </c>
      <c r="M205" s="94" t="s">
        <v>1904</v>
      </c>
      <c r="N205" s="94" t="s">
        <v>1761</v>
      </c>
      <c r="O205" s="36" t="s">
        <v>14</v>
      </c>
      <c r="P205" s="18"/>
      <c r="Q205" s="28" t="s">
        <v>14</v>
      </c>
      <c r="R205" s="18"/>
      <c r="S205" s="28" t="s">
        <v>14</v>
      </c>
      <c r="T205" s="18"/>
      <c r="U205" s="28" t="s">
        <v>14</v>
      </c>
      <c r="V205" s="18"/>
      <c r="W205" s="28" t="s">
        <v>14</v>
      </c>
      <c r="X205" s="18"/>
      <c r="Y205" s="28" t="s">
        <v>14</v>
      </c>
      <c r="Z205" s="18"/>
      <c r="AA205" s="28" t="s">
        <v>14</v>
      </c>
      <c r="AB205" s="18"/>
      <c r="AC205" s="28" t="s">
        <v>14</v>
      </c>
      <c r="AD205" s="18"/>
      <c r="AE205" s="28" t="s">
        <v>14</v>
      </c>
      <c r="AF205" s="25" t="str">
        <f t="shared" si="17"/>
        <v>NA</v>
      </c>
      <c r="AG205" s="59" t="str">
        <f t="shared" si="16"/>
        <v>NÃO AVALIADO POR FALHA DE SINCRONISMO</v>
      </c>
      <c r="AH205" s="28" t="s">
        <v>108</v>
      </c>
      <c r="AI205" s="32" t="s">
        <v>1</v>
      </c>
      <c r="AJ205" s="29" t="str">
        <f t="shared" si="15"/>
        <v>GUARULHOS</v>
      </c>
      <c r="AK205" s="33" t="s">
        <v>13</v>
      </c>
    </row>
    <row r="206" spans="1:37" ht="30" customHeight="1" x14ac:dyDescent="0.2">
      <c r="A206" s="94" t="s">
        <v>101</v>
      </c>
      <c r="B206" s="94">
        <v>2617305118</v>
      </c>
      <c r="C206" s="94" t="s">
        <v>1734</v>
      </c>
      <c r="D206" s="94" t="s">
        <v>53</v>
      </c>
      <c r="E206" s="94" t="s">
        <v>102</v>
      </c>
      <c r="F206" s="94" t="s">
        <v>236</v>
      </c>
      <c r="G206" s="94">
        <v>217</v>
      </c>
      <c r="H206" s="94"/>
      <c r="I206" s="94" t="s">
        <v>237</v>
      </c>
      <c r="J206" s="94" t="s">
        <v>1736</v>
      </c>
      <c r="K206" s="95" t="s">
        <v>1903</v>
      </c>
      <c r="L206" s="94" t="s">
        <v>1500</v>
      </c>
      <c r="M206" s="94" t="s">
        <v>1904</v>
      </c>
      <c r="N206" s="94" t="s">
        <v>1761</v>
      </c>
      <c r="O206" s="36" t="s">
        <v>14</v>
      </c>
      <c r="P206" s="18"/>
      <c r="Q206" s="28" t="s">
        <v>14</v>
      </c>
      <c r="R206" s="18"/>
      <c r="S206" s="28" t="s">
        <v>14</v>
      </c>
      <c r="T206" s="18"/>
      <c r="U206" s="28" t="s">
        <v>14</v>
      </c>
      <c r="V206" s="18"/>
      <c r="W206" s="28" t="s">
        <v>14</v>
      </c>
      <c r="X206" s="18"/>
      <c r="Y206" s="28" t="s">
        <v>14</v>
      </c>
      <c r="Z206" s="18"/>
      <c r="AA206" s="28" t="s">
        <v>14</v>
      </c>
      <c r="AB206" s="18"/>
      <c r="AC206" s="28" t="s">
        <v>14</v>
      </c>
      <c r="AD206" s="18"/>
      <c r="AE206" s="28" t="s">
        <v>14</v>
      </c>
      <c r="AF206" s="25" t="str">
        <f t="shared" si="17"/>
        <v>NA</v>
      </c>
      <c r="AG206" s="59" t="str">
        <f t="shared" si="16"/>
        <v>NÃO AVALIADO POR FALHA DE SINCRONISMO</v>
      </c>
      <c r="AH206" s="28" t="s">
        <v>108</v>
      </c>
      <c r="AI206" s="32" t="s">
        <v>1</v>
      </c>
      <c r="AJ206" s="29" t="str">
        <f t="shared" si="15"/>
        <v>GUARULHOS</v>
      </c>
      <c r="AK206" s="33" t="s">
        <v>13</v>
      </c>
    </row>
    <row r="207" spans="1:37" ht="30" customHeight="1" x14ac:dyDescent="0.2">
      <c r="A207" s="94" t="s">
        <v>101</v>
      </c>
      <c r="B207" s="94">
        <v>2617300092</v>
      </c>
      <c r="C207" s="94" t="s">
        <v>1734</v>
      </c>
      <c r="D207" s="94" t="s">
        <v>53</v>
      </c>
      <c r="E207" s="94" t="s">
        <v>102</v>
      </c>
      <c r="F207" s="94" t="s">
        <v>236</v>
      </c>
      <c r="G207" s="94">
        <v>21</v>
      </c>
      <c r="H207" s="94" t="s">
        <v>110</v>
      </c>
      <c r="I207" s="94" t="s">
        <v>237</v>
      </c>
      <c r="J207" s="94" t="s">
        <v>1736</v>
      </c>
      <c r="K207" s="95" t="s">
        <v>1902</v>
      </c>
      <c r="L207" s="94" t="s">
        <v>1500</v>
      </c>
      <c r="M207" s="94" t="s">
        <v>1900</v>
      </c>
      <c r="N207" s="94" t="s">
        <v>1761</v>
      </c>
      <c r="O207" s="36" t="s">
        <v>14</v>
      </c>
      <c r="P207" s="18"/>
      <c r="Q207" s="28" t="s">
        <v>14</v>
      </c>
      <c r="R207" s="18"/>
      <c r="S207" s="28" t="s">
        <v>14</v>
      </c>
      <c r="T207" s="18"/>
      <c r="U207" s="28" t="s">
        <v>14</v>
      </c>
      <c r="V207" s="18"/>
      <c r="W207" s="28" t="s">
        <v>14</v>
      </c>
      <c r="X207" s="18"/>
      <c r="Y207" s="28" t="s">
        <v>14</v>
      </c>
      <c r="Z207" s="18"/>
      <c r="AA207" s="28" t="s">
        <v>14</v>
      </c>
      <c r="AB207" s="18"/>
      <c r="AC207" s="28" t="s">
        <v>14</v>
      </c>
      <c r="AD207" s="18"/>
      <c r="AE207" s="28" t="s">
        <v>14</v>
      </c>
      <c r="AF207" s="25" t="str">
        <f t="shared" si="17"/>
        <v>NA</v>
      </c>
      <c r="AG207" s="59" t="str">
        <f t="shared" si="16"/>
        <v>NÃO AVALIADO POR FALHA DE SINCRONISMO</v>
      </c>
      <c r="AH207" s="28" t="s">
        <v>108</v>
      </c>
      <c r="AI207" s="32" t="s">
        <v>1</v>
      </c>
      <c r="AJ207" s="29" t="str">
        <f t="shared" si="15"/>
        <v>GUARULHOS</v>
      </c>
      <c r="AK207" s="33" t="s">
        <v>13</v>
      </c>
    </row>
    <row r="208" spans="1:37" ht="30" customHeight="1" x14ac:dyDescent="0.2">
      <c r="A208" s="94" t="s">
        <v>101</v>
      </c>
      <c r="B208" s="94">
        <v>2617304701</v>
      </c>
      <c r="C208" s="94" t="s">
        <v>1734</v>
      </c>
      <c r="D208" s="94" t="s">
        <v>53</v>
      </c>
      <c r="E208" s="94" t="s">
        <v>102</v>
      </c>
      <c r="F208" s="94" t="s">
        <v>236</v>
      </c>
      <c r="G208" s="94">
        <v>190</v>
      </c>
      <c r="H208" s="94" t="s">
        <v>157</v>
      </c>
      <c r="I208" s="94" t="s">
        <v>237</v>
      </c>
      <c r="J208" s="94" t="s">
        <v>1736</v>
      </c>
      <c r="K208" s="95" t="s">
        <v>1903</v>
      </c>
      <c r="L208" s="94" t="s">
        <v>1500</v>
      </c>
      <c r="M208" s="94" t="s">
        <v>1904</v>
      </c>
      <c r="N208" s="94" t="s">
        <v>1761</v>
      </c>
      <c r="O208" s="36" t="s">
        <v>14</v>
      </c>
      <c r="P208" s="18"/>
      <c r="Q208" s="28" t="s">
        <v>14</v>
      </c>
      <c r="R208" s="18"/>
      <c r="S208" s="28" t="s">
        <v>14</v>
      </c>
      <c r="T208" s="18"/>
      <c r="U208" s="28" t="s">
        <v>14</v>
      </c>
      <c r="V208" s="18"/>
      <c r="W208" s="28" t="s">
        <v>14</v>
      </c>
      <c r="X208" s="18"/>
      <c r="Y208" s="28" t="s">
        <v>14</v>
      </c>
      <c r="Z208" s="18"/>
      <c r="AA208" s="28" t="s">
        <v>14</v>
      </c>
      <c r="AB208" s="18"/>
      <c r="AC208" s="28" t="s">
        <v>14</v>
      </c>
      <c r="AD208" s="18"/>
      <c r="AE208" s="28" t="s">
        <v>14</v>
      </c>
      <c r="AF208" s="25" t="str">
        <f t="shared" si="17"/>
        <v>NA</v>
      </c>
      <c r="AG208" s="59" t="str">
        <f t="shared" si="16"/>
        <v>NÃO AVALIADO POR FALHA DE SINCRONISMO</v>
      </c>
      <c r="AH208" s="28" t="s">
        <v>108</v>
      </c>
      <c r="AI208" s="32" t="s">
        <v>1</v>
      </c>
      <c r="AJ208" s="29" t="str">
        <f t="shared" si="15"/>
        <v>GUARULHOS</v>
      </c>
      <c r="AK208" s="33" t="s">
        <v>13</v>
      </c>
    </row>
    <row r="209" spans="1:37" ht="30" customHeight="1" x14ac:dyDescent="0.2">
      <c r="A209" s="94" t="s">
        <v>101</v>
      </c>
      <c r="B209" s="94">
        <v>2617304515</v>
      </c>
      <c r="C209" s="94" t="s">
        <v>1734</v>
      </c>
      <c r="D209" s="94" t="s">
        <v>53</v>
      </c>
      <c r="E209" s="94" t="s">
        <v>102</v>
      </c>
      <c r="F209" s="94" t="s">
        <v>236</v>
      </c>
      <c r="G209" s="94">
        <v>184</v>
      </c>
      <c r="H209" s="94" t="s">
        <v>110</v>
      </c>
      <c r="I209" s="94" t="s">
        <v>237</v>
      </c>
      <c r="J209" s="94" t="s">
        <v>1736</v>
      </c>
      <c r="K209" s="95" t="s">
        <v>1903</v>
      </c>
      <c r="L209" s="94" t="s">
        <v>1500</v>
      </c>
      <c r="M209" s="94" t="s">
        <v>1904</v>
      </c>
      <c r="N209" s="94" t="s">
        <v>1761</v>
      </c>
      <c r="O209" s="36" t="s">
        <v>14</v>
      </c>
      <c r="P209" s="18"/>
      <c r="Q209" s="28" t="s">
        <v>14</v>
      </c>
      <c r="R209" s="18"/>
      <c r="S209" s="28" t="s">
        <v>14</v>
      </c>
      <c r="T209" s="18"/>
      <c r="U209" s="28" t="s">
        <v>14</v>
      </c>
      <c r="V209" s="18"/>
      <c r="W209" s="28" t="s">
        <v>14</v>
      </c>
      <c r="X209" s="18"/>
      <c r="Y209" s="28" t="s">
        <v>14</v>
      </c>
      <c r="Z209" s="18"/>
      <c r="AA209" s="28" t="s">
        <v>14</v>
      </c>
      <c r="AB209" s="18"/>
      <c r="AC209" s="28" t="s">
        <v>14</v>
      </c>
      <c r="AD209" s="18"/>
      <c r="AE209" s="28" t="s">
        <v>14</v>
      </c>
      <c r="AF209" s="25" t="str">
        <f t="shared" si="17"/>
        <v>NA</v>
      </c>
      <c r="AG209" s="59" t="str">
        <f t="shared" si="16"/>
        <v>NÃO AVALIADO POR FALHA DE SINCRONISMO</v>
      </c>
      <c r="AH209" s="28" t="s">
        <v>108</v>
      </c>
      <c r="AI209" s="32" t="s">
        <v>1</v>
      </c>
      <c r="AJ209" s="29" t="str">
        <f t="shared" si="15"/>
        <v>GUARULHOS</v>
      </c>
      <c r="AK209" s="33" t="s">
        <v>13</v>
      </c>
    </row>
    <row r="210" spans="1:37" ht="30" customHeight="1" x14ac:dyDescent="0.2">
      <c r="A210" s="94" t="s">
        <v>101</v>
      </c>
      <c r="B210" s="94">
        <v>2617304344</v>
      </c>
      <c r="C210" s="94" t="s">
        <v>1734</v>
      </c>
      <c r="D210" s="94" t="s">
        <v>53</v>
      </c>
      <c r="E210" s="94" t="s">
        <v>102</v>
      </c>
      <c r="F210" s="94" t="s">
        <v>236</v>
      </c>
      <c r="G210" s="94">
        <v>181</v>
      </c>
      <c r="H210" s="94" t="s">
        <v>1466</v>
      </c>
      <c r="I210" s="94" t="s">
        <v>237</v>
      </c>
      <c r="J210" s="94" t="s">
        <v>1736</v>
      </c>
      <c r="K210" s="95" t="s">
        <v>1903</v>
      </c>
      <c r="L210" s="94" t="s">
        <v>1500</v>
      </c>
      <c r="M210" s="94" t="s">
        <v>1904</v>
      </c>
      <c r="N210" s="94" t="s">
        <v>1761</v>
      </c>
      <c r="O210" s="36" t="s">
        <v>14</v>
      </c>
      <c r="P210" s="18"/>
      <c r="Q210" s="28" t="s">
        <v>14</v>
      </c>
      <c r="R210" s="18"/>
      <c r="S210" s="28" t="s">
        <v>14</v>
      </c>
      <c r="T210" s="18"/>
      <c r="U210" s="28" t="s">
        <v>14</v>
      </c>
      <c r="V210" s="18"/>
      <c r="W210" s="28" t="s">
        <v>14</v>
      </c>
      <c r="X210" s="18"/>
      <c r="Y210" s="28" t="s">
        <v>14</v>
      </c>
      <c r="Z210" s="18"/>
      <c r="AA210" s="28" t="s">
        <v>14</v>
      </c>
      <c r="AB210" s="18"/>
      <c r="AC210" s="28" t="s">
        <v>14</v>
      </c>
      <c r="AD210" s="18"/>
      <c r="AE210" s="28" t="s">
        <v>14</v>
      </c>
      <c r="AF210" s="25" t="str">
        <f t="shared" si="17"/>
        <v>NA</v>
      </c>
      <c r="AG210" s="59" t="str">
        <f t="shared" si="16"/>
        <v>NÃO AVALIADO POR FALHA DE SINCRONISMO</v>
      </c>
      <c r="AH210" s="28" t="s">
        <v>108</v>
      </c>
      <c r="AI210" s="32" t="s">
        <v>1</v>
      </c>
      <c r="AJ210" s="29" t="str">
        <f t="shared" ref="AJ210:AJ273" si="18">E210</f>
        <v>GUARULHOS</v>
      </c>
      <c r="AK210" s="33" t="s">
        <v>13</v>
      </c>
    </row>
    <row r="211" spans="1:37" ht="30" customHeight="1" x14ac:dyDescent="0.2">
      <c r="A211" s="94" t="s">
        <v>101</v>
      </c>
      <c r="B211" s="94">
        <v>2617299754</v>
      </c>
      <c r="C211" s="94" t="s">
        <v>1734</v>
      </c>
      <c r="D211" s="94" t="s">
        <v>53</v>
      </c>
      <c r="E211" s="94" t="s">
        <v>102</v>
      </c>
      <c r="F211" s="94" t="s">
        <v>236</v>
      </c>
      <c r="G211" s="94">
        <v>18</v>
      </c>
      <c r="H211" s="94" t="s">
        <v>1369</v>
      </c>
      <c r="I211" s="94" t="s">
        <v>237</v>
      </c>
      <c r="J211" s="94" t="s">
        <v>1736</v>
      </c>
      <c r="K211" s="95" t="s">
        <v>1907</v>
      </c>
      <c r="L211" s="94" t="s">
        <v>1500</v>
      </c>
      <c r="M211" s="94" t="s">
        <v>1900</v>
      </c>
      <c r="N211" s="94" t="s">
        <v>1761</v>
      </c>
      <c r="O211" s="36" t="s">
        <v>14</v>
      </c>
      <c r="P211" s="18"/>
      <c r="Q211" s="28" t="s">
        <v>14</v>
      </c>
      <c r="R211" s="18"/>
      <c r="S211" s="28" t="s">
        <v>14</v>
      </c>
      <c r="T211" s="18"/>
      <c r="U211" s="28" t="s">
        <v>14</v>
      </c>
      <c r="V211" s="18"/>
      <c r="W211" s="28" t="s">
        <v>14</v>
      </c>
      <c r="X211" s="18"/>
      <c r="Y211" s="28" t="s">
        <v>14</v>
      </c>
      <c r="Z211" s="18"/>
      <c r="AA211" s="28" t="s">
        <v>14</v>
      </c>
      <c r="AB211" s="18"/>
      <c r="AC211" s="28" t="s">
        <v>14</v>
      </c>
      <c r="AD211" s="18"/>
      <c r="AE211" s="28" t="s">
        <v>14</v>
      </c>
      <c r="AF211" s="25" t="str">
        <f t="shared" si="17"/>
        <v>NA</v>
      </c>
      <c r="AG211" s="59" t="str">
        <f t="shared" si="16"/>
        <v>NÃO AVALIADO POR FALHA DE SINCRONISMO</v>
      </c>
      <c r="AH211" s="28" t="s">
        <v>108</v>
      </c>
      <c r="AI211" s="32" t="s">
        <v>1</v>
      </c>
      <c r="AJ211" s="29" t="str">
        <f t="shared" si="18"/>
        <v>GUARULHOS</v>
      </c>
      <c r="AK211" s="33" t="s">
        <v>13</v>
      </c>
    </row>
    <row r="212" spans="1:37" ht="30" customHeight="1" x14ac:dyDescent="0.2">
      <c r="A212" s="94" t="s">
        <v>101</v>
      </c>
      <c r="B212" s="94">
        <v>2617303818</v>
      </c>
      <c r="C212" s="94" t="s">
        <v>1734</v>
      </c>
      <c r="D212" s="94" t="s">
        <v>53</v>
      </c>
      <c r="E212" s="94" t="s">
        <v>102</v>
      </c>
      <c r="F212" s="94" t="s">
        <v>236</v>
      </c>
      <c r="G212" s="94">
        <v>175</v>
      </c>
      <c r="H212" s="94" t="s">
        <v>1908</v>
      </c>
      <c r="I212" s="94" t="s">
        <v>237</v>
      </c>
      <c r="J212" s="94" t="s">
        <v>1736</v>
      </c>
      <c r="K212" s="95" t="s">
        <v>1903</v>
      </c>
      <c r="L212" s="94" t="s">
        <v>1500</v>
      </c>
      <c r="M212" s="94" t="s">
        <v>1904</v>
      </c>
      <c r="N212" s="94" t="s">
        <v>1761</v>
      </c>
      <c r="O212" s="36" t="s">
        <v>14</v>
      </c>
      <c r="P212" s="18"/>
      <c r="Q212" s="28" t="s">
        <v>14</v>
      </c>
      <c r="R212" s="18"/>
      <c r="S212" s="28" t="s">
        <v>14</v>
      </c>
      <c r="T212" s="18"/>
      <c r="U212" s="28" t="s">
        <v>14</v>
      </c>
      <c r="V212" s="18"/>
      <c r="W212" s="28" t="s">
        <v>14</v>
      </c>
      <c r="X212" s="18"/>
      <c r="Y212" s="28" t="s">
        <v>14</v>
      </c>
      <c r="Z212" s="18"/>
      <c r="AA212" s="28" t="s">
        <v>14</v>
      </c>
      <c r="AB212" s="18"/>
      <c r="AC212" s="28" t="s">
        <v>14</v>
      </c>
      <c r="AD212" s="18"/>
      <c r="AE212" s="28" t="s">
        <v>14</v>
      </c>
      <c r="AF212" s="25" t="str">
        <f t="shared" si="17"/>
        <v>NA</v>
      </c>
      <c r="AG212" s="59" t="str">
        <f t="shared" si="16"/>
        <v>NÃO AVALIADO POR FALHA DE SINCRONISMO</v>
      </c>
      <c r="AH212" s="28" t="s">
        <v>108</v>
      </c>
      <c r="AI212" s="32" t="s">
        <v>1</v>
      </c>
      <c r="AJ212" s="29" t="str">
        <f t="shared" si="18"/>
        <v>GUARULHOS</v>
      </c>
      <c r="AK212" s="33" t="s">
        <v>13</v>
      </c>
    </row>
    <row r="213" spans="1:37" ht="30" customHeight="1" x14ac:dyDescent="0.2">
      <c r="A213" s="94" t="s">
        <v>101</v>
      </c>
      <c r="B213" s="94">
        <v>2617303354</v>
      </c>
      <c r="C213" s="94" t="s">
        <v>1734</v>
      </c>
      <c r="D213" s="94" t="s">
        <v>53</v>
      </c>
      <c r="E213" s="94" t="s">
        <v>102</v>
      </c>
      <c r="F213" s="94" t="s">
        <v>236</v>
      </c>
      <c r="G213" s="94">
        <v>168</v>
      </c>
      <c r="H213" s="94" t="s">
        <v>1909</v>
      </c>
      <c r="I213" s="94" t="s">
        <v>237</v>
      </c>
      <c r="J213" s="94" t="s">
        <v>1736</v>
      </c>
      <c r="K213" s="95" t="s">
        <v>1903</v>
      </c>
      <c r="L213" s="94" t="s">
        <v>1500</v>
      </c>
      <c r="M213" s="94" t="s">
        <v>1904</v>
      </c>
      <c r="N213" s="94" t="s">
        <v>1761</v>
      </c>
      <c r="O213" s="36" t="s">
        <v>14</v>
      </c>
      <c r="P213" s="18"/>
      <c r="Q213" s="28" t="s">
        <v>14</v>
      </c>
      <c r="R213" s="18"/>
      <c r="S213" s="28" t="s">
        <v>14</v>
      </c>
      <c r="T213" s="18"/>
      <c r="U213" s="28" t="s">
        <v>14</v>
      </c>
      <c r="V213" s="18"/>
      <c r="W213" s="28" t="s">
        <v>14</v>
      </c>
      <c r="X213" s="18"/>
      <c r="Y213" s="28" t="s">
        <v>14</v>
      </c>
      <c r="Z213" s="18"/>
      <c r="AA213" s="28" t="s">
        <v>14</v>
      </c>
      <c r="AB213" s="18"/>
      <c r="AC213" s="28" t="s">
        <v>14</v>
      </c>
      <c r="AD213" s="18"/>
      <c r="AE213" s="28" t="s">
        <v>14</v>
      </c>
      <c r="AF213" s="25" t="str">
        <f t="shared" si="17"/>
        <v>NA</v>
      </c>
      <c r="AG213" s="59" t="str">
        <f t="shared" si="16"/>
        <v>NÃO AVALIADO POR FALHA DE SINCRONISMO</v>
      </c>
      <c r="AH213" s="28" t="s">
        <v>108</v>
      </c>
      <c r="AI213" s="32" t="s">
        <v>1</v>
      </c>
      <c r="AJ213" s="29" t="str">
        <f t="shared" si="18"/>
        <v>GUARULHOS</v>
      </c>
      <c r="AK213" s="33" t="s">
        <v>13</v>
      </c>
    </row>
    <row r="214" spans="1:37" ht="30" customHeight="1" x14ac:dyDescent="0.2">
      <c r="A214" s="94" t="s">
        <v>101</v>
      </c>
      <c r="B214" s="94">
        <v>2617303673</v>
      </c>
      <c r="C214" s="94" t="s">
        <v>1734</v>
      </c>
      <c r="D214" s="94" t="s">
        <v>53</v>
      </c>
      <c r="E214" s="94" t="s">
        <v>102</v>
      </c>
      <c r="F214" s="94" t="s">
        <v>236</v>
      </c>
      <c r="G214" s="94">
        <v>167</v>
      </c>
      <c r="H214" s="94" t="s">
        <v>747</v>
      </c>
      <c r="I214" s="94" t="s">
        <v>237</v>
      </c>
      <c r="J214" s="94" t="s">
        <v>1736</v>
      </c>
      <c r="K214" s="95" t="s">
        <v>1903</v>
      </c>
      <c r="L214" s="94" t="s">
        <v>1500</v>
      </c>
      <c r="M214" s="94" t="s">
        <v>1904</v>
      </c>
      <c r="N214" s="94" t="s">
        <v>1761</v>
      </c>
      <c r="O214" s="36" t="s">
        <v>14</v>
      </c>
      <c r="P214" s="18"/>
      <c r="Q214" s="28" t="s">
        <v>14</v>
      </c>
      <c r="R214" s="18"/>
      <c r="S214" s="28" t="s">
        <v>14</v>
      </c>
      <c r="T214" s="18"/>
      <c r="U214" s="28" t="s">
        <v>14</v>
      </c>
      <c r="V214" s="18"/>
      <c r="W214" s="28" t="s">
        <v>14</v>
      </c>
      <c r="X214" s="18"/>
      <c r="Y214" s="28" t="s">
        <v>14</v>
      </c>
      <c r="Z214" s="18"/>
      <c r="AA214" s="28" t="s">
        <v>14</v>
      </c>
      <c r="AB214" s="18"/>
      <c r="AC214" s="28" t="s">
        <v>14</v>
      </c>
      <c r="AD214" s="18"/>
      <c r="AE214" s="28" t="s">
        <v>14</v>
      </c>
      <c r="AF214" s="25" t="str">
        <f t="shared" si="17"/>
        <v>NA</v>
      </c>
      <c r="AG214" s="59" t="str">
        <f t="shared" si="16"/>
        <v>NÃO AVALIADO POR FALHA DE SINCRONISMO</v>
      </c>
      <c r="AH214" s="28" t="s">
        <v>108</v>
      </c>
      <c r="AI214" s="32" t="s">
        <v>1</v>
      </c>
      <c r="AJ214" s="29" t="str">
        <f t="shared" si="18"/>
        <v>GUARULHOS</v>
      </c>
      <c r="AK214" s="33" t="s">
        <v>13</v>
      </c>
    </row>
    <row r="215" spans="1:37" ht="30" customHeight="1" x14ac:dyDescent="0.2">
      <c r="A215" s="94" t="s">
        <v>101</v>
      </c>
      <c r="B215" s="94">
        <v>2617302727</v>
      </c>
      <c r="C215" s="94" t="s">
        <v>1734</v>
      </c>
      <c r="D215" s="94" t="s">
        <v>53</v>
      </c>
      <c r="E215" s="94" t="s">
        <v>102</v>
      </c>
      <c r="F215" s="94" t="s">
        <v>236</v>
      </c>
      <c r="G215" s="94">
        <v>157</v>
      </c>
      <c r="H215" s="94" t="s">
        <v>117</v>
      </c>
      <c r="I215" s="94" t="s">
        <v>237</v>
      </c>
      <c r="J215" s="94" t="s">
        <v>1736</v>
      </c>
      <c r="K215" s="95" t="s">
        <v>1903</v>
      </c>
      <c r="L215" s="94" t="s">
        <v>1500</v>
      </c>
      <c r="M215" s="94" t="s">
        <v>1904</v>
      </c>
      <c r="N215" s="94" t="s">
        <v>1761</v>
      </c>
      <c r="O215" s="36" t="s">
        <v>14</v>
      </c>
      <c r="P215" s="18"/>
      <c r="Q215" s="28" t="s">
        <v>14</v>
      </c>
      <c r="R215" s="18"/>
      <c r="S215" s="28" t="s">
        <v>14</v>
      </c>
      <c r="T215" s="18"/>
      <c r="U215" s="28" t="s">
        <v>14</v>
      </c>
      <c r="V215" s="18"/>
      <c r="W215" s="28" t="s">
        <v>14</v>
      </c>
      <c r="X215" s="18"/>
      <c r="Y215" s="28" t="s">
        <v>14</v>
      </c>
      <c r="Z215" s="18"/>
      <c r="AA215" s="28" t="s">
        <v>14</v>
      </c>
      <c r="AB215" s="18"/>
      <c r="AC215" s="28" t="s">
        <v>14</v>
      </c>
      <c r="AD215" s="18"/>
      <c r="AE215" s="28" t="s">
        <v>14</v>
      </c>
      <c r="AF215" s="25" t="str">
        <f t="shared" si="17"/>
        <v>NA</v>
      </c>
      <c r="AG215" s="59" t="str">
        <f t="shared" si="16"/>
        <v>NÃO AVALIADO POR FALHA DE SINCRONISMO</v>
      </c>
      <c r="AH215" s="28" t="s">
        <v>108</v>
      </c>
      <c r="AI215" s="32" t="s">
        <v>1</v>
      </c>
      <c r="AJ215" s="29" t="str">
        <f t="shared" si="18"/>
        <v>GUARULHOS</v>
      </c>
      <c r="AK215" s="33" t="s">
        <v>13</v>
      </c>
    </row>
    <row r="216" spans="1:37" ht="30" customHeight="1" x14ac:dyDescent="0.2">
      <c r="A216" s="94" t="s">
        <v>101</v>
      </c>
      <c r="B216" s="94">
        <v>2617302570</v>
      </c>
      <c r="C216" s="94" t="s">
        <v>1734</v>
      </c>
      <c r="D216" s="94" t="s">
        <v>53</v>
      </c>
      <c r="E216" s="94" t="s">
        <v>102</v>
      </c>
      <c r="F216" s="94" t="s">
        <v>236</v>
      </c>
      <c r="G216" s="94">
        <v>156</v>
      </c>
      <c r="H216" s="94"/>
      <c r="I216" s="94" t="s">
        <v>237</v>
      </c>
      <c r="J216" s="94" t="s">
        <v>1736</v>
      </c>
      <c r="K216" s="95" t="s">
        <v>1903</v>
      </c>
      <c r="L216" s="94" t="s">
        <v>1500</v>
      </c>
      <c r="M216" s="94" t="s">
        <v>1904</v>
      </c>
      <c r="N216" s="94" t="s">
        <v>1761</v>
      </c>
      <c r="O216" s="36" t="s">
        <v>14</v>
      </c>
      <c r="P216" s="18"/>
      <c r="Q216" s="28" t="s">
        <v>14</v>
      </c>
      <c r="R216" s="18"/>
      <c r="S216" s="28" t="s">
        <v>14</v>
      </c>
      <c r="T216" s="18"/>
      <c r="U216" s="28" t="s">
        <v>14</v>
      </c>
      <c r="V216" s="18"/>
      <c r="W216" s="28" t="s">
        <v>14</v>
      </c>
      <c r="X216" s="18"/>
      <c r="Y216" s="28" t="s">
        <v>14</v>
      </c>
      <c r="Z216" s="18"/>
      <c r="AA216" s="28" t="s">
        <v>14</v>
      </c>
      <c r="AB216" s="18"/>
      <c r="AC216" s="28" t="s">
        <v>14</v>
      </c>
      <c r="AD216" s="18"/>
      <c r="AE216" s="28" t="s">
        <v>14</v>
      </c>
      <c r="AF216" s="25" t="str">
        <f t="shared" si="17"/>
        <v>NA</v>
      </c>
      <c r="AG216" s="59" t="str">
        <f t="shared" si="16"/>
        <v>NÃO AVALIADO POR FALHA DE SINCRONISMO</v>
      </c>
      <c r="AH216" s="28" t="s">
        <v>108</v>
      </c>
      <c r="AI216" s="32" t="s">
        <v>1</v>
      </c>
      <c r="AJ216" s="29" t="str">
        <f t="shared" si="18"/>
        <v>GUARULHOS</v>
      </c>
      <c r="AK216" s="33" t="s">
        <v>13</v>
      </c>
    </row>
    <row r="217" spans="1:37" ht="30" customHeight="1" x14ac:dyDescent="0.2">
      <c r="A217" s="94" t="s">
        <v>101</v>
      </c>
      <c r="B217" s="94">
        <v>2617302952</v>
      </c>
      <c r="C217" s="94" t="s">
        <v>1734</v>
      </c>
      <c r="D217" s="94" t="s">
        <v>53</v>
      </c>
      <c r="E217" s="94" t="s">
        <v>102</v>
      </c>
      <c r="F217" s="94" t="s">
        <v>236</v>
      </c>
      <c r="G217" s="94">
        <v>155</v>
      </c>
      <c r="H217" s="94" t="s">
        <v>117</v>
      </c>
      <c r="I217" s="94" t="s">
        <v>237</v>
      </c>
      <c r="J217" s="94" t="s">
        <v>1736</v>
      </c>
      <c r="K217" s="95" t="s">
        <v>1903</v>
      </c>
      <c r="L217" s="94" t="s">
        <v>1500</v>
      </c>
      <c r="M217" s="94" t="s">
        <v>1904</v>
      </c>
      <c r="N217" s="94" t="s">
        <v>1761</v>
      </c>
      <c r="O217" s="36" t="s">
        <v>14</v>
      </c>
      <c r="P217" s="18"/>
      <c r="Q217" s="28" t="s">
        <v>14</v>
      </c>
      <c r="R217" s="18"/>
      <c r="S217" s="28" t="s">
        <v>14</v>
      </c>
      <c r="T217" s="18"/>
      <c r="U217" s="28" t="s">
        <v>14</v>
      </c>
      <c r="V217" s="18"/>
      <c r="W217" s="28" t="s">
        <v>14</v>
      </c>
      <c r="X217" s="18"/>
      <c r="Y217" s="28" t="s">
        <v>14</v>
      </c>
      <c r="Z217" s="18"/>
      <c r="AA217" s="28" t="s">
        <v>14</v>
      </c>
      <c r="AB217" s="18"/>
      <c r="AC217" s="28" t="s">
        <v>14</v>
      </c>
      <c r="AD217" s="18"/>
      <c r="AE217" s="28" t="s">
        <v>14</v>
      </c>
      <c r="AF217" s="25" t="str">
        <f t="shared" si="17"/>
        <v>NA</v>
      </c>
      <c r="AG217" s="59" t="str">
        <f t="shared" si="16"/>
        <v>NÃO AVALIADO POR FALHA DE SINCRONISMO</v>
      </c>
      <c r="AH217" s="28" t="s">
        <v>108</v>
      </c>
      <c r="AI217" s="32" t="s">
        <v>1</v>
      </c>
      <c r="AJ217" s="29" t="str">
        <f t="shared" si="18"/>
        <v>GUARULHOS</v>
      </c>
      <c r="AK217" s="33" t="s">
        <v>13</v>
      </c>
    </row>
    <row r="218" spans="1:37" ht="30" customHeight="1" x14ac:dyDescent="0.2">
      <c r="A218" s="94" t="s">
        <v>101</v>
      </c>
      <c r="B218" s="94">
        <v>2617303244</v>
      </c>
      <c r="C218" s="94" t="s">
        <v>1734</v>
      </c>
      <c r="D218" s="94" t="s">
        <v>53</v>
      </c>
      <c r="E218" s="94" t="s">
        <v>102</v>
      </c>
      <c r="F218" s="94" t="s">
        <v>236</v>
      </c>
      <c r="G218" s="94">
        <v>153</v>
      </c>
      <c r="H218" s="94"/>
      <c r="I218" s="94" t="s">
        <v>237</v>
      </c>
      <c r="J218" s="94" t="s">
        <v>1736</v>
      </c>
      <c r="K218" s="95" t="s">
        <v>1903</v>
      </c>
      <c r="L218" s="94" t="s">
        <v>1500</v>
      </c>
      <c r="M218" s="94" t="s">
        <v>1904</v>
      </c>
      <c r="N218" s="94" t="s">
        <v>1761</v>
      </c>
      <c r="O218" s="36" t="s">
        <v>14</v>
      </c>
      <c r="P218" s="18"/>
      <c r="Q218" s="28" t="s">
        <v>14</v>
      </c>
      <c r="R218" s="18"/>
      <c r="S218" s="28" t="s">
        <v>14</v>
      </c>
      <c r="T218" s="18"/>
      <c r="U218" s="28" t="s">
        <v>14</v>
      </c>
      <c r="V218" s="18"/>
      <c r="W218" s="28" t="s">
        <v>14</v>
      </c>
      <c r="X218" s="18"/>
      <c r="Y218" s="28" t="s">
        <v>14</v>
      </c>
      <c r="Z218" s="18"/>
      <c r="AA218" s="28" t="s">
        <v>14</v>
      </c>
      <c r="AB218" s="18"/>
      <c r="AC218" s="28" t="s">
        <v>14</v>
      </c>
      <c r="AD218" s="18"/>
      <c r="AE218" s="28" t="s">
        <v>14</v>
      </c>
      <c r="AF218" s="25" t="str">
        <f t="shared" si="17"/>
        <v>NA</v>
      </c>
      <c r="AG218" s="59" t="str">
        <f t="shared" si="16"/>
        <v>NÃO AVALIADO POR FALHA DE SINCRONISMO</v>
      </c>
      <c r="AH218" s="28" t="s">
        <v>108</v>
      </c>
      <c r="AI218" s="32" t="s">
        <v>1</v>
      </c>
      <c r="AJ218" s="29" t="str">
        <f t="shared" si="18"/>
        <v>GUARULHOS</v>
      </c>
      <c r="AK218" s="33" t="s">
        <v>13</v>
      </c>
    </row>
    <row r="219" spans="1:37" ht="30" customHeight="1" x14ac:dyDescent="0.2">
      <c r="A219" s="94" t="s">
        <v>101</v>
      </c>
      <c r="B219" s="94">
        <v>2617299470</v>
      </c>
      <c r="C219" s="94" t="s">
        <v>1734</v>
      </c>
      <c r="D219" s="94" t="s">
        <v>53</v>
      </c>
      <c r="E219" s="94" t="s">
        <v>102</v>
      </c>
      <c r="F219" s="94" t="s">
        <v>236</v>
      </c>
      <c r="G219" s="94">
        <v>15</v>
      </c>
      <c r="H219" s="94" t="s">
        <v>603</v>
      </c>
      <c r="I219" s="94" t="s">
        <v>237</v>
      </c>
      <c r="J219" s="94" t="s">
        <v>1736</v>
      </c>
      <c r="K219" s="95" t="s">
        <v>1902</v>
      </c>
      <c r="L219" s="94" t="s">
        <v>1500</v>
      </c>
      <c r="M219" s="94" t="s">
        <v>1900</v>
      </c>
      <c r="N219" s="94" t="s">
        <v>1761</v>
      </c>
      <c r="O219" s="36" t="s">
        <v>14</v>
      </c>
      <c r="P219" s="18"/>
      <c r="Q219" s="28" t="s">
        <v>14</v>
      </c>
      <c r="R219" s="18"/>
      <c r="S219" s="28" t="s">
        <v>14</v>
      </c>
      <c r="T219" s="18"/>
      <c r="U219" s="28" t="s">
        <v>14</v>
      </c>
      <c r="V219" s="18"/>
      <c r="W219" s="28" t="s">
        <v>14</v>
      </c>
      <c r="X219" s="18"/>
      <c r="Y219" s="28" t="s">
        <v>14</v>
      </c>
      <c r="Z219" s="18"/>
      <c r="AA219" s="28" t="s">
        <v>14</v>
      </c>
      <c r="AB219" s="18"/>
      <c r="AC219" s="28" t="s">
        <v>14</v>
      </c>
      <c r="AD219" s="18"/>
      <c r="AE219" s="28" t="s">
        <v>14</v>
      </c>
      <c r="AF219" s="25" t="str">
        <f t="shared" si="17"/>
        <v>NA</v>
      </c>
      <c r="AG219" s="59" t="str">
        <f t="shared" si="16"/>
        <v>NÃO AVALIADO POR FALHA DE SINCRONISMO</v>
      </c>
      <c r="AH219" s="28" t="s">
        <v>108</v>
      </c>
      <c r="AI219" s="32" t="s">
        <v>1</v>
      </c>
      <c r="AJ219" s="29" t="str">
        <f t="shared" si="18"/>
        <v>GUARULHOS</v>
      </c>
      <c r="AK219" s="33" t="s">
        <v>13</v>
      </c>
    </row>
    <row r="220" spans="1:37" ht="30" customHeight="1" x14ac:dyDescent="0.2">
      <c r="A220" s="94" t="s">
        <v>101</v>
      </c>
      <c r="B220" s="94">
        <v>2617302303</v>
      </c>
      <c r="C220" s="94" t="s">
        <v>1734</v>
      </c>
      <c r="D220" s="94" t="s">
        <v>53</v>
      </c>
      <c r="E220" s="94" t="s">
        <v>102</v>
      </c>
      <c r="F220" s="94" t="s">
        <v>236</v>
      </c>
      <c r="G220" s="94">
        <v>148</v>
      </c>
      <c r="H220" s="94" t="s">
        <v>530</v>
      </c>
      <c r="I220" s="94" t="s">
        <v>237</v>
      </c>
      <c r="J220" s="94" t="s">
        <v>1736</v>
      </c>
      <c r="K220" s="95" t="s">
        <v>1899</v>
      </c>
      <c r="L220" s="94" t="s">
        <v>1500</v>
      </c>
      <c r="M220" s="94" t="s">
        <v>1904</v>
      </c>
      <c r="N220" s="94" t="s">
        <v>1761</v>
      </c>
      <c r="O220" s="36" t="s">
        <v>14</v>
      </c>
      <c r="P220" s="18"/>
      <c r="Q220" s="28" t="s">
        <v>14</v>
      </c>
      <c r="R220" s="18"/>
      <c r="S220" s="28" t="s">
        <v>14</v>
      </c>
      <c r="T220" s="18"/>
      <c r="U220" s="28" t="s">
        <v>14</v>
      </c>
      <c r="V220" s="18"/>
      <c r="W220" s="28" t="s">
        <v>14</v>
      </c>
      <c r="X220" s="18"/>
      <c r="Y220" s="28" t="s">
        <v>14</v>
      </c>
      <c r="Z220" s="18"/>
      <c r="AA220" s="28" t="s">
        <v>14</v>
      </c>
      <c r="AB220" s="18"/>
      <c r="AC220" s="28" t="s">
        <v>14</v>
      </c>
      <c r="AD220" s="18"/>
      <c r="AE220" s="28" t="s">
        <v>14</v>
      </c>
      <c r="AF220" s="25" t="str">
        <f t="shared" si="17"/>
        <v>NA</v>
      </c>
      <c r="AG220" s="59" t="str">
        <f t="shared" si="16"/>
        <v>NÃO AVALIADO POR FALHA DE SINCRONISMO</v>
      </c>
      <c r="AH220" s="28" t="s">
        <v>108</v>
      </c>
      <c r="AI220" s="32" t="s">
        <v>1</v>
      </c>
      <c r="AJ220" s="29" t="str">
        <f t="shared" si="18"/>
        <v>GUARULHOS</v>
      </c>
      <c r="AK220" s="33" t="s">
        <v>13</v>
      </c>
    </row>
    <row r="221" spans="1:37" ht="30" customHeight="1" x14ac:dyDescent="0.2">
      <c r="A221" s="94" t="s">
        <v>101</v>
      </c>
      <c r="B221" s="94">
        <v>2617302095</v>
      </c>
      <c r="C221" s="94" t="s">
        <v>1734</v>
      </c>
      <c r="D221" s="94" t="s">
        <v>53</v>
      </c>
      <c r="E221" s="94" t="s">
        <v>102</v>
      </c>
      <c r="F221" s="94" t="s">
        <v>236</v>
      </c>
      <c r="G221" s="94">
        <v>144</v>
      </c>
      <c r="H221" s="94" t="s">
        <v>1620</v>
      </c>
      <c r="I221" s="94" t="s">
        <v>237</v>
      </c>
      <c r="J221" s="94" t="s">
        <v>1736</v>
      </c>
      <c r="K221" s="94" t="s">
        <v>117</v>
      </c>
      <c r="L221" s="94" t="s">
        <v>1500</v>
      </c>
      <c r="M221" s="94" t="s">
        <v>1904</v>
      </c>
      <c r="N221" s="94" t="s">
        <v>1761</v>
      </c>
      <c r="O221" s="36" t="s">
        <v>14</v>
      </c>
      <c r="P221" s="18"/>
      <c r="Q221" s="28" t="s">
        <v>14</v>
      </c>
      <c r="R221" s="18"/>
      <c r="S221" s="28" t="s">
        <v>14</v>
      </c>
      <c r="T221" s="18"/>
      <c r="U221" s="28" t="s">
        <v>14</v>
      </c>
      <c r="V221" s="18"/>
      <c r="W221" s="28" t="s">
        <v>14</v>
      </c>
      <c r="X221" s="18"/>
      <c r="Y221" s="28" t="s">
        <v>14</v>
      </c>
      <c r="Z221" s="18"/>
      <c r="AA221" s="28" t="s">
        <v>14</v>
      </c>
      <c r="AB221" s="18"/>
      <c r="AC221" s="28" t="s">
        <v>14</v>
      </c>
      <c r="AD221" s="18"/>
      <c r="AE221" s="28" t="s">
        <v>14</v>
      </c>
      <c r="AF221" s="25" t="str">
        <f t="shared" si="17"/>
        <v>NA</v>
      </c>
      <c r="AG221" s="59" t="str">
        <f t="shared" si="16"/>
        <v>NÃO AVALIADO POR FALHA DE SINCRONISMO</v>
      </c>
      <c r="AH221" s="28" t="s">
        <v>108</v>
      </c>
      <c r="AI221" s="32" t="s">
        <v>1</v>
      </c>
      <c r="AJ221" s="29" t="str">
        <f t="shared" si="18"/>
        <v>GUARULHOS</v>
      </c>
      <c r="AK221" s="33" t="s">
        <v>13</v>
      </c>
    </row>
    <row r="222" spans="1:37" ht="30" customHeight="1" x14ac:dyDescent="0.2">
      <c r="A222" s="94" t="s">
        <v>101</v>
      </c>
      <c r="B222" s="94">
        <v>2617306382</v>
      </c>
      <c r="C222" s="94" t="s">
        <v>1734</v>
      </c>
      <c r="D222" s="94" t="s">
        <v>53</v>
      </c>
      <c r="E222" s="94" t="s">
        <v>102</v>
      </c>
      <c r="F222" s="94" t="s">
        <v>236</v>
      </c>
      <c r="G222" s="94">
        <v>138</v>
      </c>
      <c r="H222" s="94" t="s">
        <v>1910</v>
      </c>
      <c r="I222" s="94" t="s">
        <v>237</v>
      </c>
      <c r="J222" s="94" t="s">
        <v>1736</v>
      </c>
      <c r="K222" s="95" t="s">
        <v>1903</v>
      </c>
      <c r="L222" s="94" t="s">
        <v>1500</v>
      </c>
      <c r="M222" s="94" t="s">
        <v>1904</v>
      </c>
      <c r="N222" s="94" t="s">
        <v>1761</v>
      </c>
      <c r="O222" s="36" t="s">
        <v>14</v>
      </c>
      <c r="P222" s="18"/>
      <c r="Q222" s="28" t="s">
        <v>14</v>
      </c>
      <c r="R222" s="18"/>
      <c r="S222" s="28" t="s">
        <v>14</v>
      </c>
      <c r="T222" s="18"/>
      <c r="U222" s="28" t="s">
        <v>14</v>
      </c>
      <c r="V222" s="18"/>
      <c r="W222" s="28" t="s">
        <v>14</v>
      </c>
      <c r="X222" s="18"/>
      <c r="Y222" s="28" t="s">
        <v>14</v>
      </c>
      <c r="Z222" s="18"/>
      <c r="AA222" s="28" t="s">
        <v>14</v>
      </c>
      <c r="AB222" s="18"/>
      <c r="AC222" s="28" t="s">
        <v>14</v>
      </c>
      <c r="AD222" s="18"/>
      <c r="AE222" s="28" t="s">
        <v>14</v>
      </c>
      <c r="AF222" s="25" t="str">
        <f t="shared" si="17"/>
        <v>NA</v>
      </c>
      <c r="AG222" s="59" t="str">
        <f t="shared" si="16"/>
        <v>NÃO AVALIADO POR FALHA DE SINCRONISMO</v>
      </c>
      <c r="AH222" s="28" t="s">
        <v>108</v>
      </c>
      <c r="AI222" s="32" t="s">
        <v>1</v>
      </c>
      <c r="AJ222" s="29" t="str">
        <f t="shared" si="18"/>
        <v>GUARULHOS</v>
      </c>
      <c r="AK222" s="33" t="s">
        <v>13</v>
      </c>
    </row>
    <row r="223" spans="1:37" ht="30" customHeight="1" x14ac:dyDescent="0.2">
      <c r="A223" s="94" t="s">
        <v>101</v>
      </c>
      <c r="B223" s="94">
        <v>2617305682</v>
      </c>
      <c r="C223" s="94" t="s">
        <v>1734</v>
      </c>
      <c r="D223" s="94" t="s">
        <v>53</v>
      </c>
      <c r="E223" s="94" t="s">
        <v>102</v>
      </c>
      <c r="F223" s="94" t="s">
        <v>236</v>
      </c>
      <c r="G223" s="94">
        <v>137</v>
      </c>
      <c r="H223" s="94" t="s">
        <v>110</v>
      </c>
      <c r="I223" s="94" t="s">
        <v>237</v>
      </c>
      <c r="J223" s="94" t="s">
        <v>1736</v>
      </c>
      <c r="K223" s="95" t="s">
        <v>1903</v>
      </c>
      <c r="L223" s="94" t="s">
        <v>1500</v>
      </c>
      <c r="M223" s="94" t="s">
        <v>1904</v>
      </c>
      <c r="N223" s="94" t="s">
        <v>1761</v>
      </c>
      <c r="O223" s="36" t="s">
        <v>14</v>
      </c>
      <c r="P223" s="18"/>
      <c r="Q223" s="28" t="s">
        <v>14</v>
      </c>
      <c r="R223" s="18"/>
      <c r="S223" s="28" t="s">
        <v>14</v>
      </c>
      <c r="T223" s="18"/>
      <c r="U223" s="28" t="s">
        <v>14</v>
      </c>
      <c r="V223" s="18"/>
      <c r="W223" s="28" t="s">
        <v>14</v>
      </c>
      <c r="X223" s="18"/>
      <c r="Y223" s="28" t="s">
        <v>14</v>
      </c>
      <c r="Z223" s="18"/>
      <c r="AA223" s="28" t="s">
        <v>14</v>
      </c>
      <c r="AB223" s="18"/>
      <c r="AC223" s="28" t="s">
        <v>14</v>
      </c>
      <c r="AD223" s="18"/>
      <c r="AE223" s="28" t="s">
        <v>14</v>
      </c>
      <c r="AF223" s="25" t="str">
        <f t="shared" si="17"/>
        <v>NA</v>
      </c>
      <c r="AG223" s="59" t="str">
        <f t="shared" si="16"/>
        <v>NÃO AVALIADO POR FALHA DE SINCRONISMO</v>
      </c>
      <c r="AH223" s="28" t="s">
        <v>108</v>
      </c>
      <c r="AI223" s="32" t="s">
        <v>1</v>
      </c>
      <c r="AJ223" s="29" t="str">
        <f t="shared" si="18"/>
        <v>GUARULHOS</v>
      </c>
      <c r="AK223" s="33" t="s">
        <v>13</v>
      </c>
    </row>
    <row r="224" spans="1:37" ht="30" customHeight="1" x14ac:dyDescent="0.2">
      <c r="A224" s="94" t="s">
        <v>101</v>
      </c>
      <c r="B224" s="94">
        <v>2617305496</v>
      </c>
      <c r="C224" s="94" t="s">
        <v>1734</v>
      </c>
      <c r="D224" s="94" t="s">
        <v>53</v>
      </c>
      <c r="E224" s="94" t="s">
        <v>102</v>
      </c>
      <c r="F224" s="94" t="s">
        <v>236</v>
      </c>
      <c r="G224" s="94">
        <v>134</v>
      </c>
      <c r="H224" s="94" t="s">
        <v>1911</v>
      </c>
      <c r="I224" s="94" t="s">
        <v>237</v>
      </c>
      <c r="J224" s="94" t="s">
        <v>1736</v>
      </c>
      <c r="K224" s="95" t="s">
        <v>1903</v>
      </c>
      <c r="L224" s="94" t="s">
        <v>1500</v>
      </c>
      <c r="M224" s="94" t="s">
        <v>1904</v>
      </c>
      <c r="N224" s="94" t="s">
        <v>1761</v>
      </c>
      <c r="O224" s="36" t="s">
        <v>14</v>
      </c>
      <c r="P224" s="18"/>
      <c r="Q224" s="28" t="s">
        <v>14</v>
      </c>
      <c r="R224" s="18"/>
      <c r="S224" s="28" t="s">
        <v>14</v>
      </c>
      <c r="T224" s="18"/>
      <c r="U224" s="28" t="s">
        <v>14</v>
      </c>
      <c r="V224" s="18"/>
      <c r="W224" s="28" t="s">
        <v>14</v>
      </c>
      <c r="X224" s="18"/>
      <c r="Y224" s="28" t="s">
        <v>14</v>
      </c>
      <c r="Z224" s="18"/>
      <c r="AA224" s="28" t="s">
        <v>14</v>
      </c>
      <c r="AB224" s="18"/>
      <c r="AC224" s="28" t="s">
        <v>14</v>
      </c>
      <c r="AD224" s="18"/>
      <c r="AE224" s="28" t="s">
        <v>14</v>
      </c>
      <c r="AF224" s="25" t="str">
        <f t="shared" si="17"/>
        <v>NA</v>
      </c>
      <c r="AG224" s="59" t="str">
        <f t="shared" si="16"/>
        <v>NÃO AVALIADO POR FALHA DE SINCRONISMO</v>
      </c>
      <c r="AH224" s="28" t="s">
        <v>108</v>
      </c>
      <c r="AI224" s="32" t="s">
        <v>1</v>
      </c>
      <c r="AJ224" s="29" t="str">
        <f t="shared" si="18"/>
        <v>GUARULHOS</v>
      </c>
      <c r="AK224" s="33" t="s">
        <v>13</v>
      </c>
    </row>
    <row r="225" spans="1:37" ht="30" customHeight="1" x14ac:dyDescent="0.2">
      <c r="A225" s="94" t="s">
        <v>101</v>
      </c>
      <c r="B225" s="94">
        <v>2617305334</v>
      </c>
      <c r="C225" s="94" t="s">
        <v>1734</v>
      </c>
      <c r="D225" s="94" t="s">
        <v>53</v>
      </c>
      <c r="E225" s="94" t="s">
        <v>102</v>
      </c>
      <c r="F225" s="94" t="s">
        <v>236</v>
      </c>
      <c r="G225" s="94">
        <v>126</v>
      </c>
      <c r="H225" s="94" t="s">
        <v>1912</v>
      </c>
      <c r="I225" s="94" t="s">
        <v>237</v>
      </c>
      <c r="J225" s="94" t="s">
        <v>1736</v>
      </c>
      <c r="K225" s="95" t="s">
        <v>1903</v>
      </c>
      <c r="L225" s="94" t="s">
        <v>1500</v>
      </c>
      <c r="M225" s="94" t="s">
        <v>1904</v>
      </c>
      <c r="N225" s="94" t="s">
        <v>1761</v>
      </c>
      <c r="O225" s="36" t="s">
        <v>14</v>
      </c>
      <c r="P225" s="18"/>
      <c r="Q225" s="28" t="s">
        <v>14</v>
      </c>
      <c r="R225" s="18"/>
      <c r="S225" s="28" t="s">
        <v>14</v>
      </c>
      <c r="T225" s="18"/>
      <c r="U225" s="28" t="s">
        <v>14</v>
      </c>
      <c r="V225" s="18"/>
      <c r="W225" s="28" t="s">
        <v>14</v>
      </c>
      <c r="X225" s="18"/>
      <c r="Y225" s="28" t="s">
        <v>14</v>
      </c>
      <c r="Z225" s="18"/>
      <c r="AA225" s="28" t="s">
        <v>14</v>
      </c>
      <c r="AB225" s="18"/>
      <c r="AC225" s="28" t="s">
        <v>14</v>
      </c>
      <c r="AD225" s="18"/>
      <c r="AE225" s="28" t="s">
        <v>14</v>
      </c>
      <c r="AF225" s="25" t="str">
        <f t="shared" si="17"/>
        <v>NA</v>
      </c>
      <c r="AG225" s="59" t="str">
        <f t="shared" si="16"/>
        <v>NÃO AVALIADO POR FALHA DE SINCRONISMO</v>
      </c>
      <c r="AH225" s="28" t="s">
        <v>108</v>
      </c>
      <c r="AI225" s="32" t="s">
        <v>1</v>
      </c>
      <c r="AJ225" s="29" t="str">
        <f t="shared" si="18"/>
        <v>GUARULHOS</v>
      </c>
      <c r="AK225" s="33" t="s">
        <v>13</v>
      </c>
    </row>
    <row r="226" spans="1:37" ht="30" customHeight="1" x14ac:dyDescent="0.2">
      <c r="A226" s="94" t="s">
        <v>101</v>
      </c>
      <c r="B226" s="94">
        <v>2617305211</v>
      </c>
      <c r="C226" s="94" t="s">
        <v>1734</v>
      </c>
      <c r="D226" s="94" t="s">
        <v>53</v>
      </c>
      <c r="E226" s="94" t="s">
        <v>102</v>
      </c>
      <c r="F226" s="94" t="s">
        <v>236</v>
      </c>
      <c r="G226" s="94">
        <v>125</v>
      </c>
      <c r="H226" s="94"/>
      <c r="I226" s="94" t="s">
        <v>237</v>
      </c>
      <c r="J226" s="94" t="s">
        <v>1736</v>
      </c>
      <c r="K226" s="95" t="s">
        <v>1903</v>
      </c>
      <c r="L226" s="94" t="s">
        <v>1500</v>
      </c>
      <c r="M226" s="94" t="s">
        <v>1904</v>
      </c>
      <c r="N226" s="94" t="s">
        <v>1761</v>
      </c>
      <c r="O226" s="36" t="s">
        <v>14</v>
      </c>
      <c r="P226" s="18"/>
      <c r="Q226" s="28" t="s">
        <v>14</v>
      </c>
      <c r="R226" s="18"/>
      <c r="S226" s="28" t="s">
        <v>14</v>
      </c>
      <c r="T226" s="18"/>
      <c r="U226" s="28" t="s">
        <v>14</v>
      </c>
      <c r="V226" s="18"/>
      <c r="W226" s="28" t="s">
        <v>14</v>
      </c>
      <c r="X226" s="18"/>
      <c r="Y226" s="28" t="s">
        <v>14</v>
      </c>
      <c r="Z226" s="18"/>
      <c r="AA226" s="28" t="s">
        <v>14</v>
      </c>
      <c r="AB226" s="18"/>
      <c r="AC226" s="28" t="s">
        <v>14</v>
      </c>
      <c r="AD226" s="18"/>
      <c r="AE226" s="28" t="s">
        <v>14</v>
      </c>
      <c r="AF226" s="25" t="str">
        <f t="shared" si="17"/>
        <v>NA</v>
      </c>
      <c r="AG226" s="59" t="str">
        <f t="shared" si="16"/>
        <v>NÃO AVALIADO POR FALHA DE SINCRONISMO</v>
      </c>
      <c r="AH226" s="28" t="s">
        <v>108</v>
      </c>
      <c r="AI226" s="32" t="s">
        <v>1</v>
      </c>
      <c r="AJ226" s="29" t="str">
        <f t="shared" si="18"/>
        <v>GUARULHOS</v>
      </c>
      <c r="AK226" s="33" t="s">
        <v>13</v>
      </c>
    </row>
    <row r="227" spans="1:37" ht="30" customHeight="1" x14ac:dyDescent="0.2">
      <c r="A227" s="94" t="s">
        <v>101</v>
      </c>
      <c r="B227" s="94">
        <v>2617304946</v>
      </c>
      <c r="C227" s="94" t="s">
        <v>1734</v>
      </c>
      <c r="D227" s="94" t="s">
        <v>53</v>
      </c>
      <c r="E227" s="94" t="s">
        <v>102</v>
      </c>
      <c r="F227" s="94" t="s">
        <v>236</v>
      </c>
      <c r="G227" s="94">
        <v>122</v>
      </c>
      <c r="H227" s="94" t="s">
        <v>1913</v>
      </c>
      <c r="I227" s="94" t="s">
        <v>237</v>
      </c>
      <c r="J227" s="94" t="s">
        <v>1736</v>
      </c>
      <c r="K227" s="95" t="s">
        <v>1903</v>
      </c>
      <c r="L227" s="94" t="s">
        <v>1500</v>
      </c>
      <c r="M227" s="94" t="s">
        <v>1904</v>
      </c>
      <c r="N227" s="94" t="s">
        <v>1761</v>
      </c>
      <c r="O227" s="36" t="s">
        <v>14</v>
      </c>
      <c r="P227" s="18"/>
      <c r="Q227" s="28" t="s">
        <v>14</v>
      </c>
      <c r="R227" s="18"/>
      <c r="S227" s="28" t="s">
        <v>14</v>
      </c>
      <c r="T227" s="18"/>
      <c r="U227" s="28" t="s">
        <v>14</v>
      </c>
      <c r="V227" s="18"/>
      <c r="W227" s="28" t="s">
        <v>14</v>
      </c>
      <c r="X227" s="18"/>
      <c r="Y227" s="28" t="s">
        <v>14</v>
      </c>
      <c r="Z227" s="18"/>
      <c r="AA227" s="28" t="s">
        <v>14</v>
      </c>
      <c r="AB227" s="18"/>
      <c r="AC227" s="28" t="s">
        <v>14</v>
      </c>
      <c r="AD227" s="18"/>
      <c r="AE227" s="28" t="s">
        <v>14</v>
      </c>
      <c r="AF227" s="25" t="str">
        <f t="shared" si="17"/>
        <v>NA</v>
      </c>
      <c r="AG227" s="59" t="str">
        <f t="shared" si="16"/>
        <v>NÃO AVALIADO POR FALHA DE SINCRONISMO</v>
      </c>
      <c r="AH227" s="28" t="s">
        <v>108</v>
      </c>
      <c r="AI227" s="32" t="s">
        <v>1</v>
      </c>
      <c r="AJ227" s="29" t="str">
        <f t="shared" si="18"/>
        <v>GUARULHOS</v>
      </c>
      <c r="AK227" s="33" t="s">
        <v>13</v>
      </c>
    </row>
    <row r="228" spans="1:37" ht="30" customHeight="1" x14ac:dyDescent="0.2">
      <c r="A228" s="94" t="s">
        <v>101</v>
      </c>
      <c r="B228" s="94">
        <v>2617304828</v>
      </c>
      <c r="C228" s="94" t="s">
        <v>1734</v>
      </c>
      <c r="D228" s="94" t="s">
        <v>53</v>
      </c>
      <c r="E228" s="94" t="s">
        <v>102</v>
      </c>
      <c r="F228" s="94" t="s">
        <v>236</v>
      </c>
      <c r="G228" s="94">
        <v>117</v>
      </c>
      <c r="H228" s="94" t="s">
        <v>1756</v>
      </c>
      <c r="I228" s="94" t="s">
        <v>237</v>
      </c>
      <c r="J228" s="94" t="s">
        <v>1736</v>
      </c>
      <c r="K228" s="95" t="s">
        <v>1903</v>
      </c>
      <c r="L228" s="94" t="s">
        <v>1500</v>
      </c>
      <c r="M228" s="94" t="s">
        <v>1904</v>
      </c>
      <c r="N228" s="94" t="s">
        <v>1761</v>
      </c>
      <c r="O228" s="36" t="s">
        <v>14</v>
      </c>
      <c r="P228" s="18"/>
      <c r="Q228" s="28" t="s">
        <v>14</v>
      </c>
      <c r="R228" s="18"/>
      <c r="S228" s="28" t="s">
        <v>14</v>
      </c>
      <c r="T228" s="18"/>
      <c r="U228" s="28" t="s">
        <v>14</v>
      </c>
      <c r="V228" s="18"/>
      <c r="W228" s="28" t="s">
        <v>14</v>
      </c>
      <c r="X228" s="18"/>
      <c r="Y228" s="28" t="s">
        <v>14</v>
      </c>
      <c r="Z228" s="18"/>
      <c r="AA228" s="28" t="s">
        <v>14</v>
      </c>
      <c r="AB228" s="18"/>
      <c r="AC228" s="28" t="s">
        <v>14</v>
      </c>
      <c r="AD228" s="18"/>
      <c r="AE228" s="28" t="s">
        <v>14</v>
      </c>
      <c r="AF228" s="25" t="str">
        <f t="shared" si="17"/>
        <v>NA</v>
      </c>
      <c r="AG228" s="59" t="str">
        <f t="shared" si="16"/>
        <v>NÃO AVALIADO POR FALHA DE SINCRONISMO</v>
      </c>
      <c r="AH228" s="28" t="s">
        <v>108</v>
      </c>
      <c r="AI228" s="32" t="s">
        <v>1</v>
      </c>
      <c r="AJ228" s="29" t="str">
        <f t="shared" si="18"/>
        <v>GUARULHOS</v>
      </c>
      <c r="AK228" s="33" t="s">
        <v>13</v>
      </c>
    </row>
    <row r="229" spans="1:37" ht="30" customHeight="1" x14ac:dyDescent="0.2">
      <c r="A229" s="94" t="s">
        <v>101</v>
      </c>
      <c r="B229" s="94">
        <v>2617304619</v>
      </c>
      <c r="C229" s="94" t="s">
        <v>1734</v>
      </c>
      <c r="D229" s="94" t="s">
        <v>53</v>
      </c>
      <c r="E229" s="94" t="s">
        <v>102</v>
      </c>
      <c r="F229" s="94" t="s">
        <v>236</v>
      </c>
      <c r="G229" s="94">
        <v>111</v>
      </c>
      <c r="H229" s="94" t="s">
        <v>1914</v>
      </c>
      <c r="I229" s="94" t="s">
        <v>237</v>
      </c>
      <c r="J229" s="94" t="s">
        <v>1736</v>
      </c>
      <c r="K229" s="95" t="s">
        <v>1903</v>
      </c>
      <c r="L229" s="94" t="s">
        <v>1500</v>
      </c>
      <c r="M229" s="94" t="s">
        <v>1904</v>
      </c>
      <c r="N229" s="94" t="s">
        <v>1761</v>
      </c>
      <c r="O229" s="36" t="s">
        <v>14</v>
      </c>
      <c r="P229" s="18"/>
      <c r="Q229" s="28" t="s">
        <v>14</v>
      </c>
      <c r="R229" s="18"/>
      <c r="S229" s="28" t="s">
        <v>14</v>
      </c>
      <c r="T229" s="18"/>
      <c r="U229" s="28" t="s">
        <v>14</v>
      </c>
      <c r="V229" s="18"/>
      <c r="W229" s="28" t="s">
        <v>14</v>
      </c>
      <c r="X229" s="18"/>
      <c r="Y229" s="28" t="s">
        <v>14</v>
      </c>
      <c r="Z229" s="18"/>
      <c r="AA229" s="28" t="s">
        <v>14</v>
      </c>
      <c r="AB229" s="18"/>
      <c r="AC229" s="28" t="s">
        <v>14</v>
      </c>
      <c r="AD229" s="18"/>
      <c r="AE229" s="28" t="s">
        <v>14</v>
      </c>
      <c r="AF229" s="25" t="str">
        <f t="shared" si="17"/>
        <v>NA</v>
      </c>
      <c r="AG229" s="59" t="str">
        <f t="shared" si="16"/>
        <v>NÃO AVALIADO POR FALHA DE SINCRONISMO</v>
      </c>
      <c r="AH229" s="28" t="s">
        <v>108</v>
      </c>
      <c r="AI229" s="32" t="s">
        <v>1</v>
      </c>
      <c r="AJ229" s="29" t="str">
        <f t="shared" si="18"/>
        <v>GUARULHOS</v>
      </c>
      <c r="AK229" s="33" t="s">
        <v>13</v>
      </c>
    </row>
    <row r="230" spans="1:37" ht="30" customHeight="1" x14ac:dyDescent="0.2">
      <c r="A230" s="94" t="s">
        <v>101</v>
      </c>
      <c r="B230" s="94">
        <v>2617303694</v>
      </c>
      <c r="C230" s="94" t="s">
        <v>1734</v>
      </c>
      <c r="D230" s="94" t="s">
        <v>53</v>
      </c>
      <c r="E230" s="94" t="s">
        <v>102</v>
      </c>
      <c r="F230" s="94" t="s">
        <v>236</v>
      </c>
      <c r="G230" s="94">
        <v>105</v>
      </c>
      <c r="H230" s="94"/>
      <c r="I230" s="94" t="s">
        <v>237</v>
      </c>
      <c r="J230" s="94" t="s">
        <v>1736</v>
      </c>
      <c r="K230" s="95" t="s">
        <v>1903</v>
      </c>
      <c r="L230" s="94" t="s">
        <v>1500</v>
      </c>
      <c r="M230" s="94" t="s">
        <v>1904</v>
      </c>
      <c r="N230" s="94" t="s">
        <v>1761</v>
      </c>
      <c r="O230" s="36" t="s">
        <v>14</v>
      </c>
      <c r="P230" s="18"/>
      <c r="Q230" s="28" t="s">
        <v>14</v>
      </c>
      <c r="R230" s="18"/>
      <c r="S230" s="28" t="s">
        <v>14</v>
      </c>
      <c r="T230" s="18"/>
      <c r="U230" s="28" t="s">
        <v>14</v>
      </c>
      <c r="V230" s="18"/>
      <c r="W230" s="28" t="s">
        <v>14</v>
      </c>
      <c r="X230" s="18"/>
      <c r="Y230" s="28" t="s">
        <v>14</v>
      </c>
      <c r="Z230" s="18"/>
      <c r="AA230" s="28" t="s">
        <v>14</v>
      </c>
      <c r="AB230" s="18"/>
      <c r="AC230" s="28" t="s">
        <v>14</v>
      </c>
      <c r="AD230" s="18"/>
      <c r="AE230" s="28" t="s">
        <v>14</v>
      </c>
      <c r="AF230" s="25" t="str">
        <f t="shared" si="17"/>
        <v>NA</v>
      </c>
      <c r="AG230" s="59" t="str">
        <f t="shared" si="16"/>
        <v>NÃO AVALIADO POR FALHA DE SINCRONISMO</v>
      </c>
      <c r="AH230" s="28" t="s">
        <v>108</v>
      </c>
      <c r="AI230" s="32" t="s">
        <v>1</v>
      </c>
      <c r="AJ230" s="29" t="str">
        <f t="shared" si="18"/>
        <v>GUARULHOS</v>
      </c>
      <c r="AK230" s="33" t="s">
        <v>13</v>
      </c>
    </row>
    <row r="231" spans="1:37" ht="30" customHeight="1" x14ac:dyDescent="0.2">
      <c r="A231" s="94" t="s">
        <v>101</v>
      </c>
      <c r="B231" s="94">
        <v>2617303202</v>
      </c>
      <c r="C231" s="94" t="s">
        <v>1734</v>
      </c>
      <c r="D231" s="94" t="s">
        <v>53</v>
      </c>
      <c r="E231" s="94" t="s">
        <v>102</v>
      </c>
      <c r="F231" s="94" t="s">
        <v>236</v>
      </c>
      <c r="G231" s="94">
        <v>100</v>
      </c>
      <c r="H231" s="94" t="s">
        <v>1035</v>
      </c>
      <c r="I231" s="94" t="s">
        <v>237</v>
      </c>
      <c r="J231" s="94" t="s">
        <v>1736</v>
      </c>
      <c r="K231" s="95" t="s">
        <v>1903</v>
      </c>
      <c r="L231" s="94" t="s">
        <v>1500</v>
      </c>
      <c r="M231" s="94" t="s">
        <v>1904</v>
      </c>
      <c r="N231" s="94" t="s">
        <v>1761</v>
      </c>
      <c r="O231" s="36" t="s">
        <v>14</v>
      </c>
      <c r="P231" s="18"/>
      <c r="Q231" s="28" t="s">
        <v>14</v>
      </c>
      <c r="R231" s="18"/>
      <c r="S231" s="28" t="s">
        <v>14</v>
      </c>
      <c r="T231" s="18"/>
      <c r="U231" s="28" t="s">
        <v>14</v>
      </c>
      <c r="V231" s="18"/>
      <c r="W231" s="28" t="s">
        <v>14</v>
      </c>
      <c r="X231" s="18"/>
      <c r="Y231" s="28" t="s">
        <v>14</v>
      </c>
      <c r="Z231" s="18"/>
      <c r="AA231" s="28" t="s">
        <v>14</v>
      </c>
      <c r="AB231" s="18"/>
      <c r="AC231" s="28" t="s">
        <v>14</v>
      </c>
      <c r="AD231" s="18"/>
      <c r="AE231" s="28" t="s">
        <v>14</v>
      </c>
      <c r="AF231" s="25" t="str">
        <f t="shared" si="17"/>
        <v>NA</v>
      </c>
      <c r="AG231" s="59" t="str">
        <f t="shared" si="16"/>
        <v>NÃO AVALIADO POR FALHA DE SINCRONISMO</v>
      </c>
      <c r="AH231" s="28" t="s">
        <v>108</v>
      </c>
      <c r="AI231" s="32" t="s">
        <v>1</v>
      </c>
      <c r="AJ231" s="29" t="str">
        <f t="shared" si="18"/>
        <v>GUARULHOS</v>
      </c>
      <c r="AK231" s="33" t="s">
        <v>13</v>
      </c>
    </row>
    <row r="232" spans="1:37" ht="30" customHeight="1" x14ac:dyDescent="0.2">
      <c r="A232" s="94" t="s">
        <v>101</v>
      </c>
      <c r="B232" s="94">
        <v>2617304586</v>
      </c>
      <c r="C232" s="94" t="s">
        <v>1734</v>
      </c>
      <c r="D232" s="94" t="s">
        <v>53</v>
      </c>
      <c r="E232" s="94" t="s">
        <v>102</v>
      </c>
      <c r="F232" s="94" t="s">
        <v>236</v>
      </c>
      <c r="G232" s="94">
        <v>320</v>
      </c>
      <c r="H232" s="94" t="s">
        <v>1915</v>
      </c>
      <c r="I232" s="94" t="s">
        <v>237</v>
      </c>
      <c r="J232" s="94" t="s">
        <v>1736</v>
      </c>
      <c r="K232" s="95" t="s">
        <v>1903</v>
      </c>
      <c r="L232" s="94" t="s">
        <v>1500</v>
      </c>
      <c r="M232" s="94" t="s">
        <v>1904</v>
      </c>
      <c r="N232" s="94" t="s">
        <v>1761</v>
      </c>
      <c r="O232" s="36" t="s">
        <v>14</v>
      </c>
      <c r="P232" s="18"/>
      <c r="Q232" s="28" t="s">
        <v>14</v>
      </c>
      <c r="R232" s="18"/>
      <c r="S232" s="28" t="s">
        <v>14</v>
      </c>
      <c r="T232" s="18"/>
      <c r="U232" s="28" t="s">
        <v>14</v>
      </c>
      <c r="V232" s="18"/>
      <c r="W232" s="28" t="s">
        <v>14</v>
      </c>
      <c r="X232" s="18"/>
      <c r="Y232" s="28" t="s">
        <v>14</v>
      </c>
      <c r="Z232" s="18"/>
      <c r="AA232" s="28" t="s">
        <v>14</v>
      </c>
      <c r="AB232" s="18"/>
      <c r="AC232" s="28" t="s">
        <v>14</v>
      </c>
      <c r="AD232" s="18"/>
      <c r="AE232" s="28" t="s">
        <v>14</v>
      </c>
      <c r="AF232" s="25" t="str">
        <f t="shared" si="17"/>
        <v>NA</v>
      </c>
      <c r="AG232" s="59" t="str">
        <f t="shared" si="16"/>
        <v>NÃO AVALIADO POR FALHA DE SINCRONISMO</v>
      </c>
      <c r="AH232" s="28" t="s">
        <v>108</v>
      </c>
      <c r="AI232" s="32" t="s">
        <v>1</v>
      </c>
      <c r="AJ232" s="29" t="str">
        <f t="shared" si="18"/>
        <v>GUARULHOS</v>
      </c>
      <c r="AK232" s="33" t="s">
        <v>13</v>
      </c>
    </row>
    <row r="233" spans="1:37" ht="30" customHeight="1" x14ac:dyDescent="0.2">
      <c r="A233" s="94" t="s">
        <v>101</v>
      </c>
      <c r="B233" s="94">
        <v>2617302574</v>
      </c>
      <c r="C233" s="94" t="s">
        <v>1734</v>
      </c>
      <c r="D233" s="94" t="s">
        <v>53</v>
      </c>
      <c r="E233" s="94" t="s">
        <v>102</v>
      </c>
      <c r="F233" s="94" t="s">
        <v>236</v>
      </c>
      <c r="G233" s="94">
        <v>314</v>
      </c>
      <c r="H233" s="94" t="s">
        <v>1916</v>
      </c>
      <c r="I233" s="94" t="s">
        <v>237</v>
      </c>
      <c r="J233" s="94" t="s">
        <v>1736</v>
      </c>
      <c r="K233" s="95" t="s">
        <v>1903</v>
      </c>
      <c r="L233" s="94" t="s">
        <v>1500</v>
      </c>
      <c r="M233" s="94" t="s">
        <v>1904</v>
      </c>
      <c r="N233" s="94" t="s">
        <v>1761</v>
      </c>
      <c r="O233" s="36" t="s">
        <v>14</v>
      </c>
      <c r="P233" s="18"/>
      <c r="Q233" s="28" t="s">
        <v>14</v>
      </c>
      <c r="R233" s="18"/>
      <c r="S233" s="28" t="s">
        <v>14</v>
      </c>
      <c r="T233" s="18"/>
      <c r="U233" s="28" t="s">
        <v>14</v>
      </c>
      <c r="V233" s="18"/>
      <c r="W233" s="28" t="s">
        <v>14</v>
      </c>
      <c r="X233" s="18"/>
      <c r="Y233" s="28" t="s">
        <v>14</v>
      </c>
      <c r="Z233" s="18"/>
      <c r="AA233" s="28" t="s">
        <v>14</v>
      </c>
      <c r="AB233" s="18"/>
      <c r="AC233" s="28" t="s">
        <v>14</v>
      </c>
      <c r="AD233" s="18"/>
      <c r="AE233" s="28" t="s">
        <v>14</v>
      </c>
      <c r="AF233" s="25" t="str">
        <f t="shared" si="17"/>
        <v>NA</v>
      </c>
      <c r="AG233" s="59" t="str">
        <f t="shared" si="16"/>
        <v>NÃO AVALIADO POR FALHA DE SINCRONISMO</v>
      </c>
      <c r="AH233" s="28" t="s">
        <v>108</v>
      </c>
      <c r="AI233" s="32" t="s">
        <v>1</v>
      </c>
      <c r="AJ233" s="29" t="str">
        <f t="shared" si="18"/>
        <v>GUARULHOS</v>
      </c>
      <c r="AK233" s="33" t="s">
        <v>13</v>
      </c>
    </row>
    <row r="234" spans="1:37" ht="30" customHeight="1" x14ac:dyDescent="0.2">
      <c r="A234" s="94" t="s">
        <v>101</v>
      </c>
      <c r="B234" s="94">
        <v>2617302221</v>
      </c>
      <c r="C234" s="94" t="s">
        <v>1734</v>
      </c>
      <c r="D234" s="94" t="s">
        <v>53</v>
      </c>
      <c r="E234" s="94" t="s">
        <v>102</v>
      </c>
      <c r="F234" s="94" t="s">
        <v>236</v>
      </c>
      <c r="G234" s="94">
        <v>310</v>
      </c>
      <c r="H234" s="94" t="s">
        <v>1917</v>
      </c>
      <c r="I234" s="94" t="s">
        <v>237</v>
      </c>
      <c r="J234" s="94" t="s">
        <v>1736</v>
      </c>
      <c r="K234" s="95" t="s">
        <v>1899</v>
      </c>
      <c r="L234" s="94" t="s">
        <v>1500</v>
      </c>
      <c r="M234" s="94" t="s">
        <v>1904</v>
      </c>
      <c r="N234" s="94" t="s">
        <v>1761</v>
      </c>
      <c r="O234" s="36" t="s">
        <v>14</v>
      </c>
      <c r="P234" s="18"/>
      <c r="Q234" s="28" t="s">
        <v>14</v>
      </c>
      <c r="R234" s="18"/>
      <c r="S234" s="28" t="s">
        <v>14</v>
      </c>
      <c r="T234" s="18"/>
      <c r="U234" s="28" t="s">
        <v>14</v>
      </c>
      <c r="V234" s="18"/>
      <c r="W234" s="28" t="s">
        <v>14</v>
      </c>
      <c r="X234" s="18"/>
      <c r="Y234" s="28" t="s">
        <v>14</v>
      </c>
      <c r="Z234" s="18"/>
      <c r="AA234" s="28" t="s">
        <v>14</v>
      </c>
      <c r="AB234" s="18"/>
      <c r="AC234" s="28" t="s">
        <v>14</v>
      </c>
      <c r="AD234" s="18"/>
      <c r="AE234" s="28" t="s">
        <v>14</v>
      </c>
      <c r="AF234" s="25" t="str">
        <f t="shared" si="17"/>
        <v>NA</v>
      </c>
      <c r="AG234" s="59" t="str">
        <f t="shared" si="16"/>
        <v>NÃO AVALIADO POR FALHA DE SINCRONISMO</v>
      </c>
      <c r="AH234" s="28" t="s">
        <v>108</v>
      </c>
      <c r="AI234" s="32" t="s">
        <v>1</v>
      </c>
      <c r="AJ234" s="29" t="str">
        <f t="shared" si="18"/>
        <v>GUARULHOS</v>
      </c>
      <c r="AK234" s="33" t="s">
        <v>13</v>
      </c>
    </row>
    <row r="235" spans="1:37" ht="30" customHeight="1" x14ac:dyDescent="0.2">
      <c r="A235" s="94" t="s">
        <v>101</v>
      </c>
      <c r="B235" s="94">
        <v>2617301173</v>
      </c>
      <c r="C235" s="94" t="s">
        <v>1734</v>
      </c>
      <c r="D235" s="94" t="s">
        <v>53</v>
      </c>
      <c r="E235" s="94" t="s">
        <v>102</v>
      </c>
      <c r="F235" s="94" t="s">
        <v>236</v>
      </c>
      <c r="G235" s="94">
        <v>31</v>
      </c>
      <c r="H235" s="94" t="s">
        <v>1829</v>
      </c>
      <c r="I235" s="94" t="s">
        <v>237</v>
      </c>
      <c r="J235" s="94" t="s">
        <v>1736</v>
      </c>
      <c r="K235" s="95" t="s">
        <v>1899</v>
      </c>
      <c r="L235" s="94" t="s">
        <v>1500</v>
      </c>
      <c r="M235" s="94" t="s">
        <v>1900</v>
      </c>
      <c r="N235" s="94" t="s">
        <v>1761</v>
      </c>
      <c r="O235" s="36" t="s">
        <v>14</v>
      </c>
      <c r="P235" s="18"/>
      <c r="Q235" s="28" t="s">
        <v>14</v>
      </c>
      <c r="R235" s="18"/>
      <c r="S235" s="28" t="s">
        <v>14</v>
      </c>
      <c r="T235" s="18"/>
      <c r="U235" s="28" t="s">
        <v>14</v>
      </c>
      <c r="V235" s="18"/>
      <c r="W235" s="28" t="s">
        <v>14</v>
      </c>
      <c r="X235" s="18"/>
      <c r="Y235" s="28" t="s">
        <v>14</v>
      </c>
      <c r="Z235" s="18"/>
      <c r="AA235" s="28" t="s">
        <v>14</v>
      </c>
      <c r="AB235" s="18"/>
      <c r="AC235" s="28" t="s">
        <v>14</v>
      </c>
      <c r="AD235" s="18"/>
      <c r="AE235" s="28" t="s">
        <v>14</v>
      </c>
      <c r="AF235" s="25" t="str">
        <f t="shared" si="17"/>
        <v>NA</v>
      </c>
      <c r="AG235" s="59" t="str">
        <f t="shared" si="16"/>
        <v>NÃO AVALIADO POR FALHA DE SINCRONISMO</v>
      </c>
      <c r="AH235" s="28" t="s">
        <v>108</v>
      </c>
      <c r="AI235" s="32" t="s">
        <v>1</v>
      </c>
      <c r="AJ235" s="29" t="str">
        <f t="shared" si="18"/>
        <v>GUARULHOS</v>
      </c>
      <c r="AK235" s="33" t="s">
        <v>13</v>
      </c>
    </row>
    <row r="236" spans="1:37" ht="30" customHeight="1" x14ac:dyDescent="0.2">
      <c r="A236" s="94" t="s">
        <v>101</v>
      </c>
      <c r="B236" s="94">
        <v>2617302042</v>
      </c>
      <c r="C236" s="94" t="s">
        <v>1734</v>
      </c>
      <c r="D236" s="94" t="s">
        <v>53</v>
      </c>
      <c r="E236" s="94" t="s">
        <v>102</v>
      </c>
      <c r="F236" s="94" t="s">
        <v>236</v>
      </c>
      <c r="G236" s="94">
        <v>309</v>
      </c>
      <c r="H236" s="94" t="s">
        <v>1918</v>
      </c>
      <c r="I236" s="94" t="s">
        <v>237</v>
      </c>
      <c r="J236" s="94" t="s">
        <v>1736</v>
      </c>
      <c r="K236" s="95" t="s">
        <v>1899</v>
      </c>
      <c r="L236" s="94" t="s">
        <v>1500</v>
      </c>
      <c r="M236" s="94" t="s">
        <v>1904</v>
      </c>
      <c r="N236" s="94" t="s">
        <v>1761</v>
      </c>
      <c r="O236" s="36" t="s">
        <v>14</v>
      </c>
      <c r="P236" s="18"/>
      <c r="Q236" s="28" t="s">
        <v>14</v>
      </c>
      <c r="R236" s="18"/>
      <c r="S236" s="28" t="s">
        <v>14</v>
      </c>
      <c r="T236" s="18"/>
      <c r="U236" s="28" t="s">
        <v>14</v>
      </c>
      <c r="V236" s="18"/>
      <c r="W236" s="28" t="s">
        <v>14</v>
      </c>
      <c r="X236" s="18"/>
      <c r="Y236" s="28" t="s">
        <v>14</v>
      </c>
      <c r="Z236" s="18"/>
      <c r="AA236" s="28" t="s">
        <v>14</v>
      </c>
      <c r="AB236" s="18"/>
      <c r="AC236" s="28" t="s">
        <v>14</v>
      </c>
      <c r="AD236" s="18"/>
      <c r="AE236" s="28" t="s">
        <v>14</v>
      </c>
      <c r="AF236" s="25" t="str">
        <f t="shared" si="17"/>
        <v>NA</v>
      </c>
      <c r="AG236" s="59" t="str">
        <f t="shared" si="16"/>
        <v>NÃO AVALIADO POR FALHA DE SINCRONISMO</v>
      </c>
      <c r="AH236" s="28" t="s">
        <v>108</v>
      </c>
      <c r="AI236" s="32" t="s">
        <v>1</v>
      </c>
      <c r="AJ236" s="29" t="str">
        <f t="shared" si="18"/>
        <v>GUARULHOS</v>
      </c>
      <c r="AK236" s="33" t="s">
        <v>13</v>
      </c>
    </row>
    <row r="237" spans="1:37" ht="30" customHeight="1" x14ac:dyDescent="0.2">
      <c r="A237" s="94" t="s">
        <v>101</v>
      </c>
      <c r="B237" s="94">
        <v>2617301874</v>
      </c>
      <c r="C237" s="94" t="s">
        <v>1734</v>
      </c>
      <c r="D237" s="94" t="s">
        <v>53</v>
      </c>
      <c r="E237" s="94" t="s">
        <v>102</v>
      </c>
      <c r="F237" s="94" t="s">
        <v>236</v>
      </c>
      <c r="G237" s="94">
        <v>304</v>
      </c>
      <c r="H237" s="94" t="s">
        <v>1919</v>
      </c>
      <c r="I237" s="94" t="s">
        <v>237</v>
      </c>
      <c r="J237" s="94" t="s">
        <v>1736</v>
      </c>
      <c r="K237" s="95" t="s">
        <v>1902</v>
      </c>
      <c r="L237" s="94" t="s">
        <v>1500</v>
      </c>
      <c r="M237" s="94" t="s">
        <v>1900</v>
      </c>
      <c r="N237" s="94" t="s">
        <v>1761</v>
      </c>
      <c r="O237" s="36" t="s">
        <v>14</v>
      </c>
      <c r="P237" s="18"/>
      <c r="Q237" s="28" t="s">
        <v>14</v>
      </c>
      <c r="R237" s="18"/>
      <c r="S237" s="28" t="s">
        <v>14</v>
      </c>
      <c r="T237" s="18"/>
      <c r="U237" s="28" t="s">
        <v>14</v>
      </c>
      <c r="V237" s="18"/>
      <c r="W237" s="28" t="s">
        <v>14</v>
      </c>
      <c r="X237" s="18"/>
      <c r="Y237" s="28" t="s">
        <v>14</v>
      </c>
      <c r="Z237" s="18"/>
      <c r="AA237" s="28" t="s">
        <v>14</v>
      </c>
      <c r="AB237" s="18"/>
      <c r="AC237" s="28" t="s">
        <v>14</v>
      </c>
      <c r="AD237" s="18"/>
      <c r="AE237" s="28" t="s">
        <v>14</v>
      </c>
      <c r="AF237" s="25" t="str">
        <f t="shared" si="17"/>
        <v>NA</v>
      </c>
      <c r="AG237" s="59" t="str">
        <f t="shared" si="16"/>
        <v>NÃO AVALIADO POR FALHA DE SINCRONISMO</v>
      </c>
      <c r="AH237" s="28" t="s">
        <v>108</v>
      </c>
      <c r="AI237" s="32" t="s">
        <v>1</v>
      </c>
      <c r="AJ237" s="29" t="str">
        <f t="shared" si="18"/>
        <v>GUARULHOS</v>
      </c>
      <c r="AK237" s="33" t="s">
        <v>13</v>
      </c>
    </row>
    <row r="238" spans="1:37" ht="30" customHeight="1" x14ac:dyDescent="0.2">
      <c r="A238" s="94" t="s">
        <v>101</v>
      </c>
      <c r="B238" s="94">
        <v>2617300773</v>
      </c>
      <c r="C238" s="94" t="s">
        <v>1734</v>
      </c>
      <c r="D238" s="94" t="s">
        <v>53</v>
      </c>
      <c r="E238" s="94" t="s">
        <v>102</v>
      </c>
      <c r="F238" s="94" t="s">
        <v>236</v>
      </c>
      <c r="G238" s="94">
        <v>30</v>
      </c>
      <c r="H238" s="94" t="s">
        <v>901</v>
      </c>
      <c r="I238" s="94" t="s">
        <v>237</v>
      </c>
      <c r="J238" s="94" t="s">
        <v>1736</v>
      </c>
      <c r="K238" s="95" t="s">
        <v>1899</v>
      </c>
      <c r="L238" s="94" t="s">
        <v>1500</v>
      </c>
      <c r="M238" s="94" t="s">
        <v>1900</v>
      </c>
      <c r="N238" s="94" t="s">
        <v>1761</v>
      </c>
      <c r="O238" s="36" t="s">
        <v>14</v>
      </c>
      <c r="P238" s="18"/>
      <c r="Q238" s="28" t="s">
        <v>14</v>
      </c>
      <c r="R238" s="18"/>
      <c r="S238" s="28" t="s">
        <v>14</v>
      </c>
      <c r="T238" s="18"/>
      <c r="U238" s="28" t="s">
        <v>14</v>
      </c>
      <c r="V238" s="18"/>
      <c r="W238" s="28" t="s">
        <v>14</v>
      </c>
      <c r="X238" s="18"/>
      <c r="Y238" s="28" t="s">
        <v>14</v>
      </c>
      <c r="Z238" s="18"/>
      <c r="AA238" s="28" t="s">
        <v>14</v>
      </c>
      <c r="AB238" s="18"/>
      <c r="AC238" s="28" t="s">
        <v>14</v>
      </c>
      <c r="AD238" s="18"/>
      <c r="AE238" s="28" t="s">
        <v>14</v>
      </c>
      <c r="AF238" s="25" t="str">
        <f t="shared" si="17"/>
        <v>NA</v>
      </c>
      <c r="AG238" s="59" t="str">
        <f t="shared" si="16"/>
        <v>NÃO AVALIADO POR FALHA DE SINCRONISMO</v>
      </c>
      <c r="AH238" s="28" t="s">
        <v>108</v>
      </c>
      <c r="AI238" s="32" t="s">
        <v>1</v>
      </c>
      <c r="AJ238" s="29" t="str">
        <f t="shared" si="18"/>
        <v>GUARULHOS</v>
      </c>
      <c r="AK238" s="33" t="s">
        <v>13</v>
      </c>
    </row>
    <row r="239" spans="1:37" ht="30" customHeight="1" x14ac:dyDescent="0.2">
      <c r="A239" s="94" t="s">
        <v>101</v>
      </c>
      <c r="B239" s="94">
        <v>2617303282</v>
      </c>
      <c r="C239" s="94" t="s">
        <v>1734</v>
      </c>
      <c r="D239" s="94" t="s">
        <v>53</v>
      </c>
      <c r="E239" s="94" t="s">
        <v>102</v>
      </c>
      <c r="F239" s="94" t="s">
        <v>236</v>
      </c>
      <c r="G239" s="94">
        <v>297</v>
      </c>
      <c r="H239" s="94" t="s">
        <v>1048</v>
      </c>
      <c r="I239" s="94" t="s">
        <v>237</v>
      </c>
      <c r="J239" s="94" t="s">
        <v>1736</v>
      </c>
      <c r="K239" s="95" t="s">
        <v>1903</v>
      </c>
      <c r="L239" s="94" t="s">
        <v>1500</v>
      </c>
      <c r="M239" s="94" t="s">
        <v>1904</v>
      </c>
      <c r="N239" s="94" t="s">
        <v>1761</v>
      </c>
      <c r="O239" s="36" t="s">
        <v>14</v>
      </c>
      <c r="P239" s="18"/>
      <c r="Q239" s="28" t="s">
        <v>14</v>
      </c>
      <c r="R239" s="18"/>
      <c r="S239" s="28" t="s">
        <v>14</v>
      </c>
      <c r="T239" s="18"/>
      <c r="U239" s="28" t="s">
        <v>14</v>
      </c>
      <c r="V239" s="18"/>
      <c r="W239" s="28" t="s">
        <v>14</v>
      </c>
      <c r="X239" s="18"/>
      <c r="Y239" s="28" t="s">
        <v>14</v>
      </c>
      <c r="Z239" s="18"/>
      <c r="AA239" s="28" t="s">
        <v>14</v>
      </c>
      <c r="AB239" s="18"/>
      <c r="AC239" s="28" t="s">
        <v>14</v>
      </c>
      <c r="AD239" s="18"/>
      <c r="AE239" s="28" t="s">
        <v>14</v>
      </c>
      <c r="AF239" s="25" t="str">
        <f t="shared" si="17"/>
        <v>NA</v>
      </c>
      <c r="AG239" s="59" t="str">
        <f t="shared" si="16"/>
        <v>NÃO AVALIADO POR FALHA DE SINCRONISMO</v>
      </c>
      <c r="AH239" s="28" t="s">
        <v>108</v>
      </c>
      <c r="AI239" s="32" t="s">
        <v>1</v>
      </c>
      <c r="AJ239" s="29" t="str">
        <f t="shared" si="18"/>
        <v>GUARULHOS</v>
      </c>
      <c r="AK239" s="33" t="s">
        <v>13</v>
      </c>
    </row>
    <row r="240" spans="1:37" ht="30" customHeight="1" x14ac:dyDescent="0.2">
      <c r="A240" s="94" t="s">
        <v>101</v>
      </c>
      <c r="B240" s="94">
        <v>2617302956</v>
      </c>
      <c r="C240" s="94" t="s">
        <v>1734</v>
      </c>
      <c r="D240" s="94" t="s">
        <v>53</v>
      </c>
      <c r="E240" s="94" t="s">
        <v>102</v>
      </c>
      <c r="F240" s="94" t="s">
        <v>236</v>
      </c>
      <c r="G240" s="94">
        <v>296</v>
      </c>
      <c r="H240" s="94">
        <v>150</v>
      </c>
      <c r="I240" s="94" t="s">
        <v>237</v>
      </c>
      <c r="J240" s="94" t="s">
        <v>1736</v>
      </c>
      <c r="K240" s="95" t="s">
        <v>1903</v>
      </c>
      <c r="L240" s="94" t="s">
        <v>1500</v>
      </c>
      <c r="M240" s="94" t="s">
        <v>1904</v>
      </c>
      <c r="N240" s="94" t="s">
        <v>1761</v>
      </c>
      <c r="O240" s="36" t="s">
        <v>14</v>
      </c>
      <c r="P240" s="18"/>
      <c r="Q240" s="28" t="s">
        <v>14</v>
      </c>
      <c r="R240" s="18"/>
      <c r="S240" s="28" t="s">
        <v>14</v>
      </c>
      <c r="T240" s="18"/>
      <c r="U240" s="28" t="s">
        <v>14</v>
      </c>
      <c r="V240" s="18"/>
      <c r="W240" s="28" t="s">
        <v>14</v>
      </c>
      <c r="X240" s="18"/>
      <c r="Y240" s="28" t="s">
        <v>14</v>
      </c>
      <c r="Z240" s="18"/>
      <c r="AA240" s="28" t="s">
        <v>14</v>
      </c>
      <c r="AB240" s="18"/>
      <c r="AC240" s="28" t="s">
        <v>14</v>
      </c>
      <c r="AD240" s="18"/>
      <c r="AE240" s="28" t="s">
        <v>14</v>
      </c>
      <c r="AF240" s="25" t="str">
        <f t="shared" si="17"/>
        <v>NA</v>
      </c>
      <c r="AG240" s="59" t="str">
        <f t="shared" si="16"/>
        <v>NÃO AVALIADO POR FALHA DE SINCRONISMO</v>
      </c>
      <c r="AH240" s="28" t="s">
        <v>108</v>
      </c>
      <c r="AI240" s="32" t="s">
        <v>1</v>
      </c>
      <c r="AJ240" s="29" t="str">
        <f t="shared" si="18"/>
        <v>GUARULHOS</v>
      </c>
      <c r="AK240" s="33" t="s">
        <v>13</v>
      </c>
    </row>
    <row r="241" spans="1:37" ht="30" customHeight="1" x14ac:dyDescent="0.2">
      <c r="A241" s="94" t="s">
        <v>101</v>
      </c>
      <c r="B241" s="94">
        <v>2617302389</v>
      </c>
      <c r="C241" s="94" t="s">
        <v>1734</v>
      </c>
      <c r="D241" s="94" t="s">
        <v>53</v>
      </c>
      <c r="E241" s="94" t="s">
        <v>102</v>
      </c>
      <c r="F241" s="94" t="s">
        <v>236</v>
      </c>
      <c r="G241" s="94">
        <v>289</v>
      </c>
      <c r="H241" s="94" t="s">
        <v>117</v>
      </c>
      <c r="I241" s="94" t="s">
        <v>237</v>
      </c>
      <c r="J241" s="94" t="s">
        <v>1736</v>
      </c>
      <c r="K241" s="95" t="s">
        <v>1902</v>
      </c>
      <c r="L241" s="94" t="s">
        <v>1500</v>
      </c>
      <c r="M241" s="94" t="s">
        <v>1904</v>
      </c>
      <c r="N241" s="94" t="s">
        <v>1761</v>
      </c>
      <c r="O241" s="36" t="s">
        <v>14</v>
      </c>
      <c r="P241" s="18"/>
      <c r="Q241" s="28" t="s">
        <v>14</v>
      </c>
      <c r="R241" s="18"/>
      <c r="S241" s="28" t="s">
        <v>14</v>
      </c>
      <c r="T241" s="18"/>
      <c r="U241" s="28" t="s">
        <v>14</v>
      </c>
      <c r="V241" s="18"/>
      <c r="W241" s="28" t="s">
        <v>14</v>
      </c>
      <c r="X241" s="18"/>
      <c r="Y241" s="28" t="s">
        <v>14</v>
      </c>
      <c r="Z241" s="18"/>
      <c r="AA241" s="28" t="s">
        <v>14</v>
      </c>
      <c r="AB241" s="18"/>
      <c r="AC241" s="28" t="s">
        <v>14</v>
      </c>
      <c r="AD241" s="18"/>
      <c r="AE241" s="28" t="s">
        <v>14</v>
      </c>
      <c r="AF241" s="25" t="str">
        <f t="shared" si="17"/>
        <v>NA</v>
      </c>
      <c r="AG241" s="59" t="str">
        <f t="shared" si="16"/>
        <v>NÃO AVALIADO POR FALHA DE SINCRONISMO</v>
      </c>
      <c r="AH241" s="28" t="s">
        <v>108</v>
      </c>
      <c r="AI241" s="32" t="s">
        <v>1</v>
      </c>
      <c r="AJ241" s="29" t="str">
        <f t="shared" si="18"/>
        <v>GUARULHOS</v>
      </c>
      <c r="AK241" s="33" t="s">
        <v>13</v>
      </c>
    </row>
    <row r="242" spans="1:37" ht="30" customHeight="1" x14ac:dyDescent="0.2">
      <c r="A242" s="94" t="s">
        <v>101</v>
      </c>
      <c r="B242" s="94">
        <v>2617302663</v>
      </c>
      <c r="C242" s="94" t="s">
        <v>1734</v>
      </c>
      <c r="D242" s="94" t="s">
        <v>53</v>
      </c>
      <c r="E242" s="94" t="s">
        <v>102</v>
      </c>
      <c r="F242" s="94" t="s">
        <v>236</v>
      </c>
      <c r="G242" s="94">
        <v>288</v>
      </c>
      <c r="H242" s="94" t="s">
        <v>174</v>
      </c>
      <c r="I242" s="94" t="s">
        <v>237</v>
      </c>
      <c r="J242" s="94" t="s">
        <v>1736</v>
      </c>
      <c r="K242" s="95" t="s">
        <v>1903</v>
      </c>
      <c r="L242" s="94" t="s">
        <v>1500</v>
      </c>
      <c r="M242" s="94" t="s">
        <v>1904</v>
      </c>
      <c r="N242" s="94" t="s">
        <v>1761</v>
      </c>
      <c r="O242" s="36" t="s">
        <v>14</v>
      </c>
      <c r="P242" s="18"/>
      <c r="Q242" s="28" t="s">
        <v>14</v>
      </c>
      <c r="R242" s="18"/>
      <c r="S242" s="28" t="s">
        <v>14</v>
      </c>
      <c r="T242" s="18"/>
      <c r="U242" s="28" t="s">
        <v>14</v>
      </c>
      <c r="V242" s="18"/>
      <c r="W242" s="28" t="s">
        <v>14</v>
      </c>
      <c r="X242" s="18"/>
      <c r="Y242" s="28" t="s">
        <v>14</v>
      </c>
      <c r="Z242" s="18"/>
      <c r="AA242" s="28" t="s">
        <v>14</v>
      </c>
      <c r="AB242" s="18"/>
      <c r="AC242" s="28" t="s">
        <v>14</v>
      </c>
      <c r="AD242" s="18"/>
      <c r="AE242" s="28" t="s">
        <v>14</v>
      </c>
      <c r="AF242" s="25" t="str">
        <f t="shared" si="17"/>
        <v>NA</v>
      </c>
      <c r="AG242" s="59" t="str">
        <f t="shared" ref="AG242:AG278" si="19">IF(AND(AE242="C",AF242="C"),"UTILIZOU O PDA CORRETAMENTE",IF(AND(AE242="C",AF242="NC"),"UTILIZOU O PDA CORRETAMENTE. NÃO HÁ FOTOS DE TODAS AS ETAPAS",IF(AND(AE242="NC",AF242="NC"),"NÃO UTILIZOU O PDA",IF(AND(AE242="NA",AF242="NA"),"NÃO AVALIADO POR FALHA DE SINCRONISMO"))))</f>
        <v>NÃO AVALIADO POR FALHA DE SINCRONISMO</v>
      </c>
      <c r="AH242" s="28" t="s">
        <v>108</v>
      </c>
      <c r="AI242" s="32" t="s">
        <v>1</v>
      </c>
      <c r="AJ242" s="29" t="str">
        <f t="shared" si="18"/>
        <v>GUARULHOS</v>
      </c>
      <c r="AK242" s="33" t="s">
        <v>13</v>
      </c>
    </row>
    <row r="243" spans="1:37" ht="30" customHeight="1" x14ac:dyDescent="0.2">
      <c r="A243" s="94" t="s">
        <v>101</v>
      </c>
      <c r="B243" s="94">
        <v>2617302102</v>
      </c>
      <c r="C243" s="94" t="s">
        <v>1734</v>
      </c>
      <c r="D243" s="94" t="s">
        <v>53</v>
      </c>
      <c r="E243" s="94" t="s">
        <v>102</v>
      </c>
      <c r="F243" s="94" t="s">
        <v>236</v>
      </c>
      <c r="G243" s="94">
        <v>283</v>
      </c>
      <c r="H243" s="94" t="s">
        <v>117</v>
      </c>
      <c r="I243" s="94" t="s">
        <v>237</v>
      </c>
      <c r="J243" s="94" t="s">
        <v>1736</v>
      </c>
      <c r="K243" s="95" t="s">
        <v>1899</v>
      </c>
      <c r="L243" s="94" t="s">
        <v>1500</v>
      </c>
      <c r="M243" s="94" t="s">
        <v>1904</v>
      </c>
      <c r="N243" s="94" t="s">
        <v>1761</v>
      </c>
      <c r="O243" s="36" t="s">
        <v>14</v>
      </c>
      <c r="P243" s="18"/>
      <c r="Q243" s="28" t="s">
        <v>14</v>
      </c>
      <c r="R243" s="18"/>
      <c r="S243" s="28" t="s">
        <v>14</v>
      </c>
      <c r="T243" s="18"/>
      <c r="U243" s="28" t="s">
        <v>14</v>
      </c>
      <c r="V243" s="18"/>
      <c r="W243" s="28" t="s">
        <v>14</v>
      </c>
      <c r="X243" s="18"/>
      <c r="Y243" s="28" t="s">
        <v>14</v>
      </c>
      <c r="Z243" s="18"/>
      <c r="AA243" s="28" t="s">
        <v>14</v>
      </c>
      <c r="AB243" s="18"/>
      <c r="AC243" s="28" t="s">
        <v>14</v>
      </c>
      <c r="AD243" s="18"/>
      <c r="AE243" s="28" t="s">
        <v>14</v>
      </c>
      <c r="AF243" s="25" t="str">
        <f t="shared" ref="AF243:AF278" si="20">IF(AND(O243="",Q243="",S243="",U243="",W243="",Y243="",AA243="",AC243=""),"",IF(OR(AND(O243&lt;&gt;"NA",O243&lt;&gt;"C",O243&lt;&gt;"NC",O243&lt;&gt;"SF",O243&lt;&gt;""),AND(Q243&lt;&gt;"NA",Q243&lt;&gt;"C",Q243&lt;&gt;"NC",Q243&lt;&gt;"SF",Q243&lt;&gt;""),AND(S243&lt;&gt;"NA",S243&lt;&gt;"C",S243&lt;&gt;"NC",S243&lt;&gt;"SF",S243&lt;&gt;""),AND(U243&lt;&gt;"NA",U243&lt;&gt;"C",U243&lt;&gt;"NC",U243&lt;&gt;"SF",U243&lt;&gt;""),AND(W243&lt;&gt;"NA",W243&lt;&gt;"C",W243&lt;&gt;"NC",W243&lt;&gt;"SF",W243&lt;&gt;""),AND(Y243&lt;&gt;"NA",Y243&lt;&gt;"C",Y243&lt;&gt;"NC",Y243&lt;&gt;"SF",Y243&lt;&gt;""),AND(AA243&lt;&gt;"NA",AA243&lt;&gt;"C",AA243&lt;&gt;"NC",AA243&lt;&gt;"SF",AA243&lt;&gt;""),AND(AC243&lt;&gt;"NA",AC243&lt;&gt;"C",AC243&lt;&gt;"NC",AC243&lt;&gt;"SF",AC243&lt;&gt;"")),"FALSO",IF(AND(O243="NA",Q243="NA",S243="NA",U243="NA",W243="NA",Y243="NA",AA243="NA",AC243="NA"),"NA",IF(OR(O243="NC",Q243="NC",S243="NC",U243="NC",W243="NC",Y243="NC",AA243="NC",AC243="NC",O243="SF",Q243="SF",S243="SF",U243="SF",W243="SF",Y243="SF",AA243="SF",AC243="SF"),"NC",IF(OR(O243="C",Q243="C",S243="C",U243="C",W243="C",Y243="C",AA243="C",AC243="C"),"C","")))))</f>
        <v>NA</v>
      </c>
      <c r="AG243" s="59" t="str">
        <f t="shared" si="19"/>
        <v>NÃO AVALIADO POR FALHA DE SINCRONISMO</v>
      </c>
      <c r="AH243" s="28" t="s">
        <v>108</v>
      </c>
      <c r="AI243" s="32" t="s">
        <v>1</v>
      </c>
      <c r="AJ243" s="29" t="str">
        <f t="shared" si="18"/>
        <v>GUARULHOS</v>
      </c>
      <c r="AK243" s="33" t="s">
        <v>13</v>
      </c>
    </row>
    <row r="244" spans="1:37" ht="30" customHeight="1" x14ac:dyDescent="0.2">
      <c r="A244" s="94" t="s">
        <v>101</v>
      </c>
      <c r="B244" s="94">
        <v>2617301943</v>
      </c>
      <c r="C244" s="94" t="s">
        <v>1734</v>
      </c>
      <c r="D244" s="94" t="s">
        <v>53</v>
      </c>
      <c r="E244" s="94" t="s">
        <v>102</v>
      </c>
      <c r="F244" s="94" t="s">
        <v>236</v>
      </c>
      <c r="G244" s="94">
        <v>272</v>
      </c>
      <c r="H244" s="94" t="s">
        <v>1920</v>
      </c>
      <c r="I244" s="94" t="s">
        <v>237</v>
      </c>
      <c r="J244" s="94" t="s">
        <v>1736</v>
      </c>
      <c r="K244" s="95" t="s">
        <v>1902</v>
      </c>
      <c r="L244" s="94" t="s">
        <v>1500</v>
      </c>
      <c r="M244" s="94" t="s">
        <v>1900</v>
      </c>
      <c r="N244" s="94" t="s">
        <v>1761</v>
      </c>
      <c r="O244" s="36" t="s">
        <v>14</v>
      </c>
      <c r="P244" s="18"/>
      <c r="Q244" s="28" t="s">
        <v>14</v>
      </c>
      <c r="R244" s="18"/>
      <c r="S244" s="28" t="s">
        <v>14</v>
      </c>
      <c r="T244" s="18"/>
      <c r="U244" s="28" t="s">
        <v>14</v>
      </c>
      <c r="V244" s="18"/>
      <c r="W244" s="28" t="s">
        <v>14</v>
      </c>
      <c r="X244" s="18"/>
      <c r="Y244" s="28" t="s">
        <v>14</v>
      </c>
      <c r="Z244" s="18"/>
      <c r="AA244" s="28" t="s">
        <v>14</v>
      </c>
      <c r="AB244" s="18"/>
      <c r="AC244" s="28" t="s">
        <v>14</v>
      </c>
      <c r="AD244" s="18"/>
      <c r="AE244" s="28" t="s">
        <v>14</v>
      </c>
      <c r="AF244" s="25" t="str">
        <f t="shared" si="20"/>
        <v>NA</v>
      </c>
      <c r="AG244" s="59" t="str">
        <f t="shared" si="19"/>
        <v>NÃO AVALIADO POR FALHA DE SINCRONISMO</v>
      </c>
      <c r="AH244" s="28" t="s">
        <v>108</v>
      </c>
      <c r="AI244" s="32" t="s">
        <v>1</v>
      </c>
      <c r="AJ244" s="29" t="str">
        <f t="shared" si="18"/>
        <v>GUARULHOS</v>
      </c>
      <c r="AK244" s="33" t="s">
        <v>13</v>
      </c>
    </row>
    <row r="245" spans="1:37" ht="30" customHeight="1" x14ac:dyDescent="0.2">
      <c r="A245" s="94" t="s">
        <v>101</v>
      </c>
      <c r="B245" s="94">
        <v>2617301736</v>
      </c>
      <c r="C245" s="94" t="s">
        <v>1734</v>
      </c>
      <c r="D245" s="94" t="s">
        <v>53</v>
      </c>
      <c r="E245" s="94" t="s">
        <v>102</v>
      </c>
      <c r="F245" s="94" t="s">
        <v>236</v>
      </c>
      <c r="G245" s="94">
        <v>271</v>
      </c>
      <c r="H245" s="94" t="s">
        <v>117</v>
      </c>
      <c r="I245" s="94" t="s">
        <v>237</v>
      </c>
      <c r="J245" s="94" t="s">
        <v>1736</v>
      </c>
      <c r="K245" s="95" t="s">
        <v>1899</v>
      </c>
      <c r="L245" s="94" t="s">
        <v>1500</v>
      </c>
      <c r="M245" s="94" t="s">
        <v>1900</v>
      </c>
      <c r="N245" s="94" t="s">
        <v>1761</v>
      </c>
      <c r="O245" s="36" t="s">
        <v>14</v>
      </c>
      <c r="P245" s="18"/>
      <c r="Q245" s="28" t="s">
        <v>14</v>
      </c>
      <c r="R245" s="18"/>
      <c r="S245" s="28" t="s">
        <v>14</v>
      </c>
      <c r="T245" s="18"/>
      <c r="U245" s="28" t="s">
        <v>14</v>
      </c>
      <c r="V245" s="18"/>
      <c r="W245" s="28" t="s">
        <v>14</v>
      </c>
      <c r="X245" s="18"/>
      <c r="Y245" s="28" t="s">
        <v>14</v>
      </c>
      <c r="Z245" s="18"/>
      <c r="AA245" s="28" t="s">
        <v>14</v>
      </c>
      <c r="AB245" s="18"/>
      <c r="AC245" s="28" t="s">
        <v>14</v>
      </c>
      <c r="AD245" s="18"/>
      <c r="AE245" s="28" t="s">
        <v>14</v>
      </c>
      <c r="AF245" s="25" t="str">
        <f t="shared" si="20"/>
        <v>NA</v>
      </c>
      <c r="AG245" s="59" t="str">
        <f t="shared" si="19"/>
        <v>NÃO AVALIADO POR FALHA DE SINCRONISMO</v>
      </c>
      <c r="AH245" s="28" t="s">
        <v>108</v>
      </c>
      <c r="AI245" s="32" t="s">
        <v>1</v>
      </c>
      <c r="AJ245" s="29" t="str">
        <f t="shared" si="18"/>
        <v>GUARULHOS</v>
      </c>
      <c r="AK245" s="33" t="s">
        <v>13</v>
      </c>
    </row>
    <row r="246" spans="1:37" ht="30" customHeight="1" x14ac:dyDescent="0.2">
      <c r="A246" s="94" t="s">
        <v>101</v>
      </c>
      <c r="B246" s="94">
        <v>2617301479</v>
      </c>
      <c r="C246" s="94" t="s">
        <v>1734</v>
      </c>
      <c r="D246" s="94" t="s">
        <v>53</v>
      </c>
      <c r="E246" s="94" t="s">
        <v>102</v>
      </c>
      <c r="F246" s="94" t="s">
        <v>236</v>
      </c>
      <c r="G246" s="94">
        <v>268</v>
      </c>
      <c r="H246" s="94"/>
      <c r="I246" s="94" t="s">
        <v>237</v>
      </c>
      <c r="J246" s="94" t="s">
        <v>1736</v>
      </c>
      <c r="K246" s="95" t="s">
        <v>1921</v>
      </c>
      <c r="L246" s="94" t="s">
        <v>1500</v>
      </c>
      <c r="M246" s="94" t="s">
        <v>1900</v>
      </c>
      <c r="N246" s="94" t="s">
        <v>1761</v>
      </c>
      <c r="O246" s="36" t="s">
        <v>14</v>
      </c>
      <c r="P246" s="18"/>
      <c r="Q246" s="28" t="s">
        <v>14</v>
      </c>
      <c r="R246" s="18"/>
      <c r="S246" s="28" t="s">
        <v>14</v>
      </c>
      <c r="T246" s="18"/>
      <c r="U246" s="28" t="s">
        <v>14</v>
      </c>
      <c r="V246" s="18"/>
      <c r="W246" s="28" t="s">
        <v>14</v>
      </c>
      <c r="X246" s="18"/>
      <c r="Y246" s="28" t="s">
        <v>14</v>
      </c>
      <c r="Z246" s="18"/>
      <c r="AA246" s="28" t="s">
        <v>14</v>
      </c>
      <c r="AB246" s="18"/>
      <c r="AC246" s="28" t="s">
        <v>14</v>
      </c>
      <c r="AD246" s="18"/>
      <c r="AE246" s="28" t="s">
        <v>14</v>
      </c>
      <c r="AF246" s="25" t="str">
        <f t="shared" si="20"/>
        <v>NA</v>
      </c>
      <c r="AG246" s="59" t="str">
        <f t="shared" si="19"/>
        <v>NÃO AVALIADO POR FALHA DE SINCRONISMO</v>
      </c>
      <c r="AH246" s="28" t="s">
        <v>108</v>
      </c>
      <c r="AI246" s="32" t="s">
        <v>1</v>
      </c>
      <c r="AJ246" s="29" t="str">
        <f t="shared" si="18"/>
        <v>GUARULHOS</v>
      </c>
      <c r="AK246" s="33" t="s">
        <v>13</v>
      </c>
    </row>
    <row r="247" spans="1:37" ht="30" customHeight="1" x14ac:dyDescent="0.2">
      <c r="A247" s="94" t="s">
        <v>101</v>
      </c>
      <c r="B247" s="94">
        <v>2617300873</v>
      </c>
      <c r="C247" s="94" t="s">
        <v>1734</v>
      </c>
      <c r="D247" s="94" t="s">
        <v>53</v>
      </c>
      <c r="E247" s="94" t="s">
        <v>102</v>
      </c>
      <c r="F247" s="94" t="s">
        <v>236</v>
      </c>
      <c r="G247" s="94">
        <v>267</v>
      </c>
      <c r="H247" s="94" t="s">
        <v>1922</v>
      </c>
      <c r="I247" s="94" t="s">
        <v>237</v>
      </c>
      <c r="J247" s="94" t="s">
        <v>1736</v>
      </c>
      <c r="K247" s="95" t="s">
        <v>1899</v>
      </c>
      <c r="L247" s="94" t="s">
        <v>1500</v>
      </c>
      <c r="M247" s="94" t="s">
        <v>1900</v>
      </c>
      <c r="N247" s="94" t="s">
        <v>1761</v>
      </c>
      <c r="O247" s="36" t="s">
        <v>14</v>
      </c>
      <c r="P247" s="18"/>
      <c r="Q247" s="28" t="s">
        <v>14</v>
      </c>
      <c r="R247" s="18"/>
      <c r="S247" s="28" t="s">
        <v>14</v>
      </c>
      <c r="T247" s="18"/>
      <c r="U247" s="28" t="s">
        <v>14</v>
      </c>
      <c r="V247" s="18"/>
      <c r="W247" s="28" t="s">
        <v>14</v>
      </c>
      <c r="X247" s="18"/>
      <c r="Y247" s="28" t="s">
        <v>14</v>
      </c>
      <c r="Z247" s="18"/>
      <c r="AA247" s="28" t="s">
        <v>14</v>
      </c>
      <c r="AB247" s="18"/>
      <c r="AC247" s="28" t="s">
        <v>14</v>
      </c>
      <c r="AD247" s="18"/>
      <c r="AE247" s="28" t="s">
        <v>14</v>
      </c>
      <c r="AF247" s="25" t="str">
        <f t="shared" si="20"/>
        <v>NA</v>
      </c>
      <c r="AG247" s="59" t="str">
        <f t="shared" si="19"/>
        <v>NÃO AVALIADO POR FALHA DE SINCRONISMO</v>
      </c>
      <c r="AH247" s="28" t="s">
        <v>108</v>
      </c>
      <c r="AI247" s="32" t="s">
        <v>1</v>
      </c>
      <c r="AJ247" s="29" t="str">
        <f t="shared" si="18"/>
        <v>GUARULHOS</v>
      </c>
      <c r="AK247" s="33" t="s">
        <v>13</v>
      </c>
    </row>
    <row r="248" spans="1:37" ht="30" customHeight="1" x14ac:dyDescent="0.2">
      <c r="A248" s="94" t="s">
        <v>101</v>
      </c>
      <c r="B248" s="94">
        <v>2617301358</v>
      </c>
      <c r="C248" s="94" t="s">
        <v>1734</v>
      </c>
      <c r="D248" s="94" t="s">
        <v>53</v>
      </c>
      <c r="E248" s="94" t="s">
        <v>102</v>
      </c>
      <c r="F248" s="94" t="s">
        <v>236</v>
      </c>
      <c r="G248" s="94">
        <v>262</v>
      </c>
      <c r="H248" s="94"/>
      <c r="I248" s="94" t="s">
        <v>237</v>
      </c>
      <c r="J248" s="94" t="s">
        <v>1736</v>
      </c>
      <c r="K248" s="95" t="s">
        <v>1902</v>
      </c>
      <c r="L248" s="94" t="s">
        <v>1500</v>
      </c>
      <c r="M248" s="94" t="s">
        <v>1923</v>
      </c>
      <c r="N248" s="94" t="s">
        <v>1761</v>
      </c>
      <c r="O248" s="36" t="s">
        <v>14</v>
      </c>
      <c r="P248" s="18"/>
      <c r="Q248" s="28" t="s">
        <v>14</v>
      </c>
      <c r="R248" s="18"/>
      <c r="S248" s="28" t="s">
        <v>14</v>
      </c>
      <c r="T248" s="18"/>
      <c r="U248" s="28" t="s">
        <v>14</v>
      </c>
      <c r="V248" s="18"/>
      <c r="W248" s="28" t="s">
        <v>14</v>
      </c>
      <c r="X248" s="18"/>
      <c r="Y248" s="28" t="s">
        <v>14</v>
      </c>
      <c r="Z248" s="18"/>
      <c r="AA248" s="28" t="s">
        <v>14</v>
      </c>
      <c r="AB248" s="18"/>
      <c r="AC248" s="28" t="s">
        <v>14</v>
      </c>
      <c r="AD248" s="18"/>
      <c r="AE248" s="28" t="s">
        <v>14</v>
      </c>
      <c r="AF248" s="25" t="str">
        <f t="shared" si="20"/>
        <v>NA</v>
      </c>
      <c r="AG248" s="59" t="str">
        <f t="shared" si="19"/>
        <v>NÃO AVALIADO POR FALHA DE SINCRONISMO</v>
      </c>
      <c r="AH248" s="28" t="s">
        <v>108</v>
      </c>
      <c r="AI248" s="32" t="s">
        <v>1</v>
      </c>
      <c r="AJ248" s="29" t="str">
        <f t="shared" si="18"/>
        <v>GUARULHOS</v>
      </c>
      <c r="AK248" s="33" t="s">
        <v>13</v>
      </c>
    </row>
    <row r="249" spans="1:37" ht="30" customHeight="1" x14ac:dyDescent="0.2">
      <c r="A249" s="94" t="s">
        <v>101</v>
      </c>
      <c r="B249" s="94">
        <v>2617300680</v>
      </c>
      <c r="C249" s="94" t="s">
        <v>1734</v>
      </c>
      <c r="D249" s="94" t="s">
        <v>53</v>
      </c>
      <c r="E249" s="94" t="s">
        <v>102</v>
      </c>
      <c r="F249" s="94" t="s">
        <v>236</v>
      </c>
      <c r="G249" s="94">
        <v>261</v>
      </c>
      <c r="H249" s="94" t="s">
        <v>117</v>
      </c>
      <c r="I249" s="94" t="s">
        <v>237</v>
      </c>
      <c r="J249" s="94" t="s">
        <v>1736</v>
      </c>
      <c r="K249" s="95" t="s">
        <v>1902</v>
      </c>
      <c r="L249" s="94" t="s">
        <v>1500</v>
      </c>
      <c r="M249" s="94" t="s">
        <v>1900</v>
      </c>
      <c r="N249" s="94" t="s">
        <v>1761</v>
      </c>
      <c r="O249" s="36" t="s">
        <v>14</v>
      </c>
      <c r="P249" s="18"/>
      <c r="Q249" s="28" t="s">
        <v>14</v>
      </c>
      <c r="R249" s="18"/>
      <c r="S249" s="28" t="s">
        <v>14</v>
      </c>
      <c r="T249" s="18"/>
      <c r="U249" s="28" t="s">
        <v>14</v>
      </c>
      <c r="V249" s="18"/>
      <c r="W249" s="28" t="s">
        <v>14</v>
      </c>
      <c r="X249" s="18"/>
      <c r="Y249" s="28" t="s">
        <v>14</v>
      </c>
      <c r="Z249" s="18"/>
      <c r="AA249" s="28" t="s">
        <v>14</v>
      </c>
      <c r="AB249" s="18"/>
      <c r="AC249" s="28" t="s">
        <v>14</v>
      </c>
      <c r="AD249" s="18"/>
      <c r="AE249" s="28" t="s">
        <v>14</v>
      </c>
      <c r="AF249" s="25" t="str">
        <f t="shared" si="20"/>
        <v>NA</v>
      </c>
      <c r="AG249" s="59" t="str">
        <f t="shared" si="19"/>
        <v>NÃO AVALIADO POR FALHA DE SINCRONISMO</v>
      </c>
      <c r="AH249" s="28" t="s">
        <v>108</v>
      </c>
      <c r="AI249" s="32" t="s">
        <v>1</v>
      </c>
      <c r="AJ249" s="29" t="str">
        <f t="shared" si="18"/>
        <v>GUARULHOS</v>
      </c>
      <c r="AK249" s="33" t="s">
        <v>13</v>
      </c>
    </row>
    <row r="250" spans="1:37" ht="30" customHeight="1" x14ac:dyDescent="0.2">
      <c r="A250" s="94" t="s">
        <v>101</v>
      </c>
      <c r="B250" s="94">
        <v>2617300368</v>
      </c>
      <c r="C250" s="94" t="s">
        <v>1734</v>
      </c>
      <c r="D250" s="94" t="s">
        <v>53</v>
      </c>
      <c r="E250" s="94" t="s">
        <v>102</v>
      </c>
      <c r="F250" s="94" t="s">
        <v>236</v>
      </c>
      <c r="G250" s="94">
        <v>250</v>
      </c>
      <c r="H250" s="94" t="s">
        <v>1924</v>
      </c>
      <c r="I250" s="94" t="s">
        <v>237</v>
      </c>
      <c r="J250" s="94" t="s">
        <v>1736</v>
      </c>
      <c r="K250" s="95" t="s">
        <v>1925</v>
      </c>
      <c r="L250" s="94" t="s">
        <v>1500</v>
      </c>
      <c r="M250" s="94" t="s">
        <v>1900</v>
      </c>
      <c r="N250" s="94" t="s">
        <v>1761</v>
      </c>
      <c r="O250" s="36" t="s">
        <v>14</v>
      </c>
      <c r="P250" s="18"/>
      <c r="Q250" s="28" t="s">
        <v>14</v>
      </c>
      <c r="R250" s="18"/>
      <c r="S250" s="28" t="s">
        <v>14</v>
      </c>
      <c r="T250" s="18"/>
      <c r="U250" s="28" t="s">
        <v>14</v>
      </c>
      <c r="V250" s="18"/>
      <c r="W250" s="28" t="s">
        <v>14</v>
      </c>
      <c r="X250" s="18"/>
      <c r="Y250" s="28" t="s">
        <v>14</v>
      </c>
      <c r="Z250" s="18"/>
      <c r="AA250" s="28" t="s">
        <v>14</v>
      </c>
      <c r="AB250" s="18"/>
      <c r="AC250" s="28" t="s">
        <v>14</v>
      </c>
      <c r="AD250" s="18"/>
      <c r="AE250" s="28" t="s">
        <v>14</v>
      </c>
      <c r="AF250" s="25" t="str">
        <f t="shared" si="20"/>
        <v>NA</v>
      </c>
      <c r="AG250" s="59" t="str">
        <f t="shared" si="19"/>
        <v>NÃO AVALIADO POR FALHA DE SINCRONISMO</v>
      </c>
      <c r="AH250" s="28" t="s">
        <v>108</v>
      </c>
      <c r="AI250" s="32" t="s">
        <v>1</v>
      </c>
      <c r="AJ250" s="29" t="str">
        <f t="shared" si="18"/>
        <v>GUARULHOS</v>
      </c>
      <c r="AK250" s="33" t="s">
        <v>13</v>
      </c>
    </row>
    <row r="251" spans="1:37" ht="30" customHeight="1" x14ac:dyDescent="0.2">
      <c r="A251" s="94" t="s">
        <v>101</v>
      </c>
      <c r="B251" s="94">
        <v>2617300106</v>
      </c>
      <c r="C251" s="94" t="s">
        <v>1734</v>
      </c>
      <c r="D251" s="94" t="s">
        <v>53</v>
      </c>
      <c r="E251" s="94" t="s">
        <v>102</v>
      </c>
      <c r="F251" s="94" t="s">
        <v>236</v>
      </c>
      <c r="G251" s="94">
        <v>249</v>
      </c>
      <c r="H251" s="94" t="s">
        <v>1926</v>
      </c>
      <c r="I251" s="94" t="s">
        <v>237</v>
      </c>
      <c r="J251" s="94" t="s">
        <v>1736</v>
      </c>
      <c r="K251" s="95" t="s">
        <v>1899</v>
      </c>
      <c r="L251" s="94" t="s">
        <v>1500</v>
      </c>
      <c r="M251" s="94" t="s">
        <v>1900</v>
      </c>
      <c r="N251" s="94" t="s">
        <v>1761</v>
      </c>
      <c r="O251" s="36" t="s">
        <v>14</v>
      </c>
      <c r="P251" s="18"/>
      <c r="Q251" s="28" t="s">
        <v>14</v>
      </c>
      <c r="R251" s="18"/>
      <c r="S251" s="28" t="s">
        <v>14</v>
      </c>
      <c r="T251" s="18"/>
      <c r="U251" s="28" t="s">
        <v>14</v>
      </c>
      <c r="V251" s="18"/>
      <c r="W251" s="28" t="s">
        <v>14</v>
      </c>
      <c r="X251" s="18"/>
      <c r="Y251" s="28" t="s">
        <v>14</v>
      </c>
      <c r="Z251" s="18"/>
      <c r="AA251" s="28" t="s">
        <v>14</v>
      </c>
      <c r="AB251" s="18"/>
      <c r="AC251" s="28" t="s">
        <v>14</v>
      </c>
      <c r="AD251" s="18"/>
      <c r="AE251" s="28" t="s">
        <v>14</v>
      </c>
      <c r="AF251" s="25" t="str">
        <f t="shared" si="20"/>
        <v>NA</v>
      </c>
      <c r="AG251" s="59" t="str">
        <f t="shared" si="19"/>
        <v>NÃO AVALIADO POR FALHA DE SINCRONISMO</v>
      </c>
      <c r="AH251" s="28" t="s">
        <v>108</v>
      </c>
      <c r="AI251" s="32" t="s">
        <v>1</v>
      </c>
      <c r="AJ251" s="29" t="str">
        <f t="shared" si="18"/>
        <v>GUARULHOS</v>
      </c>
      <c r="AK251" s="33" t="s">
        <v>13</v>
      </c>
    </row>
    <row r="252" spans="1:37" ht="30" customHeight="1" x14ac:dyDescent="0.2">
      <c r="A252" s="94" t="s">
        <v>101</v>
      </c>
      <c r="B252" s="94">
        <v>2617299963</v>
      </c>
      <c r="C252" s="94" t="s">
        <v>1734</v>
      </c>
      <c r="D252" s="94" t="s">
        <v>53</v>
      </c>
      <c r="E252" s="94" t="s">
        <v>102</v>
      </c>
      <c r="F252" s="94" t="s">
        <v>236</v>
      </c>
      <c r="G252" s="94">
        <v>244</v>
      </c>
      <c r="H252" s="94"/>
      <c r="I252" s="94" t="s">
        <v>237</v>
      </c>
      <c r="J252" s="94" t="s">
        <v>1736</v>
      </c>
      <c r="K252" s="95" t="s">
        <v>1899</v>
      </c>
      <c r="L252" s="94" t="s">
        <v>1500</v>
      </c>
      <c r="M252" s="94" t="s">
        <v>1900</v>
      </c>
      <c r="N252" s="94" t="s">
        <v>1761</v>
      </c>
      <c r="O252" s="36" t="s">
        <v>14</v>
      </c>
      <c r="P252" s="18"/>
      <c r="Q252" s="28" t="s">
        <v>14</v>
      </c>
      <c r="R252" s="18"/>
      <c r="S252" s="28" t="s">
        <v>14</v>
      </c>
      <c r="T252" s="18"/>
      <c r="U252" s="28" t="s">
        <v>14</v>
      </c>
      <c r="V252" s="18"/>
      <c r="W252" s="28" t="s">
        <v>14</v>
      </c>
      <c r="X252" s="18"/>
      <c r="Y252" s="28" t="s">
        <v>14</v>
      </c>
      <c r="Z252" s="18"/>
      <c r="AA252" s="28" t="s">
        <v>14</v>
      </c>
      <c r="AB252" s="18"/>
      <c r="AC252" s="28" t="s">
        <v>14</v>
      </c>
      <c r="AD252" s="18"/>
      <c r="AE252" s="28" t="s">
        <v>14</v>
      </c>
      <c r="AF252" s="25" t="str">
        <f t="shared" si="20"/>
        <v>NA</v>
      </c>
      <c r="AG252" s="59" t="str">
        <f t="shared" si="19"/>
        <v>NÃO AVALIADO POR FALHA DE SINCRONISMO</v>
      </c>
      <c r="AH252" s="28" t="s">
        <v>108</v>
      </c>
      <c r="AI252" s="32" t="s">
        <v>1</v>
      </c>
      <c r="AJ252" s="29" t="str">
        <f t="shared" si="18"/>
        <v>GUARULHOS</v>
      </c>
      <c r="AK252" s="33" t="s">
        <v>13</v>
      </c>
    </row>
    <row r="253" spans="1:37" ht="30" customHeight="1" x14ac:dyDescent="0.2">
      <c r="A253" s="94" t="s">
        <v>101</v>
      </c>
      <c r="B253" s="94">
        <v>2617302936</v>
      </c>
      <c r="C253" s="94" t="s">
        <v>1734</v>
      </c>
      <c r="D253" s="94" t="s">
        <v>53</v>
      </c>
      <c r="E253" s="94" t="s">
        <v>102</v>
      </c>
      <c r="F253" s="94" t="s">
        <v>236</v>
      </c>
      <c r="G253" s="94">
        <v>317</v>
      </c>
      <c r="H253" s="94" t="s">
        <v>1927</v>
      </c>
      <c r="I253" s="94" t="s">
        <v>237</v>
      </c>
      <c r="J253" s="94" t="s">
        <v>1736</v>
      </c>
      <c r="K253" s="95" t="s">
        <v>1903</v>
      </c>
      <c r="L253" s="94" t="s">
        <v>1500</v>
      </c>
      <c r="M253" s="94" t="s">
        <v>1904</v>
      </c>
      <c r="N253" s="94" t="s">
        <v>1761</v>
      </c>
      <c r="O253" s="36" t="s">
        <v>14</v>
      </c>
      <c r="P253" s="18"/>
      <c r="Q253" s="28" t="s">
        <v>14</v>
      </c>
      <c r="R253" s="18"/>
      <c r="S253" s="28" t="s">
        <v>14</v>
      </c>
      <c r="T253" s="18"/>
      <c r="U253" s="28" t="s">
        <v>14</v>
      </c>
      <c r="V253" s="18"/>
      <c r="W253" s="28" t="s">
        <v>14</v>
      </c>
      <c r="X253" s="18"/>
      <c r="Y253" s="28" t="s">
        <v>14</v>
      </c>
      <c r="Z253" s="18"/>
      <c r="AA253" s="28" t="s">
        <v>14</v>
      </c>
      <c r="AB253" s="18"/>
      <c r="AC253" s="28" t="s">
        <v>14</v>
      </c>
      <c r="AD253" s="18"/>
      <c r="AE253" s="28" t="s">
        <v>14</v>
      </c>
      <c r="AF253" s="25" t="str">
        <f t="shared" si="20"/>
        <v>NA</v>
      </c>
      <c r="AG253" s="59" t="str">
        <f t="shared" si="19"/>
        <v>NÃO AVALIADO POR FALHA DE SINCRONISMO</v>
      </c>
      <c r="AH253" s="28" t="s">
        <v>108</v>
      </c>
      <c r="AI253" s="32" t="s">
        <v>1</v>
      </c>
      <c r="AJ253" s="29" t="str">
        <f t="shared" si="18"/>
        <v>GUARULHOS</v>
      </c>
      <c r="AK253" s="33" t="s">
        <v>13</v>
      </c>
    </row>
    <row r="254" spans="1:37" ht="30" customHeight="1" x14ac:dyDescent="0.2">
      <c r="A254" s="94" t="s">
        <v>101</v>
      </c>
      <c r="B254" s="94">
        <v>2617302992</v>
      </c>
      <c r="C254" s="94" t="s">
        <v>1734</v>
      </c>
      <c r="D254" s="94" t="s">
        <v>53</v>
      </c>
      <c r="E254" s="94" t="s">
        <v>102</v>
      </c>
      <c r="F254" s="94" t="s">
        <v>236</v>
      </c>
      <c r="G254" s="94">
        <v>99</v>
      </c>
      <c r="H254" s="94" t="s">
        <v>1928</v>
      </c>
      <c r="I254" s="94" t="s">
        <v>237</v>
      </c>
      <c r="J254" s="94" t="s">
        <v>1736</v>
      </c>
      <c r="K254" s="95" t="s">
        <v>1903</v>
      </c>
      <c r="L254" s="94" t="s">
        <v>1500</v>
      </c>
      <c r="M254" s="94" t="s">
        <v>1904</v>
      </c>
      <c r="N254" s="94" t="s">
        <v>1761</v>
      </c>
      <c r="O254" s="36" t="s">
        <v>14</v>
      </c>
      <c r="P254" s="18"/>
      <c r="Q254" s="28" t="s">
        <v>14</v>
      </c>
      <c r="R254" s="18"/>
      <c r="S254" s="28" t="s">
        <v>14</v>
      </c>
      <c r="T254" s="18"/>
      <c r="U254" s="28" t="s">
        <v>14</v>
      </c>
      <c r="V254" s="18"/>
      <c r="W254" s="28" t="s">
        <v>14</v>
      </c>
      <c r="X254" s="18"/>
      <c r="Y254" s="28" t="s">
        <v>14</v>
      </c>
      <c r="Z254" s="18"/>
      <c r="AA254" s="28" t="s">
        <v>14</v>
      </c>
      <c r="AB254" s="18"/>
      <c r="AC254" s="28" t="s">
        <v>14</v>
      </c>
      <c r="AD254" s="18"/>
      <c r="AE254" s="28" t="s">
        <v>14</v>
      </c>
      <c r="AF254" s="25" t="str">
        <f t="shared" si="20"/>
        <v>NA</v>
      </c>
      <c r="AG254" s="59" t="str">
        <f t="shared" si="19"/>
        <v>NÃO AVALIADO POR FALHA DE SINCRONISMO</v>
      </c>
      <c r="AH254" s="28" t="s">
        <v>108</v>
      </c>
      <c r="AI254" s="32" t="s">
        <v>1</v>
      </c>
      <c r="AJ254" s="29" t="str">
        <f t="shared" si="18"/>
        <v>GUARULHOS</v>
      </c>
      <c r="AK254" s="33" t="s">
        <v>13</v>
      </c>
    </row>
    <row r="255" spans="1:37" ht="30" customHeight="1" x14ac:dyDescent="0.2">
      <c r="A255" s="94" t="s">
        <v>101</v>
      </c>
      <c r="B255" s="94">
        <v>2617302667</v>
      </c>
      <c r="C255" s="94" t="s">
        <v>1734</v>
      </c>
      <c r="D255" s="94" t="s">
        <v>53</v>
      </c>
      <c r="E255" s="94" t="s">
        <v>102</v>
      </c>
      <c r="F255" s="94" t="s">
        <v>236</v>
      </c>
      <c r="G255" s="94">
        <v>93</v>
      </c>
      <c r="H255" s="94" t="s">
        <v>743</v>
      </c>
      <c r="I255" s="94" t="s">
        <v>237</v>
      </c>
      <c r="J255" s="94" t="s">
        <v>1736</v>
      </c>
      <c r="K255" s="95" t="s">
        <v>1903</v>
      </c>
      <c r="L255" s="94" t="s">
        <v>1500</v>
      </c>
      <c r="M255" s="94" t="s">
        <v>1904</v>
      </c>
      <c r="N255" s="94" t="s">
        <v>1761</v>
      </c>
      <c r="O255" s="36" t="s">
        <v>14</v>
      </c>
      <c r="P255" s="18"/>
      <c r="Q255" s="28" t="s">
        <v>14</v>
      </c>
      <c r="R255" s="18"/>
      <c r="S255" s="28" t="s">
        <v>14</v>
      </c>
      <c r="T255" s="18"/>
      <c r="U255" s="28" t="s">
        <v>14</v>
      </c>
      <c r="V255" s="18"/>
      <c r="W255" s="28" t="s">
        <v>14</v>
      </c>
      <c r="X255" s="18"/>
      <c r="Y255" s="28" t="s">
        <v>14</v>
      </c>
      <c r="Z255" s="18"/>
      <c r="AA255" s="28" t="s">
        <v>14</v>
      </c>
      <c r="AB255" s="18"/>
      <c r="AC255" s="28" t="s">
        <v>14</v>
      </c>
      <c r="AD255" s="18"/>
      <c r="AE255" s="28" t="s">
        <v>14</v>
      </c>
      <c r="AF255" s="25" t="str">
        <f t="shared" si="20"/>
        <v>NA</v>
      </c>
      <c r="AG255" s="59" t="str">
        <f t="shared" si="19"/>
        <v>NÃO AVALIADO POR FALHA DE SINCRONISMO</v>
      </c>
      <c r="AH255" s="28" t="s">
        <v>108</v>
      </c>
      <c r="AI255" s="32" t="s">
        <v>1</v>
      </c>
      <c r="AJ255" s="29" t="str">
        <f t="shared" si="18"/>
        <v>GUARULHOS</v>
      </c>
      <c r="AK255" s="33" t="s">
        <v>13</v>
      </c>
    </row>
    <row r="256" spans="1:37" ht="30" customHeight="1" x14ac:dyDescent="0.2">
      <c r="A256" s="94" t="s">
        <v>101</v>
      </c>
      <c r="B256" s="94">
        <v>2617302503</v>
      </c>
      <c r="C256" s="94" t="s">
        <v>1734</v>
      </c>
      <c r="D256" s="94" t="s">
        <v>53</v>
      </c>
      <c r="E256" s="94" t="s">
        <v>102</v>
      </c>
      <c r="F256" s="94" t="s">
        <v>236</v>
      </c>
      <c r="G256" s="94">
        <v>90</v>
      </c>
      <c r="H256" s="94" t="s">
        <v>1929</v>
      </c>
      <c r="I256" s="94" t="s">
        <v>237</v>
      </c>
      <c r="J256" s="94" t="s">
        <v>1736</v>
      </c>
      <c r="K256" s="95" t="s">
        <v>1902</v>
      </c>
      <c r="L256" s="94" t="s">
        <v>1500</v>
      </c>
      <c r="M256" s="94" t="s">
        <v>1904</v>
      </c>
      <c r="N256" s="94" t="s">
        <v>1761</v>
      </c>
      <c r="O256" s="36" t="s">
        <v>14</v>
      </c>
      <c r="P256" s="18"/>
      <c r="Q256" s="28" t="s">
        <v>14</v>
      </c>
      <c r="R256" s="18"/>
      <c r="S256" s="28" t="s">
        <v>14</v>
      </c>
      <c r="T256" s="18"/>
      <c r="U256" s="28" t="s">
        <v>14</v>
      </c>
      <c r="V256" s="18"/>
      <c r="W256" s="28" t="s">
        <v>14</v>
      </c>
      <c r="X256" s="18"/>
      <c r="Y256" s="28" t="s">
        <v>14</v>
      </c>
      <c r="Z256" s="18"/>
      <c r="AA256" s="28" t="s">
        <v>14</v>
      </c>
      <c r="AB256" s="18"/>
      <c r="AC256" s="28" t="s">
        <v>14</v>
      </c>
      <c r="AD256" s="18"/>
      <c r="AE256" s="28" t="s">
        <v>14</v>
      </c>
      <c r="AF256" s="25" t="str">
        <f t="shared" si="20"/>
        <v>NA</v>
      </c>
      <c r="AG256" s="59" t="str">
        <f t="shared" si="19"/>
        <v>NÃO AVALIADO POR FALHA DE SINCRONISMO</v>
      </c>
      <c r="AH256" s="28" t="s">
        <v>108</v>
      </c>
      <c r="AI256" s="32" t="s">
        <v>1</v>
      </c>
      <c r="AJ256" s="29" t="str">
        <f t="shared" si="18"/>
        <v>GUARULHOS</v>
      </c>
      <c r="AK256" s="33" t="s">
        <v>13</v>
      </c>
    </row>
    <row r="257" spans="1:37" ht="30" customHeight="1" x14ac:dyDescent="0.2">
      <c r="A257" s="94" t="s">
        <v>101</v>
      </c>
      <c r="B257" s="94">
        <v>2617302134</v>
      </c>
      <c r="C257" s="94" t="s">
        <v>1734</v>
      </c>
      <c r="D257" s="94" t="s">
        <v>53</v>
      </c>
      <c r="E257" s="94" t="s">
        <v>102</v>
      </c>
      <c r="F257" s="94" t="s">
        <v>236</v>
      </c>
      <c r="G257" s="94">
        <v>77</v>
      </c>
      <c r="H257" s="94" t="s">
        <v>1930</v>
      </c>
      <c r="I257" s="94" t="s">
        <v>237</v>
      </c>
      <c r="J257" s="94" t="s">
        <v>1736</v>
      </c>
      <c r="K257" s="95" t="s">
        <v>1902</v>
      </c>
      <c r="L257" s="94" t="s">
        <v>1500</v>
      </c>
      <c r="M257" s="94" t="s">
        <v>1904</v>
      </c>
      <c r="N257" s="94" t="s">
        <v>1761</v>
      </c>
      <c r="O257" s="36" t="s">
        <v>14</v>
      </c>
      <c r="P257" s="18"/>
      <c r="Q257" s="28" t="s">
        <v>14</v>
      </c>
      <c r="R257" s="18"/>
      <c r="S257" s="28" t="s">
        <v>14</v>
      </c>
      <c r="T257" s="18"/>
      <c r="U257" s="28" t="s">
        <v>14</v>
      </c>
      <c r="V257" s="18"/>
      <c r="W257" s="28" t="s">
        <v>14</v>
      </c>
      <c r="X257" s="18"/>
      <c r="Y257" s="28" t="s">
        <v>14</v>
      </c>
      <c r="Z257" s="18"/>
      <c r="AA257" s="28" t="s">
        <v>14</v>
      </c>
      <c r="AB257" s="18"/>
      <c r="AC257" s="28" t="s">
        <v>14</v>
      </c>
      <c r="AD257" s="18"/>
      <c r="AE257" s="28" t="s">
        <v>14</v>
      </c>
      <c r="AF257" s="25" t="str">
        <f t="shared" si="20"/>
        <v>NA</v>
      </c>
      <c r="AG257" s="59" t="str">
        <f t="shared" si="19"/>
        <v>NÃO AVALIADO POR FALHA DE SINCRONISMO</v>
      </c>
      <c r="AH257" s="28" t="s">
        <v>108</v>
      </c>
      <c r="AI257" s="32" t="s">
        <v>1</v>
      </c>
      <c r="AJ257" s="29" t="str">
        <f t="shared" si="18"/>
        <v>GUARULHOS</v>
      </c>
      <c r="AK257" s="33" t="s">
        <v>13</v>
      </c>
    </row>
    <row r="258" spans="1:37" ht="30" customHeight="1" x14ac:dyDescent="0.2">
      <c r="A258" s="94" t="s">
        <v>101</v>
      </c>
      <c r="B258" s="94">
        <v>2617301750</v>
      </c>
      <c r="C258" s="94" t="s">
        <v>1734</v>
      </c>
      <c r="D258" s="94" t="s">
        <v>53</v>
      </c>
      <c r="E258" s="94" t="s">
        <v>102</v>
      </c>
      <c r="F258" s="94" t="s">
        <v>236</v>
      </c>
      <c r="G258" s="94">
        <v>71</v>
      </c>
      <c r="H258" s="94" t="s">
        <v>1931</v>
      </c>
      <c r="I258" s="94" t="s">
        <v>237</v>
      </c>
      <c r="J258" s="94" t="s">
        <v>1736</v>
      </c>
      <c r="K258" s="95" t="s">
        <v>1902</v>
      </c>
      <c r="L258" s="94" t="s">
        <v>1500</v>
      </c>
      <c r="M258" s="94" t="s">
        <v>1900</v>
      </c>
      <c r="N258" s="94" t="s">
        <v>1761</v>
      </c>
      <c r="O258" s="36" t="s">
        <v>14</v>
      </c>
      <c r="P258" s="18"/>
      <c r="Q258" s="28" t="s">
        <v>14</v>
      </c>
      <c r="R258" s="18"/>
      <c r="S258" s="28" t="s">
        <v>14</v>
      </c>
      <c r="T258" s="18"/>
      <c r="U258" s="28" t="s">
        <v>14</v>
      </c>
      <c r="V258" s="18"/>
      <c r="W258" s="28" t="s">
        <v>14</v>
      </c>
      <c r="X258" s="18"/>
      <c r="Y258" s="28" t="s">
        <v>14</v>
      </c>
      <c r="Z258" s="18"/>
      <c r="AA258" s="28" t="s">
        <v>14</v>
      </c>
      <c r="AB258" s="18"/>
      <c r="AC258" s="28" t="s">
        <v>14</v>
      </c>
      <c r="AD258" s="18"/>
      <c r="AE258" s="28" t="s">
        <v>14</v>
      </c>
      <c r="AF258" s="25" t="str">
        <f t="shared" si="20"/>
        <v>NA</v>
      </c>
      <c r="AG258" s="59" t="str">
        <f t="shared" si="19"/>
        <v>NÃO AVALIADO POR FALHA DE SINCRONISMO</v>
      </c>
      <c r="AH258" s="28" t="s">
        <v>108</v>
      </c>
      <c r="AI258" s="32" t="s">
        <v>1</v>
      </c>
      <c r="AJ258" s="29" t="str">
        <f t="shared" si="18"/>
        <v>GUARULHOS</v>
      </c>
      <c r="AK258" s="33" t="s">
        <v>13</v>
      </c>
    </row>
    <row r="259" spans="1:37" ht="30" customHeight="1" x14ac:dyDescent="0.2">
      <c r="A259" s="94" t="s">
        <v>101</v>
      </c>
      <c r="B259" s="94">
        <v>2617301352</v>
      </c>
      <c r="C259" s="94" t="s">
        <v>1734</v>
      </c>
      <c r="D259" s="94" t="s">
        <v>53</v>
      </c>
      <c r="E259" s="94" t="s">
        <v>102</v>
      </c>
      <c r="F259" s="94" t="s">
        <v>236</v>
      </c>
      <c r="G259" s="94">
        <v>68</v>
      </c>
      <c r="H259" s="94" t="s">
        <v>1932</v>
      </c>
      <c r="I259" s="94" t="s">
        <v>237</v>
      </c>
      <c r="J259" s="94" t="s">
        <v>1736</v>
      </c>
      <c r="K259" s="95" t="s">
        <v>1902</v>
      </c>
      <c r="L259" s="94" t="s">
        <v>1500</v>
      </c>
      <c r="M259" s="94" t="s">
        <v>1900</v>
      </c>
      <c r="N259" s="94" t="s">
        <v>1761</v>
      </c>
      <c r="O259" s="36" t="s">
        <v>14</v>
      </c>
      <c r="P259" s="18"/>
      <c r="Q259" s="28" t="s">
        <v>14</v>
      </c>
      <c r="R259" s="18"/>
      <c r="S259" s="28" t="s">
        <v>14</v>
      </c>
      <c r="T259" s="18"/>
      <c r="U259" s="28" t="s">
        <v>14</v>
      </c>
      <c r="V259" s="18"/>
      <c r="W259" s="28" t="s">
        <v>14</v>
      </c>
      <c r="X259" s="18"/>
      <c r="Y259" s="28" t="s">
        <v>14</v>
      </c>
      <c r="Z259" s="18"/>
      <c r="AA259" s="28" t="s">
        <v>14</v>
      </c>
      <c r="AB259" s="18"/>
      <c r="AC259" s="28" t="s">
        <v>14</v>
      </c>
      <c r="AD259" s="18"/>
      <c r="AE259" s="28" t="s">
        <v>14</v>
      </c>
      <c r="AF259" s="25" t="str">
        <f t="shared" si="20"/>
        <v>NA</v>
      </c>
      <c r="AG259" s="59" t="str">
        <f t="shared" si="19"/>
        <v>NÃO AVALIADO POR FALHA DE SINCRONISMO</v>
      </c>
      <c r="AH259" s="28" t="s">
        <v>108</v>
      </c>
      <c r="AI259" s="32" t="s">
        <v>1</v>
      </c>
      <c r="AJ259" s="29" t="str">
        <f t="shared" si="18"/>
        <v>GUARULHOS</v>
      </c>
      <c r="AK259" s="33" t="s">
        <v>13</v>
      </c>
    </row>
    <row r="260" spans="1:37" ht="30" customHeight="1" x14ac:dyDescent="0.2">
      <c r="A260" s="94" t="s">
        <v>101</v>
      </c>
      <c r="B260" s="94">
        <v>2617300985</v>
      </c>
      <c r="C260" s="94" t="s">
        <v>1734</v>
      </c>
      <c r="D260" s="94" t="s">
        <v>53</v>
      </c>
      <c r="E260" s="94" t="s">
        <v>102</v>
      </c>
      <c r="F260" s="94" t="s">
        <v>236</v>
      </c>
      <c r="G260" s="94">
        <v>63</v>
      </c>
      <c r="H260" s="94" t="s">
        <v>174</v>
      </c>
      <c r="I260" s="94" t="s">
        <v>237</v>
      </c>
      <c r="J260" s="94" t="s">
        <v>1736</v>
      </c>
      <c r="K260" s="95" t="s">
        <v>1902</v>
      </c>
      <c r="L260" s="94" t="s">
        <v>1500</v>
      </c>
      <c r="M260" s="94" t="s">
        <v>1900</v>
      </c>
      <c r="N260" s="94" t="s">
        <v>1761</v>
      </c>
      <c r="O260" s="36" t="s">
        <v>14</v>
      </c>
      <c r="P260" s="18"/>
      <c r="Q260" s="28" t="s">
        <v>14</v>
      </c>
      <c r="R260" s="18"/>
      <c r="S260" s="28" t="s">
        <v>14</v>
      </c>
      <c r="T260" s="18"/>
      <c r="U260" s="28" t="s">
        <v>14</v>
      </c>
      <c r="V260" s="18"/>
      <c r="W260" s="28" t="s">
        <v>14</v>
      </c>
      <c r="X260" s="18"/>
      <c r="Y260" s="28" t="s">
        <v>14</v>
      </c>
      <c r="Z260" s="18"/>
      <c r="AA260" s="28" t="s">
        <v>14</v>
      </c>
      <c r="AB260" s="18"/>
      <c r="AC260" s="28" t="s">
        <v>14</v>
      </c>
      <c r="AD260" s="18"/>
      <c r="AE260" s="28" t="s">
        <v>14</v>
      </c>
      <c r="AF260" s="25" t="str">
        <f t="shared" si="20"/>
        <v>NA</v>
      </c>
      <c r="AG260" s="59" t="str">
        <f t="shared" si="19"/>
        <v>NÃO AVALIADO POR FALHA DE SINCRONISMO</v>
      </c>
      <c r="AH260" s="28" t="s">
        <v>108</v>
      </c>
      <c r="AI260" s="32" t="s">
        <v>1</v>
      </c>
      <c r="AJ260" s="29" t="str">
        <f t="shared" si="18"/>
        <v>GUARULHOS</v>
      </c>
      <c r="AK260" s="33" t="s">
        <v>13</v>
      </c>
    </row>
    <row r="261" spans="1:37" ht="30" customHeight="1" x14ac:dyDescent="0.2">
      <c r="A261" s="94" t="s">
        <v>101</v>
      </c>
      <c r="B261" s="94">
        <v>2617300731</v>
      </c>
      <c r="C261" s="94" t="s">
        <v>1734</v>
      </c>
      <c r="D261" s="94" t="s">
        <v>53</v>
      </c>
      <c r="E261" s="94" t="s">
        <v>102</v>
      </c>
      <c r="F261" s="94" t="s">
        <v>236</v>
      </c>
      <c r="G261" s="94">
        <v>54</v>
      </c>
      <c r="H261" s="94" t="s">
        <v>110</v>
      </c>
      <c r="I261" s="94" t="s">
        <v>237</v>
      </c>
      <c r="J261" s="94" t="s">
        <v>1736</v>
      </c>
      <c r="K261" s="95" t="s">
        <v>1899</v>
      </c>
      <c r="L261" s="94" t="s">
        <v>1500</v>
      </c>
      <c r="M261" s="94" t="s">
        <v>1900</v>
      </c>
      <c r="N261" s="94" t="s">
        <v>1761</v>
      </c>
      <c r="O261" s="36" t="s">
        <v>14</v>
      </c>
      <c r="P261" s="18"/>
      <c r="Q261" s="28" t="s">
        <v>14</v>
      </c>
      <c r="R261" s="18"/>
      <c r="S261" s="28" t="s">
        <v>14</v>
      </c>
      <c r="T261" s="18"/>
      <c r="U261" s="28" t="s">
        <v>14</v>
      </c>
      <c r="V261" s="18"/>
      <c r="W261" s="28" t="s">
        <v>14</v>
      </c>
      <c r="X261" s="18"/>
      <c r="Y261" s="28" t="s">
        <v>14</v>
      </c>
      <c r="Z261" s="18"/>
      <c r="AA261" s="28" t="s">
        <v>14</v>
      </c>
      <c r="AB261" s="18"/>
      <c r="AC261" s="28" t="s">
        <v>14</v>
      </c>
      <c r="AD261" s="18"/>
      <c r="AE261" s="28" t="s">
        <v>14</v>
      </c>
      <c r="AF261" s="25" t="str">
        <f t="shared" si="20"/>
        <v>NA</v>
      </c>
      <c r="AG261" s="59" t="str">
        <f t="shared" si="19"/>
        <v>NÃO AVALIADO POR FALHA DE SINCRONISMO</v>
      </c>
      <c r="AH261" s="28" t="s">
        <v>108</v>
      </c>
      <c r="AI261" s="32" t="s">
        <v>1</v>
      </c>
      <c r="AJ261" s="29" t="str">
        <f t="shared" si="18"/>
        <v>GUARULHOS</v>
      </c>
      <c r="AK261" s="33" t="s">
        <v>13</v>
      </c>
    </row>
    <row r="262" spans="1:37" ht="30" customHeight="1" x14ac:dyDescent="0.2">
      <c r="A262" s="94" t="s">
        <v>101</v>
      </c>
      <c r="B262" s="94">
        <v>2617300511</v>
      </c>
      <c r="C262" s="94" t="s">
        <v>1734</v>
      </c>
      <c r="D262" s="94" t="s">
        <v>53</v>
      </c>
      <c r="E262" s="94" t="s">
        <v>102</v>
      </c>
      <c r="F262" s="94" t="s">
        <v>236</v>
      </c>
      <c r="G262" s="94">
        <v>53</v>
      </c>
      <c r="H262" s="94" t="s">
        <v>1933</v>
      </c>
      <c r="I262" s="94" t="s">
        <v>237</v>
      </c>
      <c r="J262" s="94" t="s">
        <v>1736</v>
      </c>
      <c r="K262" s="95" t="s">
        <v>1902</v>
      </c>
      <c r="L262" s="94" t="s">
        <v>1500</v>
      </c>
      <c r="M262" s="94" t="s">
        <v>1900</v>
      </c>
      <c r="N262" s="94" t="s">
        <v>1761</v>
      </c>
      <c r="O262" s="36" t="s">
        <v>14</v>
      </c>
      <c r="P262" s="18"/>
      <c r="Q262" s="28" t="s">
        <v>14</v>
      </c>
      <c r="R262" s="18"/>
      <c r="S262" s="28" t="s">
        <v>14</v>
      </c>
      <c r="T262" s="18"/>
      <c r="U262" s="28" t="s">
        <v>14</v>
      </c>
      <c r="V262" s="18"/>
      <c r="W262" s="28" t="s">
        <v>14</v>
      </c>
      <c r="X262" s="18"/>
      <c r="Y262" s="28" t="s">
        <v>14</v>
      </c>
      <c r="Z262" s="18"/>
      <c r="AA262" s="28" t="s">
        <v>14</v>
      </c>
      <c r="AB262" s="18"/>
      <c r="AC262" s="28" t="s">
        <v>14</v>
      </c>
      <c r="AD262" s="18"/>
      <c r="AE262" s="28" t="s">
        <v>14</v>
      </c>
      <c r="AF262" s="25" t="str">
        <f t="shared" si="20"/>
        <v>NA</v>
      </c>
      <c r="AG262" s="59" t="str">
        <f t="shared" si="19"/>
        <v>NÃO AVALIADO POR FALHA DE SINCRONISMO</v>
      </c>
      <c r="AH262" s="28" t="s">
        <v>108</v>
      </c>
      <c r="AI262" s="32" t="s">
        <v>1</v>
      </c>
      <c r="AJ262" s="29" t="str">
        <f t="shared" si="18"/>
        <v>GUARULHOS</v>
      </c>
      <c r="AK262" s="33" t="s">
        <v>13</v>
      </c>
    </row>
    <row r="263" spans="1:37" ht="30" customHeight="1" x14ac:dyDescent="0.2">
      <c r="A263" s="94" t="s">
        <v>101</v>
      </c>
      <c r="B263" s="94">
        <v>2617300307</v>
      </c>
      <c r="C263" s="94" t="s">
        <v>1734</v>
      </c>
      <c r="D263" s="94" t="s">
        <v>53</v>
      </c>
      <c r="E263" s="94" t="s">
        <v>102</v>
      </c>
      <c r="F263" s="94" t="s">
        <v>236</v>
      </c>
      <c r="G263" s="94">
        <v>46</v>
      </c>
      <c r="H263" s="94" t="s">
        <v>117</v>
      </c>
      <c r="I263" s="94" t="s">
        <v>237</v>
      </c>
      <c r="J263" s="94" t="s">
        <v>1736</v>
      </c>
      <c r="K263" s="95" t="s">
        <v>1899</v>
      </c>
      <c r="L263" s="94" t="s">
        <v>1500</v>
      </c>
      <c r="M263" s="94" t="s">
        <v>1900</v>
      </c>
      <c r="N263" s="94" t="s">
        <v>1761</v>
      </c>
      <c r="O263" s="36" t="s">
        <v>14</v>
      </c>
      <c r="P263" s="18"/>
      <c r="Q263" s="28" t="s">
        <v>14</v>
      </c>
      <c r="R263" s="18"/>
      <c r="S263" s="28" t="s">
        <v>14</v>
      </c>
      <c r="T263" s="18"/>
      <c r="U263" s="28" t="s">
        <v>14</v>
      </c>
      <c r="V263" s="18"/>
      <c r="W263" s="28" t="s">
        <v>14</v>
      </c>
      <c r="X263" s="18"/>
      <c r="Y263" s="28" t="s">
        <v>14</v>
      </c>
      <c r="Z263" s="18"/>
      <c r="AA263" s="28" t="s">
        <v>14</v>
      </c>
      <c r="AB263" s="18"/>
      <c r="AC263" s="28" t="s">
        <v>14</v>
      </c>
      <c r="AD263" s="18"/>
      <c r="AE263" s="28" t="s">
        <v>14</v>
      </c>
      <c r="AF263" s="25" t="str">
        <f t="shared" si="20"/>
        <v>NA</v>
      </c>
      <c r="AG263" s="59" t="str">
        <f t="shared" si="19"/>
        <v>NÃO AVALIADO POR FALHA DE SINCRONISMO</v>
      </c>
      <c r="AH263" s="28" t="s">
        <v>108</v>
      </c>
      <c r="AI263" s="32" t="s">
        <v>1</v>
      </c>
      <c r="AJ263" s="29" t="str">
        <f t="shared" si="18"/>
        <v>GUARULHOS</v>
      </c>
      <c r="AK263" s="33" t="s">
        <v>13</v>
      </c>
    </row>
    <row r="264" spans="1:37" ht="30" customHeight="1" x14ac:dyDescent="0.2">
      <c r="A264" s="94" t="s">
        <v>101</v>
      </c>
      <c r="B264" s="94">
        <v>2617300018</v>
      </c>
      <c r="C264" s="94" t="s">
        <v>1734</v>
      </c>
      <c r="D264" s="94" t="s">
        <v>53</v>
      </c>
      <c r="E264" s="94" t="s">
        <v>102</v>
      </c>
      <c r="F264" s="94" t="s">
        <v>236</v>
      </c>
      <c r="G264" s="94">
        <v>43</v>
      </c>
      <c r="H264" s="94"/>
      <c r="I264" s="94" t="s">
        <v>237</v>
      </c>
      <c r="J264" s="94" t="s">
        <v>1736</v>
      </c>
      <c r="K264" s="95" t="s">
        <v>1899</v>
      </c>
      <c r="L264" s="94" t="s">
        <v>1500</v>
      </c>
      <c r="M264" s="94" t="s">
        <v>1900</v>
      </c>
      <c r="N264" s="94" t="s">
        <v>1761</v>
      </c>
      <c r="O264" s="36" t="s">
        <v>14</v>
      </c>
      <c r="P264" s="18"/>
      <c r="Q264" s="28" t="s">
        <v>14</v>
      </c>
      <c r="R264" s="18"/>
      <c r="S264" s="28" t="s">
        <v>14</v>
      </c>
      <c r="T264" s="18"/>
      <c r="U264" s="28" t="s">
        <v>14</v>
      </c>
      <c r="V264" s="18"/>
      <c r="W264" s="28" t="s">
        <v>14</v>
      </c>
      <c r="X264" s="18"/>
      <c r="Y264" s="28" t="s">
        <v>14</v>
      </c>
      <c r="Z264" s="18"/>
      <c r="AA264" s="28" t="s">
        <v>14</v>
      </c>
      <c r="AB264" s="18"/>
      <c r="AC264" s="28" t="s">
        <v>14</v>
      </c>
      <c r="AD264" s="18"/>
      <c r="AE264" s="28" t="s">
        <v>14</v>
      </c>
      <c r="AF264" s="25" t="str">
        <f t="shared" si="20"/>
        <v>NA</v>
      </c>
      <c r="AG264" s="59" t="str">
        <f t="shared" si="19"/>
        <v>NÃO AVALIADO POR FALHA DE SINCRONISMO</v>
      </c>
      <c r="AH264" s="28" t="s">
        <v>108</v>
      </c>
      <c r="AI264" s="32" t="s">
        <v>1</v>
      </c>
      <c r="AJ264" s="29" t="str">
        <f t="shared" si="18"/>
        <v>GUARULHOS</v>
      </c>
      <c r="AK264" s="33" t="s">
        <v>13</v>
      </c>
    </row>
    <row r="265" spans="1:37" ht="30" customHeight="1" x14ac:dyDescent="0.2">
      <c r="A265" s="94" t="s">
        <v>101</v>
      </c>
      <c r="B265" s="94">
        <v>2617300709</v>
      </c>
      <c r="C265" s="94" t="s">
        <v>1734</v>
      </c>
      <c r="D265" s="94" t="s">
        <v>53</v>
      </c>
      <c r="E265" s="94" t="s">
        <v>102</v>
      </c>
      <c r="F265" s="94" t="s">
        <v>236</v>
      </c>
      <c r="G265" s="94">
        <v>414</v>
      </c>
      <c r="H265" s="94" t="s">
        <v>1934</v>
      </c>
      <c r="I265" s="94" t="s">
        <v>237</v>
      </c>
      <c r="J265" s="94" t="s">
        <v>1736</v>
      </c>
      <c r="K265" s="95" t="s">
        <v>1935</v>
      </c>
      <c r="L265" s="94" t="s">
        <v>1500</v>
      </c>
      <c r="M265" s="94" t="s">
        <v>1900</v>
      </c>
      <c r="N265" s="94" t="s">
        <v>1761</v>
      </c>
      <c r="O265" s="36" t="s">
        <v>14</v>
      </c>
      <c r="P265" s="18"/>
      <c r="Q265" s="28" t="s">
        <v>14</v>
      </c>
      <c r="R265" s="18"/>
      <c r="S265" s="28" t="s">
        <v>14</v>
      </c>
      <c r="T265" s="18"/>
      <c r="U265" s="28" t="s">
        <v>14</v>
      </c>
      <c r="V265" s="18"/>
      <c r="W265" s="28" t="s">
        <v>14</v>
      </c>
      <c r="X265" s="18"/>
      <c r="Y265" s="28" t="s">
        <v>14</v>
      </c>
      <c r="Z265" s="18"/>
      <c r="AA265" s="28" t="s">
        <v>14</v>
      </c>
      <c r="AB265" s="18"/>
      <c r="AC265" s="28" t="s">
        <v>14</v>
      </c>
      <c r="AD265" s="18"/>
      <c r="AE265" s="28" t="s">
        <v>14</v>
      </c>
      <c r="AF265" s="25" t="str">
        <f t="shared" si="20"/>
        <v>NA</v>
      </c>
      <c r="AG265" s="59" t="str">
        <f t="shared" si="19"/>
        <v>NÃO AVALIADO POR FALHA DE SINCRONISMO</v>
      </c>
      <c r="AH265" s="28" t="s">
        <v>108</v>
      </c>
      <c r="AI265" s="32" t="s">
        <v>1</v>
      </c>
      <c r="AJ265" s="29" t="str">
        <f t="shared" si="18"/>
        <v>GUARULHOS</v>
      </c>
      <c r="AK265" s="33" t="s">
        <v>13</v>
      </c>
    </row>
    <row r="266" spans="1:37" ht="30" customHeight="1" x14ac:dyDescent="0.2">
      <c r="A266" s="94" t="s">
        <v>101</v>
      </c>
      <c r="B266" s="94">
        <v>2617301218</v>
      </c>
      <c r="C266" s="94" t="s">
        <v>1734</v>
      </c>
      <c r="D266" s="94" t="s">
        <v>53</v>
      </c>
      <c r="E266" s="94" t="s">
        <v>102</v>
      </c>
      <c r="F266" s="94" t="s">
        <v>236</v>
      </c>
      <c r="G266" s="94">
        <v>392</v>
      </c>
      <c r="H266" s="94"/>
      <c r="I266" s="94" t="s">
        <v>237</v>
      </c>
      <c r="J266" s="94" t="s">
        <v>1736</v>
      </c>
      <c r="K266" s="95" t="s">
        <v>1899</v>
      </c>
      <c r="L266" s="94" t="s">
        <v>1500</v>
      </c>
      <c r="M266" s="94" t="s">
        <v>1900</v>
      </c>
      <c r="N266" s="94" t="s">
        <v>1761</v>
      </c>
      <c r="O266" s="36" t="s">
        <v>14</v>
      </c>
      <c r="P266" s="18"/>
      <c r="Q266" s="28" t="s">
        <v>14</v>
      </c>
      <c r="R266" s="18"/>
      <c r="S266" s="28" t="s">
        <v>14</v>
      </c>
      <c r="T266" s="18"/>
      <c r="U266" s="28" t="s">
        <v>14</v>
      </c>
      <c r="V266" s="18"/>
      <c r="W266" s="28" t="s">
        <v>14</v>
      </c>
      <c r="X266" s="18"/>
      <c r="Y266" s="28" t="s">
        <v>14</v>
      </c>
      <c r="Z266" s="18"/>
      <c r="AA266" s="28" t="s">
        <v>14</v>
      </c>
      <c r="AB266" s="18"/>
      <c r="AC266" s="28" t="s">
        <v>14</v>
      </c>
      <c r="AD266" s="18"/>
      <c r="AE266" s="28" t="s">
        <v>14</v>
      </c>
      <c r="AF266" s="25" t="str">
        <f t="shared" si="20"/>
        <v>NA</v>
      </c>
      <c r="AG266" s="59" t="str">
        <f t="shared" si="19"/>
        <v>NÃO AVALIADO POR FALHA DE SINCRONISMO</v>
      </c>
      <c r="AH266" s="28" t="s">
        <v>108</v>
      </c>
      <c r="AI266" s="32" t="s">
        <v>1</v>
      </c>
      <c r="AJ266" s="29" t="str">
        <f t="shared" si="18"/>
        <v>GUARULHOS</v>
      </c>
      <c r="AK266" s="33" t="s">
        <v>13</v>
      </c>
    </row>
    <row r="267" spans="1:37" ht="30" customHeight="1" x14ac:dyDescent="0.2">
      <c r="A267" s="94" t="s">
        <v>101</v>
      </c>
      <c r="B267" s="94">
        <v>2617301401</v>
      </c>
      <c r="C267" s="94" t="s">
        <v>1734</v>
      </c>
      <c r="D267" s="94" t="s">
        <v>53</v>
      </c>
      <c r="E267" s="94" t="s">
        <v>102</v>
      </c>
      <c r="F267" s="94" t="s">
        <v>236</v>
      </c>
      <c r="G267" s="94">
        <v>382</v>
      </c>
      <c r="H267" s="94" t="s">
        <v>1757</v>
      </c>
      <c r="I267" s="94" t="s">
        <v>237</v>
      </c>
      <c r="J267" s="94" t="s">
        <v>1736</v>
      </c>
      <c r="K267" s="95" t="s">
        <v>1899</v>
      </c>
      <c r="L267" s="94" t="s">
        <v>1500</v>
      </c>
      <c r="M267" s="94" t="s">
        <v>1900</v>
      </c>
      <c r="N267" s="94" t="s">
        <v>1761</v>
      </c>
      <c r="O267" s="36" t="s">
        <v>14</v>
      </c>
      <c r="P267" s="18"/>
      <c r="Q267" s="28" t="s">
        <v>14</v>
      </c>
      <c r="R267" s="18"/>
      <c r="S267" s="28" t="s">
        <v>14</v>
      </c>
      <c r="T267" s="18"/>
      <c r="U267" s="28" t="s">
        <v>14</v>
      </c>
      <c r="V267" s="18"/>
      <c r="W267" s="28" t="s">
        <v>14</v>
      </c>
      <c r="X267" s="18"/>
      <c r="Y267" s="28" t="s">
        <v>14</v>
      </c>
      <c r="Z267" s="18"/>
      <c r="AA267" s="28" t="s">
        <v>14</v>
      </c>
      <c r="AB267" s="18"/>
      <c r="AC267" s="28" t="s">
        <v>14</v>
      </c>
      <c r="AD267" s="18"/>
      <c r="AE267" s="28" t="s">
        <v>14</v>
      </c>
      <c r="AF267" s="25" t="str">
        <f t="shared" si="20"/>
        <v>NA</v>
      </c>
      <c r="AG267" s="59" t="str">
        <f t="shared" si="19"/>
        <v>NÃO AVALIADO POR FALHA DE SINCRONISMO</v>
      </c>
      <c r="AH267" s="28" t="s">
        <v>108</v>
      </c>
      <c r="AI267" s="32" t="s">
        <v>1</v>
      </c>
      <c r="AJ267" s="29" t="str">
        <f t="shared" si="18"/>
        <v>GUARULHOS</v>
      </c>
      <c r="AK267" s="33" t="s">
        <v>13</v>
      </c>
    </row>
    <row r="268" spans="1:37" ht="30" customHeight="1" x14ac:dyDescent="0.2">
      <c r="A268" s="94" t="s">
        <v>101</v>
      </c>
      <c r="B268" s="94">
        <v>2617301555</v>
      </c>
      <c r="C268" s="94" t="s">
        <v>1734</v>
      </c>
      <c r="D268" s="94" t="s">
        <v>53</v>
      </c>
      <c r="E268" s="94" t="s">
        <v>102</v>
      </c>
      <c r="F268" s="94" t="s">
        <v>236</v>
      </c>
      <c r="G268" s="94">
        <v>377</v>
      </c>
      <c r="H268" s="94"/>
      <c r="I268" s="94" t="s">
        <v>237</v>
      </c>
      <c r="J268" s="94" t="s">
        <v>1736</v>
      </c>
      <c r="K268" s="95" t="s">
        <v>1899</v>
      </c>
      <c r="L268" s="94" t="s">
        <v>1500</v>
      </c>
      <c r="M268" s="94" t="s">
        <v>1900</v>
      </c>
      <c r="N268" s="94" t="s">
        <v>1761</v>
      </c>
      <c r="O268" s="36" t="s">
        <v>14</v>
      </c>
      <c r="P268" s="18"/>
      <c r="Q268" s="28" t="s">
        <v>14</v>
      </c>
      <c r="R268" s="18"/>
      <c r="S268" s="28" t="s">
        <v>14</v>
      </c>
      <c r="T268" s="18"/>
      <c r="U268" s="28" t="s">
        <v>14</v>
      </c>
      <c r="V268" s="18"/>
      <c r="W268" s="28" t="s">
        <v>14</v>
      </c>
      <c r="X268" s="18"/>
      <c r="Y268" s="28" t="s">
        <v>14</v>
      </c>
      <c r="Z268" s="18"/>
      <c r="AA268" s="28" t="s">
        <v>14</v>
      </c>
      <c r="AB268" s="18"/>
      <c r="AC268" s="28" t="s">
        <v>14</v>
      </c>
      <c r="AD268" s="18"/>
      <c r="AE268" s="28" t="s">
        <v>14</v>
      </c>
      <c r="AF268" s="25" t="str">
        <f t="shared" si="20"/>
        <v>NA</v>
      </c>
      <c r="AG268" s="59" t="str">
        <f t="shared" si="19"/>
        <v>NÃO AVALIADO POR FALHA DE SINCRONISMO</v>
      </c>
      <c r="AH268" s="28" t="s">
        <v>108</v>
      </c>
      <c r="AI268" s="32" t="s">
        <v>1</v>
      </c>
      <c r="AJ268" s="29" t="str">
        <f t="shared" si="18"/>
        <v>GUARULHOS</v>
      </c>
      <c r="AK268" s="33" t="s">
        <v>13</v>
      </c>
    </row>
    <row r="269" spans="1:37" ht="30" customHeight="1" x14ac:dyDescent="0.2">
      <c r="A269" s="94" t="s">
        <v>101</v>
      </c>
      <c r="B269" s="94">
        <v>2617307375</v>
      </c>
      <c r="C269" s="94" t="s">
        <v>1734</v>
      </c>
      <c r="D269" s="94" t="s">
        <v>53</v>
      </c>
      <c r="E269" s="94" t="s">
        <v>102</v>
      </c>
      <c r="F269" s="94" t="s">
        <v>236</v>
      </c>
      <c r="G269" s="94">
        <v>371</v>
      </c>
      <c r="H269" s="94" t="s">
        <v>117</v>
      </c>
      <c r="I269" s="94" t="s">
        <v>237</v>
      </c>
      <c r="J269" s="94" t="s">
        <v>1736</v>
      </c>
      <c r="K269" s="95" t="s">
        <v>1903</v>
      </c>
      <c r="L269" s="94" t="s">
        <v>1500</v>
      </c>
      <c r="M269" s="94" t="s">
        <v>1904</v>
      </c>
      <c r="N269" s="94" t="s">
        <v>1761</v>
      </c>
      <c r="O269" s="36" t="s">
        <v>14</v>
      </c>
      <c r="P269" s="18"/>
      <c r="Q269" s="28" t="s">
        <v>14</v>
      </c>
      <c r="R269" s="18"/>
      <c r="S269" s="28" t="s">
        <v>14</v>
      </c>
      <c r="T269" s="18"/>
      <c r="U269" s="28" t="s">
        <v>14</v>
      </c>
      <c r="V269" s="18"/>
      <c r="W269" s="28" t="s">
        <v>14</v>
      </c>
      <c r="X269" s="18"/>
      <c r="Y269" s="28" t="s">
        <v>14</v>
      </c>
      <c r="Z269" s="18"/>
      <c r="AA269" s="28" t="s">
        <v>14</v>
      </c>
      <c r="AB269" s="18"/>
      <c r="AC269" s="28" t="s">
        <v>14</v>
      </c>
      <c r="AD269" s="18"/>
      <c r="AE269" s="28" t="s">
        <v>14</v>
      </c>
      <c r="AF269" s="25" t="str">
        <f t="shared" si="20"/>
        <v>NA</v>
      </c>
      <c r="AG269" s="59" t="str">
        <f t="shared" si="19"/>
        <v>NÃO AVALIADO POR FALHA DE SINCRONISMO</v>
      </c>
      <c r="AH269" s="28" t="s">
        <v>108</v>
      </c>
      <c r="AI269" s="32" t="s">
        <v>1</v>
      </c>
      <c r="AJ269" s="29" t="str">
        <f t="shared" si="18"/>
        <v>GUARULHOS</v>
      </c>
      <c r="AK269" s="33" t="s">
        <v>13</v>
      </c>
    </row>
    <row r="270" spans="1:37" ht="30" customHeight="1" x14ac:dyDescent="0.2">
      <c r="A270" s="94" t="s">
        <v>101</v>
      </c>
      <c r="B270" s="94">
        <v>2617307240</v>
      </c>
      <c r="C270" s="94" t="s">
        <v>1734</v>
      </c>
      <c r="D270" s="94" t="s">
        <v>53</v>
      </c>
      <c r="E270" s="94" t="s">
        <v>102</v>
      </c>
      <c r="F270" s="94" t="s">
        <v>236</v>
      </c>
      <c r="G270" s="94">
        <v>366</v>
      </c>
      <c r="H270" s="94" t="s">
        <v>1936</v>
      </c>
      <c r="I270" s="94" t="s">
        <v>237</v>
      </c>
      <c r="J270" s="94" t="s">
        <v>1736</v>
      </c>
      <c r="K270" s="95" t="s">
        <v>1903</v>
      </c>
      <c r="L270" s="94" t="s">
        <v>1500</v>
      </c>
      <c r="M270" s="94" t="s">
        <v>1904</v>
      </c>
      <c r="N270" s="94" t="s">
        <v>1761</v>
      </c>
      <c r="O270" s="36" t="s">
        <v>14</v>
      </c>
      <c r="P270" s="18"/>
      <c r="Q270" s="28" t="s">
        <v>14</v>
      </c>
      <c r="R270" s="18"/>
      <c r="S270" s="28" t="s">
        <v>14</v>
      </c>
      <c r="T270" s="18"/>
      <c r="U270" s="28" t="s">
        <v>14</v>
      </c>
      <c r="V270" s="18"/>
      <c r="W270" s="28" t="s">
        <v>14</v>
      </c>
      <c r="X270" s="18"/>
      <c r="Y270" s="28" t="s">
        <v>14</v>
      </c>
      <c r="Z270" s="18"/>
      <c r="AA270" s="28" t="s">
        <v>14</v>
      </c>
      <c r="AB270" s="18"/>
      <c r="AC270" s="28" t="s">
        <v>14</v>
      </c>
      <c r="AD270" s="18"/>
      <c r="AE270" s="28" t="s">
        <v>14</v>
      </c>
      <c r="AF270" s="25" t="str">
        <f t="shared" si="20"/>
        <v>NA</v>
      </c>
      <c r="AG270" s="59" t="str">
        <f t="shared" si="19"/>
        <v>NÃO AVALIADO POR FALHA DE SINCRONISMO</v>
      </c>
      <c r="AH270" s="28" t="s">
        <v>108</v>
      </c>
      <c r="AI270" s="32" t="s">
        <v>1</v>
      </c>
      <c r="AJ270" s="29" t="str">
        <f t="shared" si="18"/>
        <v>GUARULHOS</v>
      </c>
      <c r="AK270" s="33" t="s">
        <v>13</v>
      </c>
    </row>
    <row r="271" spans="1:37" ht="30" customHeight="1" x14ac:dyDescent="0.2">
      <c r="A271" s="94" t="s">
        <v>101</v>
      </c>
      <c r="B271" s="94">
        <v>2617306351</v>
      </c>
      <c r="C271" s="94" t="s">
        <v>1734</v>
      </c>
      <c r="D271" s="94" t="s">
        <v>53</v>
      </c>
      <c r="E271" s="94" t="s">
        <v>102</v>
      </c>
      <c r="F271" s="94" t="s">
        <v>236</v>
      </c>
      <c r="G271" s="94">
        <v>362</v>
      </c>
      <c r="H271" s="94" t="s">
        <v>1937</v>
      </c>
      <c r="I271" s="94" t="s">
        <v>237</v>
      </c>
      <c r="J271" s="94" t="s">
        <v>1736</v>
      </c>
      <c r="K271" s="95" t="s">
        <v>1903</v>
      </c>
      <c r="L271" s="94" t="s">
        <v>1500</v>
      </c>
      <c r="M271" s="94" t="s">
        <v>1904</v>
      </c>
      <c r="N271" s="94" t="s">
        <v>1761</v>
      </c>
      <c r="O271" s="36" t="s">
        <v>14</v>
      </c>
      <c r="P271" s="18"/>
      <c r="Q271" s="28" t="s">
        <v>14</v>
      </c>
      <c r="R271" s="18"/>
      <c r="S271" s="28" t="s">
        <v>14</v>
      </c>
      <c r="T271" s="18"/>
      <c r="U271" s="28" t="s">
        <v>14</v>
      </c>
      <c r="V271" s="18"/>
      <c r="W271" s="28" t="s">
        <v>14</v>
      </c>
      <c r="X271" s="18"/>
      <c r="Y271" s="28" t="s">
        <v>14</v>
      </c>
      <c r="Z271" s="18"/>
      <c r="AA271" s="28" t="s">
        <v>14</v>
      </c>
      <c r="AB271" s="18"/>
      <c r="AC271" s="28" t="s">
        <v>14</v>
      </c>
      <c r="AD271" s="18"/>
      <c r="AE271" s="28" t="s">
        <v>14</v>
      </c>
      <c r="AF271" s="25" t="str">
        <f t="shared" si="20"/>
        <v>NA</v>
      </c>
      <c r="AG271" s="59" t="str">
        <f t="shared" si="19"/>
        <v>NÃO AVALIADO POR FALHA DE SINCRONISMO</v>
      </c>
      <c r="AH271" s="28" t="s">
        <v>108</v>
      </c>
      <c r="AI271" s="32" t="s">
        <v>1</v>
      </c>
      <c r="AJ271" s="29" t="str">
        <f t="shared" si="18"/>
        <v>GUARULHOS</v>
      </c>
      <c r="AK271" s="33" t="s">
        <v>13</v>
      </c>
    </row>
    <row r="272" spans="1:37" ht="30" customHeight="1" x14ac:dyDescent="0.2">
      <c r="A272" s="94" t="s">
        <v>101</v>
      </c>
      <c r="B272" s="94">
        <v>2617306634</v>
      </c>
      <c r="C272" s="94" t="s">
        <v>1734</v>
      </c>
      <c r="D272" s="94" t="s">
        <v>53</v>
      </c>
      <c r="E272" s="94" t="s">
        <v>102</v>
      </c>
      <c r="F272" s="94" t="s">
        <v>236</v>
      </c>
      <c r="G272" s="94">
        <v>361</v>
      </c>
      <c r="H272" s="94"/>
      <c r="I272" s="94" t="s">
        <v>237</v>
      </c>
      <c r="J272" s="94" t="s">
        <v>1736</v>
      </c>
      <c r="K272" s="95" t="s">
        <v>1903</v>
      </c>
      <c r="L272" s="94" t="s">
        <v>1500</v>
      </c>
      <c r="M272" s="94" t="s">
        <v>1904</v>
      </c>
      <c r="N272" s="94" t="s">
        <v>1761</v>
      </c>
      <c r="O272" s="36" t="s">
        <v>14</v>
      </c>
      <c r="P272" s="18"/>
      <c r="Q272" s="28" t="s">
        <v>14</v>
      </c>
      <c r="R272" s="18"/>
      <c r="S272" s="28" t="s">
        <v>14</v>
      </c>
      <c r="T272" s="18"/>
      <c r="U272" s="28" t="s">
        <v>14</v>
      </c>
      <c r="V272" s="18"/>
      <c r="W272" s="28" t="s">
        <v>14</v>
      </c>
      <c r="X272" s="18"/>
      <c r="Y272" s="28" t="s">
        <v>14</v>
      </c>
      <c r="Z272" s="18"/>
      <c r="AA272" s="28" t="s">
        <v>14</v>
      </c>
      <c r="AB272" s="18"/>
      <c r="AC272" s="28" t="s">
        <v>14</v>
      </c>
      <c r="AD272" s="18"/>
      <c r="AE272" s="28" t="s">
        <v>14</v>
      </c>
      <c r="AF272" s="25" t="str">
        <f t="shared" si="20"/>
        <v>NA</v>
      </c>
      <c r="AG272" s="59" t="str">
        <f t="shared" si="19"/>
        <v>NÃO AVALIADO POR FALHA DE SINCRONISMO</v>
      </c>
      <c r="AH272" s="28" t="s">
        <v>108</v>
      </c>
      <c r="AI272" s="32" t="s">
        <v>1</v>
      </c>
      <c r="AJ272" s="29" t="str">
        <f t="shared" si="18"/>
        <v>GUARULHOS</v>
      </c>
      <c r="AK272" s="33" t="s">
        <v>13</v>
      </c>
    </row>
    <row r="273" spans="1:37" ht="30" customHeight="1" x14ac:dyDescent="0.2">
      <c r="A273" s="94" t="s">
        <v>101</v>
      </c>
      <c r="B273" s="94">
        <v>2617301647</v>
      </c>
      <c r="C273" s="94" t="s">
        <v>1734</v>
      </c>
      <c r="D273" s="94" t="s">
        <v>53</v>
      </c>
      <c r="E273" s="94" t="s">
        <v>102</v>
      </c>
      <c r="F273" s="94" t="s">
        <v>236</v>
      </c>
      <c r="G273" s="94">
        <v>36</v>
      </c>
      <c r="H273" s="94" t="s">
        <v>117</v>
      </c>
      <c r="I273" s="94" t="s">
        <v>237</v>
      </c>
      <c r="J273" s="94" t="s">
        <v>1736</v>
      </c>
      <c r="K273" s="95" t="s">
        <v>1899</v>
      </c>
      <c r="L273" s="94" t="s">
        <v>1500</v>
      </c>
      <c r="M273" s="94" t="s">
        <v>1900</v>
      </c>
      <c r="N273" s="94" t="s">
        <v>1761</v>
      </c>
      <c r="O273" s="36" t="s">
        <v>14</v>
      </c>
      <c r="P273" s="18"/>
      <c r="Q273" s="28" t="s">
        <v>14</v>
      </c>
      <c r="R273" s="18"/>
      <c r="S273" s="28" t="s">
        <v>14</v>
      </c>
      <c r="T273" s="18"/>
      <c r="U273" s="28" t="s">
        <v>14</v>
      </c>
      <c r="V273" s="18"/>
      <c r="W273" s="28" t="s">
        <v>14</v>
      </c>
      <c r="X273" s="18"/>
      <c r="Y273" s="28" t="s">
        <v>14</v>
      </c>
      <c r="Z273" s="18"/>
      <c r="AA273" s="28" t="s">
        <v>14</v>
      </c>
      <c r="AB273" s="18"/>
      <c r="AC273" s="28" t="s">
        <v>14</v>
      </c>
      <c r="AD273" s="18"/>
      <c r="AE273" s="28" t="s">
        <v>14</v>
      </c>
      <c r="AF273" s="25" t="str">
        <f t="shared" si="20"/>
        <v>NA</v>
      </c>
      <c r="AG273" s="59" t="str">
        <f t="shared" si="19"/>
        <v>NÃO AVALIADO POR FALHA DE SINCRONISMO</v>
      </c>
      <c r="AH273" s="28" t="s">
        <v>108</v>
      </c>
      <c r="AI273" s="32" t="s">
        <v>1</v>
      </c>
      <c r="AJ273" s="29" t="str">
        <f t="shared" si="18"/>
        <v>GUARULHOS</v>
      </c>
      <c r="AK273" s="33" t="s">
        <v>13</v>
      </c>
    </row>
    <row r="274" spans="1:37" ht="30" customHeight="1" x14ac:dyDescent="0.2">
      <c r="A274" s="94" t="s">
        <v>101</v>
      </c>
      <c r="B274" s="94">
        <v>2617305965</v>
      </c>
      <c r="C274" s="94" t="s">
        <v>1734</v>
      </c>
      <c r="D274" s="94" t="s">
        <v>53</v>
      </c>
      <c r="E274" s="94" t="s">
        <v>102</v>
      </c>
      <c r="F274" s="94" t="s">
        <v>236</v>
      </c>
      <c r="G274" s="94">
        <v>356</v>
      </c>
      <c r="H274" s="94" t="s">
        <v>1938</v>
      </c>
      <c r="I274" s="94" t="s">
        <v>237</v>
      </c>
      <c r="J274" s="94" t="s">
        <v>1736</v>
      </c>
      <c r="K274" s="94"/>
      <c r="L274" s="94" t="s">
        <v>1500</v>
      </c>
      <c r="M274" s="94" t="s">
        <v>1904</v>
      </c>
      <c r="N274" s="94" t="s">
        <v>1761</v>
      </c>
      <c r="O274" s="36" t="s">
        <v>14</v>
      </c>
      <c r="P274" s="18"/>
      <c r="Q274" s="28" t="s">
        <v>14</v>
      </c>
      <c r="R274" s="18"/>
      <c r="S274" s="28" t="s">
        <v>14</v>
      </c>
      <c r="T274" s="18"/>
      <c r="U274" s="28" t="s">
        <v>14</v>
      </c>
      <c r="V274" s="18"/>
      <c r="W274" s="28" t="s">
        <v>14</v>
      </c>
      <c r="X274" s="18"/>
      <c r="Y274" s="28" t="s">
        <v>14</v>
      </c>
      <c r="Z274" s="18"/>
      <c r="AA274" s="28" t="s">
        <v>14</v>
      </c>
      <c r="AB274" s="18"/>
      <c r="AC274" s="28" t="s">
        <v>14</v>
      </c>
      <c r="AD274" s="18"/>
      <c r="AE274" s="28" t="s">
        <v>14</v>
      </c>
      <c r="AF274" s="25" t="str">
        <f t="shared" si="20"/>
        <v>NA</v>
      </c>
      <c r="AG274" s="59" t="str">
        <f t="shared" si="19"/>
        <v>NÃO AVALIADO POR FALHA DE SINCRONISMO</v>
      </c>
      <c r="AH274" s="28" t="s">
        <v>108</v>
      </c>
      <c r="AI274" s="32" t="s">
        <v>1</v>
      </c>
      <c r="AJ274" s="29" t="str">
        <f t="shared" ref="AJ274:AJ280" si="21">E274</f>
        <v>GUARULHOS</v>
      </c>
      <c r="AK274" s="33" t="s">
        <v>13</v>
      </c>
    </row>
    <row r="275" spans="1:37" ht="30" customHeight="1" x14ac:dyDescent="0.2">
      <c r="A275" s="94" t="s">
        <v>101</v>
      </c>
      <c r="B275" s="94">
        <v>2617305701</v>
      </c>
      <c r="C275" s="94" t="s">
        <v>1734</v>
      </c>
      <c r="D275" s="94" t="s">
        <v>53</v>
      </c>
      <c r="E275" s="94" t="s">
        <v>102</v>
      </c>
      <c r="F275" s="94" t="s">
        <v>236</v>
      </c>
      <c r="G275" s="94">
        <v>349</v>
      </c>
      <c r="H275" s="94" t="s">
        <v>1152</v>
      </c>
      <c r="I275" s="94" t="s">
        <v>237</v>
      </c>
      <c r="J275" s="94" t="s">
        <v>1736</v>
      </c>
      <c r="K275" s="95" t="s">
        <v>1903</v>
      </c>
      <c r="L275" s="94" t="s">
        <v>1500</v>
      </c>
      <c r="M275" s="94" t="s">
        <v>1904</v>
      </c>
      <c r="N275" s="94" t="s">
        <v>1761</v>
      </c>
      <c r="O275" s="36" t="s">
        <v>14</v>
      </c>
      <c r="P275" s="18"/>
      <c r="Q275" s="28" t="s">
        <v>14</v>
      </c>
      <c r="R275" s="18"/>
      <c r="S275" s="28" t="s">
        <v>14</v>
      </c>
      <c r="T275" s="18"/>
      <c r="U275" s="28" t="s">
        <v>14</v>
      </c>
      <c r="V275" s="18"/>
      <c r="W275" s="28" t="s">
        <v>14</v>
      </c>
      <c r="X275" s="18"/>
      <c r="Y275" s="28" t="s">
        <v>14</v>
      </c>
      <c r="Z275" s="18"/>
      <c r="AA275" s="28" t="s">
        <v>14</v>
      </c>
      <c r="AB275" s="18"/>
      <c r="AC275" s="28" t="s">
        <v>14</v>
      </c>
      <c r="AD275" s="18"/>
      <c r="AE275" s="28" t="s">
        <v>14</v>
      </c>
      <c r="AF275" s="25" t="str">
        <f t="shared" si="20"/>
        <v>NA</v>
      </c>
      <c r="AG275" s="59" t="str">
        <f t="shared" si="19"/>
        <v>NÃO AVALIADO POR FALHA DE SINCRONISMO</v>
      </c>
      <c r="AH275" s="28" t="s">
        <v>108</v>
      </c>
      <c r="AI275" s="32" t="s">
        <v>1</v>
      </c>
      <c r="AJ275" s="29" t="str">
        <f t="shared" si="21"/>
        <v>GUARULHOS</v>
      </c>
      <c r="AK275" s="33" t="s">
        <v>13</v>
      </c>
    </row>
    <row r="276" spans="1:37" ht="30" customHeight="1" x14ac:dyDescent="0.2">
      <c r="A276" s="94" t="s">
        <v>101</v>
      </c>
      <c r="B276" s="94">
        <v>2617305786</v>
      </c>
      <c r="C276" s="94" t="s">
        <v>1734</v>
      </c>
      <c r="D276" s="94" t="s">
        <v>53</v>
      </c>
      <c r="E276" s="94" t="s">
        <v>102</v>
      </c>
      <c r="F276" s="94" t="s">
        <v>236</v>
      </c>
      <c r="G276" s="94">
        <v>346</v>
      </c>
      <c r="H276" s="94" t="s">
        <v>1939</v>
      </c>
      <c r="I276" s="94" t="s">
        <v>237</v>
      </c>
      <c r="J276" s="94" t="s">
        <v>1736</v>
      </c>
      <c r="K276" s="95" t="s">
        <v>1903</v>
      </c>
      <c r="L276" s="94" t="s">
        <v>1500</v>
      </c>
      <c r="M276" s="94" t="s">
        <v>1904</v>
      </c>
      <c r="N276" s="94" t="s">
        <v>1761</v>
      </c>
      <c r="O276" s="36" t="s">
        <v>14</v>
      </c>
      <c r="P276" s="18"/>
      <c r="Q276" s="28" t="s">
        <v>14</v>
      </c>
      <c r="R276" s="18"/>
      <c r="S276" s="28" t="s">
        <v>14</v>
      </c>
      <c r="T276" s="18"/>
      <c r="U276" s="28" t="s">
        <v>14</v>
      </c>
      <c r="V276" s="18"/>
      <c r="W276" s="28" t="s">
        <v>14</v>
      </c>
      <c r="X276" s="18"/>
      <c r="Y276" s="28" t="s">
        <v>14</v>
      </c>
      <c r="Z276" s="18"/>
      <c r="AA276" s="28" t="s">
        <v>14</v>
      </c>
      <c r="AB276" s="18"/>
      <c r="AC276" s="28" t="s">
        <v>14</v>
      </c>
      <c r="AD276" s="18"/>
      <c r="AE276" s="28" t="s">
        <v>14</v>
      </c>
      <c r="AF276" s="25" t="str">
        <f t="shared" si="20"/>
        <v>NA</v>
      </c>
      <c r="AG276" s="59" t="str">
        <f t="shared" si="19"/>
        <v>NÃO AVALIADO POR FALHA DE SINCRONISMO</v>
      </c>
      <c r="AH276" s="28" t="s">
        <v>108</v>
      </c>
      <c r="AI276" s="32" t="s">
        <v>1</v>
      </c>
      <c r="AJ276" s="29" t="str">
        <f t="shared" si="21"/>
        <v>GUARULHOS</v>
      </c>
      <c r="AK276" s="33" t="s">
        <v>13</v>
      </c>
    </row>
    <row r="277" spans="1:37" ht="30" customHeight="1" x14ac:dyDescent="0.2">
      <c r="A277" s="94" t="s">
        <v>101</v>
      </c>
      <c r="B277" s="94">
        <v>2617305311</v>
      </c>
      <c r="C277" s="94" t="s">
        <v>1734</v>
      </c>
      <c r="D277" s="94" t="s">
        <v>53</v>
      </c>
      <c r="E277" s="94" t="s">
        <v>102</v>
      </c>
      <c r="F277" s="94" t="s">
        <v>236</v>
      </c>
      <c r="G277" s="94">
        <v>334</v>
      </c>
      <c r="H277" s="94" t="s">
        <v>1522</v>
      </c>
      <c r="I277" s="94" t="s">
        <v>237</v>
      </c>
      <c r="J277" s="94" t="s">
        <v>1736</v>
      </c>
      <c r="K277" s="95" t="s">
        <v>1903</v>
      </c>
      <c r="L277" s="94" t="s">
        <v>1500</v>
      </c>
      <c r="M277" s="94" t="s">
        <v>1904</v>
      </c>
      <c r="N277" s="94" t="s">
        <v>1761</v>
      </c>
      <c r="O277" s="36" t="s">
        <v>14</v>
      </c>
      <c r="P277" s="18"/>
      <c r="Q277" s="28" t="s">
        <v>14</v>
      </c>
      <c r="R277" s="18"/>
      <c r="S277" s="28" t="s">
        <v>14</v>
      </c>
      <c r="T277" s="18"/>
      <c r="U277" s="28" t="s">
        <v>14</v>
      </c>
      <c r="V277" s="18"/>
      <c r="W277" s="28" t="s">
        <v>14</v>
      </c>
      <c r="X277" s="18"/>
      <c r="Y277" s="28" t="s">
        <v>14</v>
      </c>
      <c r="Z277" s="18"/>
      <c r="AA277" s="28" t="s">
        <v>14</v>
      </c>
      <c r="AB277" s="18"/>
      <c r="AC277" s="28" t="s">
        <v>14</v>
      </c>
      <c r="AD277" s="18"/>
      <c r="AE277" s="28" t="s">
        <v>14</v>
      </c>
      <c r="AF277" s="25" t="str">
        <f t="shared" si="20"/>
        <v>NA</v>
      </c>
      <c r="AG277" s="59" t="str">
        <f t="shared" si="19"/>
        <v>NÃO AVALIADO POR FALHA DE SINCRONISMO</v>
      </c>
      <c r="AH277" s="28" t="s">
        <v>108</v>
      </c>
      <c r="AI277" s="32" t="s">
        <v>1</v>
      </c>
      <c r="AJ277" s="29" t="str">
        <f t="shared" si="21"/>
        <v>GUARULHOS</v>
      </c>
      <c r="AK277" s="33" t="s">
        <v>13</v>
      </c>
    </row>
    <row r="278" spans="1:37" ht="30" customHeight="1" x14ac:dyDescent="0.2">
      <c r="A278" s="94" t="s">
        <v>101</v>
      </c>
      <c r="B278" s="94">
        <v>2617303190</v>
      </c>
      <c r="C278" s="94" t="s">
        <v>1734</v>
      </c>
      <c r="D278" s="94" t="s">
        <v>53</v>
      </c>
      <c r="E278" s="94" t="s">
        <v>102</v>
      </c>
      <c r="F278" s="94" t="s">
        <v>236</v>
      </c>
      <c r="G278" s="94">
        <v>325</v>
      </c>
      <c r="H278" s="94"/>
      <c r="I278" s="94" t="s">
        <v>237</v>
      </c>
      <c r="J278" s="94" t="s">
        <v>1736</v>
      </c>
      <c r="K278" s="95" t="s">
        <v>1903</v>
      </c>
      <c r="L278" s="94" t="s">
        <v>1500</v>
      </c>
      <c r="M278" s="94" t="s">
        <v>1904</v>
      </c>
      <c r="N278" s="94" t="s">
        <v>1761</v>
      </c>
      <c r="O278" s="36" t="s">
        <v>14</v>
      </c>
      <c r="P278" s="18"/>
      <c r="Q278" s="28" t="s">
        <v>14</v>
      </c>
      <c r="R278" s="18"/>
      <c r="S278" s="28" t="s">
        <v>14</v>
      </c>
      <c r="T278" s="18"/>
      <c r="U278" s="28" t="s">
        <v>14</v>
      </c>
      <c r="V278" s="18"/>
      <c r="W278" s="28" t="s">
        <v>14</v>
      </c>
      <c r="X278" s="18"/>
      <c r="Y278" s="28" t="s">
        <v>14</v>
      </c>
      <c r="Z278" s="18"/>
      <c r="AA278" s="28" t="s">
        <v>14</v>
      </c>
      <c r="AB278" s="18"/>
      <c r="AC278" s="28" t="s">
        <v>14</v>
      </c>
      <c r="AD278" s="18"/>
      <c r="AE278" s="28" t="s">
        <v>14</v>
      </c>
      <c r="AF278" s="25" t="str">
        <f t="shared" si="20"/>
        <v>NA</v>
      </c>
      <c r="AG278" s="59" t="str">
        <f t="shared" si="19"/>
        <v>NÃO AVALIADO POR FALHA DE SINCRONISMO</v>
      </c>
      <c r="AH278" s="28" t="s">
        <v>108</v>
      </c>
      <c r="AI278" s="32" t="s">
        <v>1</v>
      </c>
      <c r="AJ278" s="29" t="str">
        <f t="shared" si="21"/>
        <v>GUARULHOS</v>
      </c>
      <c r="AK278" s="33" t="s">
        <v>13</v>
      </c>
    </row>
    <row r="279" spans="1:37" ht="30" customHeight="1" x14ac:dyDescent="0.2">
      <c r="A279" s="94" t="s">
        <v>101</v>
      </c>
      <c r="B279" s="94">
        <v>2617306897</v>
      </c>
      <c r="C279" s="94" t="s">
        <v>1734</v>
      </c>
      <c r="D279" s="94" t="s">
        <v>53</v>
      </c>
      <c r="E279" s="94" t="s">
        <v>102</v>
      </c>
      <c r="F279" s="94" t="s">
        <v>503</v>
      </c>
      <c r="G279" s="94">
        <v>328</v>
      </c>
      <c r="H279" s="94"/>
      <c r="I279" s="94" t="s">
        <v>237</v>
      </c>
      <c r="J279" s="94" t="s">
        <v>1736</v>
      </c>
      <c r="K279" s="95" t="s">
        <v>1947</v>
      </c>
      <c r="L279" s="94" t="s">
        <v>1624</v>
      </c>
      <c r="M279" s="94" t="s">
        <v>1948</v>
      </c>
      <c r="N279" s="94" t="s">
        <v>1409</v>
      </c>
      <c r="O279" s="36" t="s">
        <v>14</v>
      </c>
      <c r="P279" s="18"/>
      <c r="Q279" s="28" t="s">
        <v>14</v>
      </c>
      <c r="R279" s="18"/>
      <c r="S279" s="28" t="s">
        <v>14</v>
      </c>
      <c r="T279" s="18"/>
      <c r="U279" s="28" t="s">
        <v>14</v>
      </c>
      <c r="V279" s="18"/>
      <c r="W279" s="28" t="s">
        <v>14</v>
      </c>
      <c r="X279" s="18"/>
      <c r="Y279" s="28" t="s">
        <v>14</v>
      </c>
      <c r="Z279" s="18"/>
      <c r="AA279" s="28" t="s">
        <v>14</v>
      </c>
      <c r="AB279" s="18"/>
      <c r="AC279" s="28" t="s">
        <v>14</v>
      </c>
      <c r="AD279" s="18"/>
      <c r="AE279" s="28" t="s">
        <v>14</v>
      </c>
      <c r="AF279" s="25" t="str">
        <f t="shared" ref="AF279:AF298" si="22">IF(AND(O279="",Q279="",S279="",U279="",W279="",Y279="",AA279="",AC279=""),"",IF(OR(AND(O279&lt;&gt;"NA",O279&lt;&gt;"C",O279&lt;&gt;"NC",O279&lt;&gt;"SF",O279&lt;&gt;""),AND(Q279&lt;&gt;"NA",Q279&lt;&gt;"C",Q279&lt;&gt;"NC",Q279&lt;&gt;"SF",Q279&lt;&gt;""),AND(S279&lt;&gt;"NA",S279&lt;&gt;"C",S279&lt;&gt;"NC",S279&lt;&gt;"SF",S279&lt;&gt;""),AND(U279&lt;&gt;"NA",U279&lt;&gt;"C",U279&lt;&gt;"NC",U279&lt;&gt;"SF",U279&lt;&gt;""),AND(W279&lt;&gt;"NA",W279&lt;&gt;"C",W279&lt;&gt;"NC",W279&lt;&gt;"SF",W279&lt;&gt;""),AND(Y279&lt;&gt;"NA",Y279&lt;&gt;"C",Y279&lt;&gt;"NC",Y279&lt;&gt;"SF",Y279&lt;&gt;""),AND(AA279&lt;&gt;"NA",AA279&lt;&gt;"C",AA279&lt;&gt;"NC",AA279&lt;&gt;"SF",AA279&lt;&gt;""),AND(AC279&lt;&gt;"NA",AC279&lt;&gt;"C",AC279&lt;&gt;"NC",AC279&lt;&gt;"SF",AC279&lt;&gt;"")),"FALSO",IF(AND(O279="NA",Q279="NA",S279="NA",U279="NA",W279="NA",Y279="NA",AA279="NA",AC279="NA"),"NA",IF(OR(O279="NC",Q279="NC",S279="NC",U279="NC",W279="NC",Y279="NC",AA279="NC",AC279="NC",O279="SF",Q279="SF",S279="SF",U279="SF",W279="SF",Y279="SF",AA279="SF",AC279="SF"),"NC",IF(OR(O279="C",Q279="C",S279="C",U279="C",W279="C",Y279="C",AA279="C",AC279="C"),"C","")))))</f>
        <v>NA</v>
      </c>
      <c r="AG279" s="59" t="str">
        <f t="shared" ref="AG279:AG298" si="23">IF(AND(AE279="C",AF279="C"),"UTILIZOU O PDA CORRETAMENTE",IF(AND(AE279="C",AF279="NC"),"UTILIZOU O PDA CORRETAMENTE. NÃO HÁ FOTOS DE TODAS AS ETAPAS",IF(AND(AE279="NC",AF279="NC"),"NÃO UTILIZOU O PDA",IF(AND(AE279="NA",AF279="NA"),"NÃO AVALIADO POR FALHA DE SINCRONISMO"))))</f>
        <v>NÃO AVALIADO POR FALHA DE SINCRONISMO</v>
      </c>
      <c r="AH279" s="28" t="s">
        <v>108</v>
      </c>
      <c r="AI279" s="32" t="s">
        <v>1</v>
      </c>
      <c r="AJ279" s="29" t="str">
        <f t="shared" si="21"/>
        <v>GUARULHOS</v>
      </c>
      <c r="AK279" s="33" t="s">
        <v>13</v>
      </c>
    </row>
    <row r="280" spans="1:37" ht="30" customHeight="1" x14ac:dyDescent="0.2">
      <c r="A280" s="94" t="s">
        <v>101</v>
      </c>
      <c r="B280" s="94">
        <v>2617305986</v>
      </c>
      <c r="C280" s="94" t="s">
        <v>1734</v>
      </c>
      <c r="D280" s="94" t="s">
        <v>53</v>
      </c>
      <c r="E280" s="94" t="s">
        <v>102</v>
      </c>
      <c r="F280" s="94" t="s">
        <v>503</v>
      </c>
      <c r="G280" s="94">
        <v>302</v>
      </c>
      <c r="H280" s="94" t="s">
        <v>1040</v>
      </c>
      <c r="I280" s="94" t="s">
        <v>237</v>
      </c>
      <c r="J280" s="94" t="s">
        <v>1736</v>
      </c>
      <c r="K280" s="95" t="s">
        <v>1950</v>
      </c>
      <c r="L280" s="94" t="s">
        <v>1624</v>
      </c>
      <c r="M280" s="94" t="s">
        <v>1948</v>
      </c>
      <c r="N280" s="94" t="s">
        <v>1409</v>
      </c>
      <c r="O280" s="36" t="s">
        <v>14</v>
      </c>
      <c r="P280" s="18"/>
      <c r="Q280" s="28" t="s">
        <v>14</v>
      </c>
      <c r="R280" s="18"/>
      <c r="S280" s="28" t="s">
        <v>14</v>
      </c>
      <c r="T280" s="18"/>
      <c r="U280" s="28" t="s">
        <v>14</v>
      </c>
      <c r="V280" s="18"/>
      <c r="W280" s="28" t="s">
        <v>14</v>
      </c>
      <c r="X280" s="18"/>
      <c r="Y280" s="28" t="s">
        <v>14</v>
      </c>
      <c r="Z280" s="18"/>
      <c r="AA280" s="28" t="s">
        <v>14</v>
      </c>
      <c r="AB280" s="18"/>
      <c r="AC280" s="28" t="s">
        <v>14</v>
      </c>
      <c r="AD280" s="18"/>
      <c r="AE280" s="28" t="s">
        <v>14</v>
      </c>
      <c r="AF280" s="25" t="str">
        <f t="shared" si="22"/>
        <v>NA</v>
      </c>
      <c r="AG280" s="59" t="str">
        <f t="shared" si="23"/>
        <v>NÃO AVALIADO POR FALHA DE SINCRONISMO</v>
      </c>
      <c r="AH280" s="28" t="s">
        <v>108</v>
      </c>
      <c r="AI280" s="32" t="s">
        <v>1</v>
      </c>
      <c r="AJ280" s="29" t="str">
        <f t="shared" si="21"/>
        <v>GUARULHOS</v>
      </c>
      <c r="AK280" s="33" t="s">
        <v>13</v>
      </c>
    </row>
    <row r="281" spans="1:37" ht="30" customHeight="1" x14ac:dyDescent="0.2">
      <c r="A281" s="94" t="s">
        <v>101</v>
      </c>
      <c r="B281" s="94">
        <v>2617305606</v>
      </c>
      <c r="C281" s="94" t="s">
        <v>1734</v>
      </c>
      <c r="D281" s="94" t="s">
        <v>53</v>
      </c>
      <c r="E281" s="94" t="s">
        <v>102</v>
      </c>
      <c r="F281" s="94" t="s">
        <v>503</v>
      </c>
      <c r="G281" s="94">
        <v>293</v>
      </c>
      <c r="H281" s="94" t="s">
        <v>1951</v>
      </c>
      <c r="I281" s="94" t="s">
        <v>237</v>
      </c>
      <c r="J281" s="94" t="s">
        <v>1736</v>
      </c>
      <c r="K281" s="95" t="s">
        <v>1949</v>
      </c>
      <c r="L281" s="94" t="s">
        <v>1624</v>
      </c>
      <c r="M281" s="94" t="s">
        <v>1948</v>
      </c>
      <c r="N281" s="94" t="s">
        <v>1409</v>
      </c>
      <c r="O281" s="36" t="s">
        <v>14</v>
      </c>
      <c r="P281" s="18"/>
      <c r="Q281" s="28" t="s">
        <v>14</v>
      </c>
      <c r="R281" s="18"/>
      <c r="S281" s="28" t="s">
        <v>14</v>
      </c>
      <c r="T281" s="18"/>
      <c r="U281" s="28" t="s">
        <v>14</v>
      </c>
      <c r="V281" s="18"/>
      <c r="W281" s="28" t="s">
        <v>14</v>
      </c>
      <c r="X281" s="18"/>
      <c r="Y281" s="28" t="s">
        <v>14</v>
      </c>
      <c r="Z281" s="18"/>
      <c r="AA281" s="28" t="s">
        <v>14</v>
      </c>
      <c r="AB281" s="18"/>
      <c r="AC281" s="28" t="s">
        <v>14</v>
      </c>
      <c r="AD281" s="18"/>
      <c r="AE281" s="28" t="s">
        <v>14</v>
      </c>
      <c r="AF281" s="25" t="str">
        <f t="shared" si="22"/>
        <v>NA</v>
      </c>
      <c r="AG281" s="59" t="str">
        <f t="shared" si="23"/>
        <v>NÃO AVALIADO POR FALHA DE SINCRONISMO</v>
      </c>
      <c r="AH281" s="28" t="s">
        <v>108</v>
      </c>
      <c r="AI281" s="32" t="s">
        <v>1</v>
      </c>
      <c r="AJ281" s="29" t="str">
        <f t="shared" ref="AJ281:AJ298" si="24">E281</f>
        <v>GUARULHOS</v>
      </c>
      <c r="AK281" s="33" t="s">
        <v>13</v>
      </c>
    </row>
    <row r="282" spans="1:37" ht="30" customHeight="1" x14ac:dyDescent="0.2">
      <c r="A282" s="94" t="s">
        <v>101</v>
      </c>
      <c r="B282" s="94">
        <v>2617305261</v>
      </c>
      <c r="C282" s="94" t="s">
        <v>1734</v>
      </c>
      <c r="D282" s="94" t="s">
        <v>53</v>
      </c>
      <c r="E282" s="94" t="s">
        <v>102</v>
      </c>
      <c r="F282" s="94" t="s">
        <v>503</v>
      </c>
      <c r="G282" s="94">
        <v>283</v>
      </c>
      <c r="H282" s="94" t="s">
        <v>1952</v>
      </c>
      <c r="I282" s="94" t="s">
        <v>237</v>
      </c>
      <c r="J282" s="94" t="s">
        <v>1736</v>
      </c>
      <c r="K282" s="95" t="s">
        <v>1949</v>
      </c>
      <c r="L282" s="94" t="s">
        <v>1624</v>
      </c>
      <c r="M282" s="94" t="s">
        <v>1948</v>
      </c>
      <c r="N282" s="94" t="s">
        <v>1409</v>
      </c>
      <c r="O282" s="36" t="s">
        <v>14</v>
      </c>
      <c r="P282" s="18"/>
      <c r="Q282" s="28" t="s">
        <v>14</v>
      </c>
      <c r="R282" s="18"/>
      <c r="S282" s="28" t="s">
        <v>14</v>
      </c>
      <c r="T282" s="18"/>
      <c r="U282" s="28" t="s">
        <v>14</v>
      </c>
      <c r="V282" s="18"/>
      <c r="W282" s="28" t="s">
        <v>14</v>
      </c>
      <c r="X282" s="18"/>
      <c r="Y282" s="28" t="s">
        <v>14</v>
      </c>
      <c r="Z282" s="18"/>
      <c r="AA282" s="28" t="s">
        <v>14</v>
      </c>
      <c r="AB282" s="18"/>
      <c r="AC282" s="28" t="s">
        <v>14</v>
      </c>
      <c r="AD282" s="18"/>
      <c r="AE282" s="28" t="s">
        <v>14</v>
      </c>
      <c r="AF282" s="25" t="str">
        <f t="shared" si="22"/>
        <v>NA</v>
      </c>
      <c r="AG282" s="59" t="str">
        <f t="shared" si="23"/>
        <v>NÃO AVALIADO POR FALHA DE SINCRONISMO</v>
      </c>
      <c r="AH282" s="28" t="s">
        <v>108</v>
      </c>
      <c r="AI282" s="32" t="s">
        <v>1</v>
      </c>
      <c r="AJ282" s="29" t="str">
        <f t="shared" si="24"/>
        <v>GUARULHOS</v>
      </c>
      <c r="AK282" s="33" t="s">
        <v>13</v>
      </c>
    </row>
    <row r="283" spans="1:37" ht="30" customHeight="1" x14ac:dyDescent="0.2">
      <c r="A283" s="94" t="s">
        <v>101</v>
      </c>
      <c r="B283" s="94">
        <v>2617304970</v>
      </c>
      <c r="C283" s="94" t="s">
        <v>1734</v>
      </c>
      <c r="D283" s="94" t="s">
        <v>53</v>
      </c>
      <c r="E283" s="94" t="s">
        <v>102</v>
      </c>
      <c r="F283" s="94" t="s">
        <v>503</v>
      </c>
      <c r="G283" s="94">
        <v>273</v>
      </c>
      <c r="H283" s="94"/>
      <c r="I283" s="94" t="s">
        <v>237</v>
      </c>
      <c r="J283" s="94" t="s">
        <v>1736</v>
      </c>
      <c r="K283" s="95" t="s">
        <v>1949</v>
      </c>
      <c r="L283" s="94" t="s">
        <v>1624</v>
      </c>
      <c r="M283" s="94" t="s">
        <v>1948</v>
      </c>
      <c r="N283" s="94" t="s">
        <v>1409</v>
      </c>
      <c r="O283" s="36" t="s">
        <v>14</v>
      </c>
      <c r="P283" s="18"/>
      <c r="Q283" s="28" t="s">
        <v>14</v>
      </c>
      <c r="R283" s="18"/>
      <c r="S283" s="28" t="s">
        <v>14</v>
      </c>
      <c r="T283" s="18"/>
      <c r="U283" s="28" t="s">
        <v>14</v>
      </c>
      <c r="V283" s="18"/>
      <c r="W283" s="28" t="s">
        <v>14</v>
      </c>
      <c r="X283" s="18"/>
      <c r="Y283" s="28" t="s">
        <v>14</v>
      </c>
      <c r="Z283" s="18"/>
      <c r="AA283" s="28" t="s">
        <v>14</v>
      </c>
      <c r="AB283" s="18"/>
      <c r="AC283" s="28" t="s">
        <v>14</v>
      </c>
      <c r="AD283" s="18"/>
      <c r="AE283" s="28" t="s">
        <v>14</v>
      </c>
      <c r="AF283" s="25" t="str">
        <f t="shared" si="22"/>
        <v>NA</v>
      </c>
      <c r="AG283" s="59" t="str">
        <f t="shared" si="23"/>
        <v>NÃO AVALIADO POR FALHA DE SINCRONISMO</v>
      </c>
      <c r="AH283" s="28" t="s">
        <v>108</v>
      </c>
      <c r="AI283" s="32" t="s">
        <v>1</v>
      </c>
      <c r="AJ283" s="29" t="str">
        <f t="shared" si="24"/>
        <v>GUARULHOS</v>
      </c>
      <c r="AK283" s="33" t="s">
        <v>13</v>
      </c>
    </row>
    <row r="284" spans="1:37" ht="30" customHeight="1" x14ac:dyDescent="0.2">
      <c r="A284" s="94" t="s">
        <v>101</v>
      </c>
      <c r="B284" s="94">
        <v>2617304258</v>
      </c>
      <c r="C284" s="94" t="s">
        <v>1734</v>
      </c>
      <c r="D284" s="94" t="s">
        <v>53</v>
      </c>
      <c r="E284" s="94" t="s">
        <v>102</v>
      </c>
      <c r="F284" s="94" t="s">
        <v>503</v>
      </c>
      <c r="G284" s="94">
        <v>260</v>
      </c>
      <c r="H284" s="94" t="s">
        <v>1953</v>
      </c>
      <c r="I284" s="94" t="s">
        <v>237</v>
      </c>
      <c r="J284" s="94" t="s">
        <v>1736</v>
      </c>
      <c r="K284" s="95" t="s">
        <v>1947</v>
      </c>
      <c r="L284" s="94" t="s">
        <v>1624</v>
      </c>
      <c r="M284" s="94" t="s">
        <v>1944</v>
      </c>
      <c r="N284" s="94" t="s">
        <v>1409</v>
      </c>
      <c r="O284" s="36" t="s">
        <v>14</v>
      </c>
      <c r="P284" s="18"/>
      <c r="Q284" s="28" t="s">
        <v>14</v>
      </c>
      <c r="R284" s="18"/>
      <c r="S284" s="28" t="s">
        <v>14</v>
      </c>
      <c r="T284" s="18"/>
      <c r="U284" s="28" t="s">
        <v>14</v>
      </c>
      <c r="V284" s="18"/>
      <c r="W284" s="28" t="s">
        <v>14</v>
      </c>
      <c r="X284" s="18"/>
      <c r="Y284" s="28" t="s">
        <v>14</v>
      </c>
      <c r="Z284" s="18"/>
      <c r="AA284" s="28" t="s">
        <v>14</v>
      </c>
      <c r="AB284" s="18"/>
      <c r="AC284" s="28" t="s">
        <v>14</v>
      </c>
      <c r="AD284" s="18"/>
      <c r="AE284" s="28" t="s">
        <v>14</v>
      </c>
      <c r="AF284" s="25" t="str">
        <f t="shared" si="22"/>
        <v>NA</v>
      </c>
      <c r="AG284" s="59" t="str">
        <f t="shared" si="23"/>
        <v>NÃO AVALIADO POR FALHA DE SINCRONISMO</v>
      </c>
      <c r="AH284" s="28" t="s">
        <v>108</v>
      </c>
      <c r="AI284" s="32" t="s">
        <v>1</v>
      </c>
      <c r="AJ284" s="29" t="str">
        <f t="shared" si="24"/>
        <v>GUARULHOS</v>
      </c>
      <c r="AK284" s="33" t="s">
        <v>13</v>
      </c>
    </row>
    <row r="285" spans="1:37" ht="30" customHeight="1" x14ac:dyDescent="0.2">
      <c r="A285" s="94" t="s">
        <v>101</v>
      </c>
      <c r="B285" s="94">
        <v>2617304462</v>
      </c>
      <c r="C285" s="94" t="s">
        <v>1734</v>
      </c>
      <c r="D285" s="94" t="s">
        <v>53</v>
      </c>
      <c r="E285" s="94" t="s">
        <v>102</v>
      </c>
      <c r="F285" s="94" t="s">
        <v>503</v>
      </c>
      <c r="G285" s="94">
        <v>259</v>
      </c>
      <c r="H285" s="94" t="s">
        <v>1954</v>
      </c>
      <c r="I285" s="94" t="s">
        <v>237</v>
      </c>
      <c r="J285" s="94" t="s">
        <v>1736</v>
      </c>
      <c r="K285" s="95" t="s">
        <v>1947</v>
      </c>
      <c r="L285" s="94" t="s">
        <v>1624</v>
      </c>
      <c r="M285" s="94" t="s">
        <v>1944</v>
      </c>
      <c r="N285" s="94" t="s">
        <v>1409</v>
      </c>
      <c r="O285" s="36" t="s">
        <v>14</v>
      </c>
      <c r="P285" s="18"/>
      <c r="Q285" s="28" t="s">
        <v>14</v>
      </c>
      <c r="R285" s="18"/>
      <c r="S285" s="28" t="s">
        <v>14</v>
      </c>
      <c r="T285" s="18"/>
      <c r="U285" s="28" t="s">
        <v>14</v>
      </c>
      <c r="V285" s="18"/>
      <c r="W285" s="28" t="s">
        <v>14</v>
      </c>
      <c r="X285" s="18"/>
      <c r="Y285" s="28" t="s">
        <v>14</v>
      </c>
      <c r="Z285" s="18"/>
      <c r="AA285" s="28" t="s">
        <v>14</v>
      </c>
      <c r="AB285" s="18"/>
      <c r="AC285" s="28" t="s">
        <v>14</v>
      </c>
      <c r="AD285" s="18"/>
      <c r="AE285" s="28" t="s">
        <v>14</v>
      </c>
      <c r="AF285" s="25" t="str">
        <f t="shared" si="22"/>
        <v>NA</v>
      </c>
      <c r="AG285" s="59" t="str">
        <f t="shared" si="23"/>
        <v>NÃO AVALIADO POR FALHA DE SINCRONISMO</v>
      </c>
      <c r="AH285" s="28" t="s">
        <v>108</v>
      </c>
      <c r="AI285" s="32" t="s">
        <v>1</v>
      </c>
      <c r="AJ285" s="29" t="str">
        <f t="shared" si="24"/>
        <v>GUARULHOS</v>
      </c>
      <c r="AK285" s="33" t="s">
        <v>13</v>
      </c>
    </row>
    <row r="286" spans="1:37" ht="30" customHeight="1" x14ac:dyDescent="0.2">
      <c r="A286" s="94" t="s">
        <v>101</v>
      </c>
      <c r="B286" s="94">
        <v>2617303869</v>
      </c>
      <c r="C286" s="94" t="s">
        <v>1734</v>
      </c>
      <c r="D286" s="94" t="s">
        <v>53</v>
      </c>
      <c r="E286" s="94" t="s">
        <v>102</v>
      </c>
      <c r="F286" s="94" t="s">
        <v>503</v>
      </c>
      <c r="G286" s="94">
        <v>255</v>
      </c>
      <c r="H286" s="94" t="s">
        <v>1955</v>
      </c>
      <c r="I286" s="94" t="s">
        <v>237</v>
      </c>
      <c r="J286" s="94" t="s">
        <v>1736</v>
      </c>
      <c r="K286" s="95" t="s">
        <v>1947</v>
      </c>
      <c r="L286" s="94" t="s">
        <v>1624</v>
      </c>
      <c r="M286" s="94" t="s">
        <v>1944</v>
      </c>
      <c r="N286" s="94" t="s">
        <v>1409</v>
      </c>
      <c r="O286" s="36" t="s">
        <v>14</v>
      </c>
      <c r="P286" s="18"/>
      <c r="Q286" s="28" t="s">
        <v>14</v>
      </c>
      <c r="R286" s="18"/>
      <c r="S286" s="28" t="s">
        <v>14</v>
      </c>
      <c r="T286" s="18"/>
      <c r="U286" s="28" t="s">
        <v>14</v>
      </c>
      <c r="V286" s="18"/>
      <c r="W286" s="28" t="s">
        <v>14</v>
      </c>
      <c r="X286" s="18"/>
      <c r="Y286" s="28" t="s">
        <v>14</v>
      </c>
      <c r="Z286" s="18"/>
      <c r="AA286" s="28" t="s">
        <v>14</v>
      </c>
      <c r="AB286" s="18"/>
      <c r="AC286" s="28" t="s">
        <v>14</v>
      </c>
      <c r="AD286" s="18"/>
      <c r="AE286" s="28" t="s">
        <v>14</v>
      </c>
      <c r="AF286" s="25" t="str">
        <f t="shared" si="22"/>
        <v>NA</v>
      </c>
      <c r="AG286" s="59" t="str">
        <f t="shared" si="23"/>
        <v>NÃO AVALIADO POR FALHA DE SINCRONISMO</v>
      </c>
      <c r="AH286" s="28" t="s">
        <v>108</v>
      </c>
      <c r="AI286" s="32" t="s">
        <v>1</v>
      </c>
      <c r="AJ286" s="29" t="str">
        <f t="shared" si="24"/>
        <v>GUARULHOS</v>
      </c>
      <c r="AK286" s="33" t="s">
        <v>13</v>
      </c>
    </row>
    <row r="287" spans="1:37" ht="30" customHeight="1" x14ac:dyDescent="0.2">
      <c r="A287" s="94" t="s">
        <v>101</v>
      </c>
      <c r="B287" s="94">
        <v>2618090848</v>
      </c>
      <c r="C287" s="94" t="s">
        <v>1734</v>
      </c>
      <c r="D287" s="94" t="s">
        <v>53</v>
      </c>
      <c r="E287" s="94" t="s">
        <v>102</v>
      </c>
      <c r="F287" s="94" t="s">
        <v>1392</v>
      </c>
      <c r="G287" s="94">
        <v>94</v>
      </c>
      <c r="H287" s="94" t="s">
        <v>1956</v>
      </c>
      <c r="I287" s="94" t="s">
        <v>237</v>
      </c>
      <c r="J287" s="94" t="s">
        <v>1736</v>
      </c>
      <c r="K287" s="95" t="s">
        <v>1957</v>
      </c>
      <c r="L287" s="94" t="s">
        <v>1624</v>
      </c>
      <c r="M287" s="94" t="s">
        <v>1958</v>
      </c>
      <c r="N287" s="94" t="s">
        <v>1409</v>
      </c>
      <c r="O287" s="36" t="s">
        <v>14</v>
      </c>
      <c r="P287" s="18"/>
      <c r="Q287" s="28" t="s">
        <v>14</v>
      </c>
      <c r="R287" s="18"/>
      <c r="S287" s="28" t="s">
        <v>14</v>
      </c>
      <c r="T287" s="18"/>
      <c r="U287" s="28" t="s">
        <v>14</v>
      </c>
      <c r="V287" s="18"/>
      <c r="W287" s="28" t="s">
        <v>14</v>
      </c>
      <c r="X287" s="18"/>
      <c r="Y287" s="28" t="s">
        <v>14</v>
      </c>
      <c r="Z287" s="18"/>
      <c r="AA287" s="28" t="s">
        <v>14</v>
      </c>
      <c r="AB287" s="18"/>
      <c r="AC287" s="28" t="s">
        <v>14</v>
      </c>
      <c r="AD287" s="18"/>
      <c r="AE287" s="28" t="s">
        <v>14</v>
      </c>
      <c r="AF287" s="25" t="str">
        <f t="shared" si="22"/>
        <v>NA</v>
      </c>
      <c r="AG287" s="59" t="str">
        <f t="shared" si="23"/>
        <v>NÃO AVALIADO POR FALHA DE SINCRONISMO</v>
      </c>
      <c r="AH287" s="28" t="s">
        <v>108</v>
      </c>
      <c r="AI287" s="32" t="s">
        <v>1</v>
      </c>
      <c r="AJ287" s="29" t="str">
        <f t="shared" si="24"/>
        <v>GUARULHOS</v>
      </c>
      <c r="AK287" s="33" t="s">
        <v>13</v>
      </c>
    </row>
    <row r="288" spans="1:37" ht="30" customHeight="1" x14ac:dyDescent="0.2">
      <c r="A288" s="94" t="s">
        <v>101</v>
      </c>
      <c r="B288" s="94">
        <v>2618091123</v>
      </c>
      <c r="C288" s="94" t="s">
        <v>1734</v>
      </c>
      <c r="D288" s="94" t="s">
        <v>53</v>
      </c>
      <c r="E288" s="94" t="s">
        <v>102</v>
      </c>
      <c r="F288" s="94" t="s">
        <v>1392</v>
      </c>
      <c r="G288" s="94">
        <v>79</v>
      </c>
      <c r="H288" s="94"/>
      <c r="I288" s="94" t="s">
        <v>237</v>
      </c>
      <c r="J288" s="94" t="s">
        <v>1736</v>
      </c>
      <c r="K288" s="95" t="s">
        <v>1957</v>
      </c>
      <c r="L288" s="94" t="s">
        <v>1624</v>
      </c>
      <c r="M288" s="94" t="s">
        <v>1958</v>
      </c>
      <c r="N288" s="94" t="s">
        <v>1409</v>
      </c>
      <c r="O288" s="36" t="s">
        <v>14</v>
      </c>
      <c r="P288" s="18"/>
      <c r="Q288" s="28" t="s">
        <v>14</v>
      </c>
      <c r="R288" s="18"/>
      <c r="S288" s="28" t="s">
        <v>14</v>
      </c>
      <c r="T288" s="18"/>
      <c r="U288" s="28" t="s">
        <v>14</v>
      </c>
      <c r="V288" s="18"/>
      <c r="W288" s="28" t="s">
        <v>14</v>
      </c>
      <c r="X288" s="18"/>
      <c r="Y288" s="28" t="s">
        <v>14</v>
      </c>
      <c r="Z288" s="18"/>
      <c r="AA288" s="28" t="s">
        <v>14</v>
      </c>
      <c r="AB288" s="18"/>
      <c r="AC288" s="28" t="s">
        <v>14</v>
      </c>
      <c r="AD288" s="18"/>
      <c r="AE288" s="28" t="s">
        <v>14</v>
      </c>
      <c r="AF288" s="25" t="str">
        <f t="shared" si="22"/>
        <v>NA</v>
      </c>
      <c r="AG288" s="59" t="str">
        <f t="shared" si="23"/>
        <v>NÃO AVALIADO POR FALHA DE SINCRONISMO</v>
      </c>
      <c r="AH288" s="28" t="s">
        <v>108</v>
      </c>
      <c r="AI288" s="32" t="s">
        <v>1</v>
      </c>
      <c r="AJ288" s="29" t="str">
        <f t="shared" si="24"/>
        <v>GUARULHOS</v>
      </c>
      <c r="AK288" s="33" t="s">
        <v>13</v>
      </c>
    </row>
    <row r="289" spans="1:37" ht="30" customHeight="1" x14ac:dyDescent="0.2">
      <c r="A289" s="94" t="s">
        <v>101</v>
      </c>
      <c r="B289" s="94">
        <v>2617945444</v>
      </c>
      <c r="C289" s="94" t="s">
        <v>1734</v>
      </c>
      <c r="D289" s="94" t="s">
        <v>53</v>
      </c>
      <c r="E289" s="94" t="s">
        <v>102</v>
      </c>
      <c r="F289" s="94" t="s">
        <v>1392</v>
      </c>
      <c r="G289" s="94">
        <v>51</v>
      </c>
      <c r="H289" s="94" t="s">
        <v>1960</v>
      </c>
      <c r="I289" s="94" t="s">
        <v>237</v>
      </c>
      <c r="J289" s="94" t="s">
        <v>1736</v>
      </c>
      <c r="K289" s="95" t="s">
        <v>1957</v>
      </c>
      <c r="L289" s="94" t="s">
        <v>1624</v>
      </c>
      <c r="M289" s="94" t="s">
        <v>1959</v>
      </c>
      <c r="N289" s="94" t="s">
        <v>1409</v>
      </c>
      <c r="O289" s="36" t="s">
        <v>14</v>
      </c>
      <c r="P289" s="18"/>
      <c r="Q289" s="28" t="s">
        <v>14</v>
      </c>
      <c r="R289" s="18"/>
      <c r="S289" s="28" t="s">
        <v>14</v>
      </c>
      <c r="T289" s="18"/>
      <c r="U289" s="28" t="s">
        <v>14</v>
      </c>
      <c r="V289" s="18"/>
      <c r="W289" s="28" t="s">
        <v>14</v>
      </c>
      <c r="X289" s="18"/>
      <c r="Y289" s="28" t="s">
        <v>14</v>
      </c>
      <c r="Z289" s="18"/>
      <c r="AA289" s="28" t="s">
        <v>14</v>
      </c>
      <c r="AB289" s="18"/>
      <c r="AC289" s="28" t="s">
        <v>14</v>
      </c>
      <c r="AD289" s="18"/>
      <c r="AE289" s="28" t="s">
        <v>14</v>
      </c>
      <c r="AF289" s="25" t="str">
        <f t="shared" si="22"/>
        <v>NA</v>
      </c>
      <c r="AG289" s="59" t="str">
        <f t="shared" si="23"/>
        <v>NÃO AVALIADO POR FALHA DE SINCRONISMO</v>
      </c>
      <c r="AH289" s="28" t="s">
        <v>108</v>
      </c>
      <c r="AI289" s="32" t="s">
        <v>1</v>
      </c>
      <c r="AJ289" s="29" t="str">
        <f t="shared" si="24"/>
        <v>GUARULHOS</v>
      </c>
      <c r="AK289" s="33" t="s">
        <v>13</v>
      </c>
    </row>
    <row r="290" spans="1:37" ht="30" customHeight="1" x14ac:dyDescent="0.2">
      <c r="A290" s="94" t="s">
        <v>101</v>
      </c>
      <c r="B290" s="94">
        <v>2617948578</v>
      </c>
      <c r="C290" s="94" t="s">
        <v>1734</v>
      </c>
      <c r="D290" s="94" t="s">
        <v>53</v>
      </c>
      <c r="E290" s="94" t="s">
        <v>102</v>
      </c>
      <c r="F290" s="94" t="s">
        <v>1392</v>
      </c>
      <c r="G290" s="94">
        <v>42</v>
      </c>
      <c r="H290" s="94" t="s">
        <v>1961</v>
      </c>
      <c r="I290" s="94" t="s">
        <v>237</v>
      </c>
      <c r="J290" s="94" t="s">
        <v>1736</v>
      </c>
      <c r="K290" s="95" t="s">
        <v>1957</v>
      </c>
      <c r="L290" s="94" t="s">
        <v>1624</v>
      </c>
      <c r="M290" s="94" t="s">
        <v>1958</v>
      </c>
      <c r="N290" s="94" t="s">
        <v>1409</v>
      </c>
      <c r="O290" s="36" t="s">
        <v>14</v>
      </c>
      <c r="P290" s="18"/>
      <c r="Q290" s="28" t="s">
        <v>14</v>
      </c>
      <c r="R290" s="18"/>
      <c r="S290" s="28" t="s">
        <v>14</v>
      </c>
      <c r="T290" s="18"/>
      <c r="U290" s="28" t="s">
        <v>14</v>
      </c>
      <c r="V290" s="18"/>
      <c r="W290" s="28" t="s">
        <v>14</v>
      </c>
      <c r="X290" s="18"/>
      <c r="Y290" s="28" t="s">
        <v>14</v>
      </c>
      <c r="Z290" s="18"/>
      <c r="AA290" s="28" t="s">
        <v>14</v>
      </c>
      <c r="AB290" s="18"/>
      <c r="AC290" s="28" t="s">
        <v>14</v>
      </c>
      <c r="AD290" s="18"/>
      <c r="AE290" s="28" t="s">
        <v>14</v>
      </c>
      <c r="AF290" s="25" t="str">
        <f t="shared" si="22"/>
        <v>NA</v>
      </c>
      <c r="AG290" s="59" t="str">
        <f t="shared" si="23"/>
        <v>NÃO AVALIADO POR FALHA DE SINCRONISMO</v>
      </c>
      <c r="AH290" s="28" t="s">
        <v>108</v>
      </c>
      <c r="AI290" s="32" t="s">
        <v>1</v>
      </c>
      <c r="AJ290" s="29" t="str">
        <f t="shared" si="24"/>
        <v>GUARULHOS</v>
      </c>
      <c r="AK290" s="33" t="s">
        <v>13</v>
      </c>
    </row>
    <row r="291" spans="1:37" ht="30" customHeight="1" x14ac:dyDescent="0.2">
      <c r="A291" s="94" t="s">
        <v>101</v>
      </c>
      <c r="B291" s="94">
        <v>2617949756</v>
      </c>
      <c r="C291" s="94" t="s">
        <v>1734</v>
      </c>
      <c r="D291" s="94" t="s">
        <v>53</v>
      </c>
      <c r="E291" s="94" t="s">
        <v>102</v>
      </c>
      <c r="F291" s="94" t="s">
        <v>1392</v>
      </c>
      <c r="G291" s="94">
        <v>35</v>
      </c>
      <c r="H291" s="94" t="s">
        <v>1962</v>
      </c>
      <c r="I291" s="94" t="s">
        <v>237</v>
      </c>
      <c r="J291" s="94" t="s">
        <v>1736</v>
      </c>
      <c r="K291" s="95" t="s">
        <v>1957</v>
      </c>
      <c r="L291" s="94" t="s">
        <v>1624</v>
      </c>
      <c r="M291" s="94" t="s">
        <v>1959</v>
      </c>
      <c r="N291" s="94" t="s">
        <v>1409</v>
      </c>
      <c r="O291" s="36" t="s">
        <v>14</v>
      </c>
      <c r="P291" s="18"/>
      <c r="Q291" s="28" t="s">
        <v>14</v>
      </c>
      <c r="R291" s="18"/>
      <c r="S291" s="28" t="s">
        <v>14</v>
      </c>
      <c r="T291" s="18"/>
      <c r="U291" s="28" t="s">
        <v>14</v>
      </c>
      <c r="V291" s="18"/>
      <c r="W291" s="28" t="s">
        <v>14</v>
      </c>
      <c r="X291" s="18"/>
      <c r="Y291" s="28" t="s">
        <v>14</v>
      </c>
      <c r="Z291" s="18"/>
      <c r="AA291" s="28" t="s">
        <v>14</v>
      </c>
      <c r="AB291" s="18"/>
      <c r="AC291" s="28" t="s">
        <v>14</v>
      </c>
      <c r="AD291" s="18"/>
      <c r="AE291" s="28" t="s">
        <v>14</v>
      </c>
      <c r="AF291" s="25" t="str">
        <f t="shared" si="22"/>
        <v>NA</v>
      </c>
      <c r="AG291" s="59" t="str">
        <f t="shared" si="23"/>
        <v>NÃO AVALIADO POR FALHA DE SINCRONISMO</v>
      </c>
      <c r="AH291" s="28" t="s">
        <v>108</v>
      </c>
      <c r="AI291" s="32" t="s">
        <v>1</v>
      </c>
      <c r="AJ291" s="29" t="str">
        <f t="shared" si="24"/>
        <v>GUARULHOS</v>
      </c>
      <c r="AK291" s="33" t="s">
        <v>13</v>
      </c>
    </row>
    <row r="292" spans="1:37" ht="30" customHeight="1" x14ac:dyDescent="0.2">
      <c r="A292" s="94" t="s">
        <v>101</v>
      </c>
      <c r="B292" s="94">
        <v>2617949834</v>
      </c>
      <c r="C292" s="94" t="s">
        <v>1734</v>
      </c>
      <c r="D292" s="94" t="s">
        <v>53</v>
      </c>
      <c r="E292" s="94" t="s">
        <v>102</v>
      </c>
      <c r="F292" s="94" t="s">
        <v>1392</v>
      </c>
      <c r="G292" s="94">
        <v>31</v>
      </c>
      <c r="H292" s="94" t="s">
        <v>117</v>
      </c>
      <c r="I292" s="94" t="s">
        <v>237</v>
      </c>
      <c r="J292" s="94" t="s">
        <v>1736</v>
      </c>
      <c r="K292" s="95" t="s">
        <v>1957</v>
      </c>
      <c r="L292" s="94" t="s">
        <v>1624</v>
      </c>
      <c r="M292" s="94" t="s">
        <v>1959</v>
      </c>
      <c r="N292" s="94" t="s">
        <v>1409</v>
      </c>
      <c r="O292" s="36" t="s">
        <v>14</v>
      </c>
      <c r="P292" s="18"/>
      <c r="Q292" s="28" t="s">
        <v>14</v>
      </c>
      <c r="R292" s="18"/>
      <c r="S292" s="28" t="s">
        <v>14</v>
      </c>
      <c r="T292" s="18"/>
      <c r="U292" s="28" t="s">
        <v>14</v>
      </c>
      <c r="V292" s="18"/>
      <c r="W292" s="28" t="s">
        <v>14</v>
      </c>
      <c r="X292" s="18"/>
      <c r="Y292" s="28" t="s">
        <v>14</v>
      </c>
      <c r="Z292" s="18"/>
      <c r="AA292" s="28" t="s">
        <v>14</v>
      </c>
      <c r="AB292" s="18"/>
      <c r="AC292" s="28" t="s">
        <v>14</v>
      </c>
      <c r="AD292" s="18"/>
      <c r="AE292" s="28" t="s">
        <v>14</v>
      </c>
      <c r="AF292" s="25" t="str">
        <f t="shared" si="22"/>
        <v>NA</v>
      </c>
      <c r="AG292" s="59" t="str">
        <f t="shared" si="23"/>
        <v>NÃO AVALIADO POR FALHA DE SINCRONISMO</v>
      </c>
      <c r="AH292" s="28" t="s">
        <v>108</v>
      </c>
      <c r="AI292" s="32" t="s">
        <v>1</v>
      </c>
      <c r="AJ292" s="29" t="str">
        <f t="shared" si="24"/>
        <v>GUARULHOS</v>
      </c>
      <c r="AK292" s="33" t="s">
        <v>13</v>
      </c>
    </row>
    <row r="293" spans="1:37" ht="30" customHeight="1" x14ac:dyDescent="0.2">
      <c r="A293" s="94" t="s">
        <v>101</v>
      </c>
      <c r="B293" s="94">
        <v>2617950850</v>
      </c>
      <c r="C293" s="94" t="s">
        <v>1734</v>
      </c>
      <c r="D293" s="94" t="s">
        <v>53</v>
      </c>
      <c r="E293" s="94" t="s">
        <v>102</v>
      </c>
      <c r="F293" s="94" t="s">
        <v>1392</v>
      </c>
      <c r="G293" s="94">
        <v>23</v>
      </c>
      <c r="H293" s="94" t="s">
        <v>1963</v>
      </c>
      <c r="I293" s="94" t="s">
        <v>237</v>
      </c>
      <c r="J293" s="94" t="s">
        <v>1736</v>
      </c>
      <c r="K293" s="95" t="s">
        <v>1957</v>
      </c>
      <c r="L293" s="94" t="s">
        <v>1624</v>
      </c>
      <c r="M293" s="94" t="s">
        <v>1959</v>
      </c>
      <c r="N293" s="94" t="s">
        <v>1409</v>
      </c>
      <c r="O293" s="36" t="s">
        <v>14</v>
      </c>
      <c r="P293" s="18"/>
      <c r="Q293" s="28" t="s">
        <v>14</v>
      </c>
      <c r="R293" s="18"/>
      <c r="S293" s="28" t="s">
        <v>14</v>
      </c>
      <c r="T293" s="18"/>
      <c r="U293" s="28" t="s">
        <v>14</v>
      </c>
      <c r="V293" s="18"/>
      <c r="W293" s="28" t="s">
        <v>14</v>
      </c>
      <c r="X293" s="18"/>
      <c r="Y293" s="28" t="s">
        <v>14</v>
      </c>
      <c r="Z293" s="18"/>
      <c r="AA293" s="28" t="s">
        <v>14</v>
      </c>
      <c r="AB293" s="18"/>
      <c r="AC293" s="28" t="s">
        <v>14</v>
      </c>
      <c r="AD293" s="18"/>
      <c r="AE293" s="28" t="s">
        <v>14</v>
      </c>
      <c r="AF293" s="25" t="str">
        <f t="shared" si="22"/>
        <v>NA</v>
      </c>
      <c r="AG293" s="59" t="str">
        <f t="shared" si="23"/>
        <v>NÃO AVALIADO POR FALHA DE SINCRONISMO</v>
      </c>
      <c r="AH293" s="28" t="s">
        <v>108</v>
      </c>
      <c r="AI293" s="32" t="s">
        <v>1</v>
      </c>
      <c r="AJ293" s="29" t="str">
        <f t="shared" si="24"/>
        <v>GUARULHOS</v>
      </c>
      <c r="AK293" s="33" t="s">
        <v>13</v>
      </c>
    </row>
    <row r="294" spans="1:37" ht="30" customHeight="1" x14ac:dyDescent="0.2">
      <c r="A294" s="94" t="s">
        <v>101</v>
      </c>
      <c r="B294" s="94">
        <v>2618088404</v>
      </c>
      <c r="C294" s="94" t="s">
        <v>1734</v>
      </c>
      <c r="D294" s="94" t="s">
        <v>53</v>
      </c>
      <c r="E294" s="94" t="s">
        <v>102</v>
      </c>
      <c r="F294" s="94" t="s">
        <v>1392</v>
      </c>
      <c r="G294" s="94">
        <v>111</v>
      </c>
      <c r="H294" s="94" t="s">
        <v>117</v>
      </c>
      <c r="I294" s="94" t="s">
        <v>237</v>
      </c>
      <c r="J294" s="94" t="s">
        <v>1736</v>
      </c>
      <c r="K294" s="95" t="s">
        <v>1957</v>
      </c>
      <c r="L294" s="94" t="s">
        <v>1624</v>
      </c>
      <c r="M294" s="94" t="s">
        <v>1958</v>
      </c>
      <c r="N294" s="94" t="s">
        <v>1409</v>
      </c>
      <c r="O294" s="36" t="s">
        <v>14</v>
      </c>
      <c r="P294" s="18"/>
      <c r="Q294" s="28" t="s">
        <v>14</v>
      </c>
      <c r="R294" s="18"/>
      <c r="S294" s="28" t="s">
        <v>14</v>
      </c>
      <c r="T294" s="18"/>
      <c r="U294" s="28" t="s">
        <v>14</v>
      </c>
      <c r="V294" s="18"/>
      <c r="W294" s="28" t="s">
        <v>14</v>
      </c>
      <c r="X294" s="18"/>
      <c r="Y294" s="28" t="s">
        <v>14</v>
      </c>
      <c r="Z294" s="18"/>
      <c r="AA294" s="28" t="s">
        <v>14</v>
      </c>
      <c r="AB294" s="18"/>
      <c r="AC294" s="28" t="s">
        <v>14</v>
      </c>
      <c r="AD294" s="18"/>
      <c r="AE294" s="28" t="s">
        <v>14</v>
      </c>
      <c r="AF294" s="25" t="str">
        <f t="shared" si="22"/>
        <v>NA</v>
      </c>
      <c r="AG294" s="59" t="str">
        <f t="shared" si="23"/>
        <v>NÃO AVALIADO POR FALHA DE SINCRONISMO</v>
      </c>
      <c r="AH294" s="28" t="s">
        <v>108</v>
      </c>
      <c r="AI294" s="32" t="s">
        <v>1</v>
      </c>
      <c r="AJ294" s="29" t="str">
        <f t="shared" si="24"/>
        <v>GUARULHOS</v>
      </c>
      <c r="AK294" s="33" t="s">
        <v>13</v>
      </c>
    </row>
    <row r="295" spans="1:37" ht="30" customHeight="1" x14ac:dyDescent="0.2">
      <c r="A295" s="94" t="s">
        <v>101</v>
      </c>
      <c r="B295" s="94">
        <v>2618089623</v>
      </c>
      <c r="C295" s="94" t="s">
        <v>1734</v>
      </c>
      <c r="D295" s="94" t="s">
        <v>53</v>
      </c>
      <c r="E295" s="94" t="s">
        <v>102</v>
      </c>
      <c r="F295" s="94" t="s">
        <v>1392</v>
      </c>
      <c r="G295" s="94">
        <v>106</v>
      </c>
      <c r="H295" s="94" t="s">
        <v>117</v>
      </c>
      <c r="I295" s="94" t="s">
        <v>237</v>
      </c>
      <c r="J295" s="94" t="s">
        <v>1736</v>
      </c>
      <c r="K295" s="95" t="s">
        <v>1957</v>
      </c>
      <c r="L295" s="94" t="s">
        <v>1624</v>
      </c>
      <c r="M295" s="94" t="s">
        <v>1958</v>
      </c>
      <c r="N295" s="94" t="s">
        <v>1409</v>
      </c>
      <c r="O295" s="36" t="s">
        <v>14</v>
      </c>
      <c r="P295" s="18"/>
      <c r="Q295" s="28" t="s">
        <v>14</v>
      </c>
      <c r="R295" s="18"/>
      <c r="S295" s="28" t="s">
        <v>14</v>
      </c>
      <c r="T295" s="18"/>
      <c r="U295" s="28" t="s">
        <v>14</v>
      </c>
      <c r="V295" s="18"/>
      <c r="W295" s="28" t="s">
        <v>14</v>
      </c>
      <c r="X295" s="18"/>
      <c r="Y295" s="28" t="s">
        <v>14</v>
      </c>
      <c r="Z295" s="18"/>
      <c r="AA295" s="28" t="s">
        <v>14</v>
      </c>
      <c r="AB295" s="18"/>
      <c r="AC295" s="28" t="s">
        <v>14</v>
      </c>
      <c r="AD295" s="18"/>
      <c r="AE295" s="28" t="s">
        <v>14</v>
      </c>
      <c r="AF295" s="25" t="str">
        <f t="shared" si="22"/>
        <v>NA</v>
      </c>
      <c r="AG295" s="59" t="str">
        <f t="shared" si="23"/>
        <v>NÃO AVALIADO POR FALHA DE SINCRONISMO</v>
      </c>
      <c r="AH295" s="28" t="s">
        <v>108</v>
      </c>
      <c r="AI295" s="32" t="s">
        <v>1</v>
      </c>
      <c r="AJ295" s="29" t="str">
        <f t="shared" si="24"/>
        <v>GUARULHOS</v>
      </c>
      <c r="AK295" s="33" t="s">
        <v>13</v>
      </c>
    </row>
    <row r="296" spans="1:37" ht="30" customHeight="1" x14ac:dyDescent="0.2">
      <c r="A296" s="94" t="s">
        <v>101</v>
      </c>
      <c r="B296" s="94">
        <v>2618090187</v>
      </c>
      <c r="C296" s="94" t="s">
        <v>1734</v>
      </c>
      <c r="D296" s="94" t="s">
        <v>53</v>
      </c>
      <c r="E296" s="94" t="s">
        <v>102</v>
      </c>
      <c r="F296" s="94" t="s">
        <v>1392</v>
      </c>
      <c r="G296" s="94">
        <v>103</v>
      </c>
      <c r="H296" s="94"/>
      <c r="I296" s="94" t="s">
        <v>237</v>
      </c>
      <c r="J296" s="94" t="s">
        <v>1736</v>
      </c>
      <c r="K296" s="95" t="s">
        <v>1957</v>
      </c>
      <c r="L296" s="94" t="s">
        <v>1624</v>
      </c>
      <c r="M296" s="94" t="s">
        <v>1958</v>
      </c>
      <c r="N296" s="94" t="s">
        <v>1409</v>
      </c>
      <c r="O296" s="36" t="s">
        <v>14</v>
      </c>
      <c r="P296" s="18"/>
      <c r="Q296" s="28" t="s">
        <v>14</v>
      </c>
      <c r="R296" s="18"/>
      <c r="S296" s="28" t="s">
        <v>14</v>
      </c>
      <c r="T296" s="18"/>
      <c r="U296" s="28" t="s">
        <v>14</v>
      </c>
      <c r="V296" s="18"/>
      <c r="W296" s="28" t="s">
        <v>14</v>
      </c>
      <c r="X296" s="18"/>
      <c r="Y296" s="28" t="s">
        <v>14</v>
      </c>
      <c r="Z296" s="18"/>
      <c r="AA296" s="28" t="s">
        <v>14</v>
      </c>
      <c r="AB296" s="18"/>
      <c r="AC296" s="28" t="s">
        <v>14</v>
      </c>
      <c r="AD296" s="18"/>
      <c r="AE296" s="28" t="s">
        <v>14</v>
      </c>
      <c r="AF296" s="25" t="str">
        <f t="shared" si="22"/>
        <v>NA</v>
      </c>
      <c r="AG296" s="59" t="str">
        <f t="shared" si="23"/>
        <v>NÃO AVALIADO POR FALHA DE SINCRONISMO</v>
      </c>
      <c r="AH296" s="28" t="s">
        <v>108</v>
      </c>
      <c r="AI296" s="32" t="s">
        <v>1</v>
      </c>
      <c r="AJ296" s="29" t="str">
        <f t="shared" si="24"/>
        <v>GUARULHOS</v>
      </c>
      <c r="AK296" s="33" t="s">
        <v>13</v>
      </c>
    </row>
    <row r="297" spans="1:37" ht="30" customHeight="1" x14ac:dyDescent="0.2">
      <c r="A297" s="94" t="s">
        <v>101</v>
      </c>
      <c r="B297" s="94">
        <v>2618090421</v>
      </c>
      <c r="C297" s="94" t="s">
        <v>1734</v>
      </c>
      <c r="D297" s="94" t="s">
        <v>53</v>
      </c>
      <c r="E297" s="94" t="s">
        <v>102</v>
      </c>
      <c r="F297" s="94" t="s">
        <v>1392</v>
      </c>
      <c r="G297" s="94">
        <v>100</v>
      </c>
      <c r="H297" s="94" t="s">
        <v>1965</v>
      </c>
      <c r="I297" s="94" t="s">
        <v>237</v>
      </c>
      <c r="J297" s="94" t="s">
        <v>1736</v>
      </c>
      <c r="K297" s="95" t="s">
        <v>1957</v>
      </c>
      <c r="L297" s="94" t="s">
        <v>1624</v>
      </c>
      <c r="M297" s="94" t="s">
        <v>1958</v>
      </c>
      <c r="N297" s="94" t="s">
        <v>1409</v>
      </c>
      <c r="O297" s="36" t="s">
        <v>14</v>
      </c>
      <c r="P297" s="18"/>
      <c r="Q297" s="28" t="s">
        <v>14</v>
      </c>
      <c r="R297" s="18"/>
      <c r="S297" s="28" t="s">
        <v>14</v>
      </c>
      <c r="T297" s="18"/>
      <c r="U297" s="28" t="s">
        <v>14</v>
      </c>
      <c r="V297" s="18"/>
      <c r="W297" s="28" t="s">
        <v>14</v>
      </c>
      <c r="X297" s="18"/>
      <c r="Y297" s="28" t="s">
        <v>14</v>
      </c>
      <c r="Z297" s="18"/>
      <c r="AA297" s="28" t="s">
        <v>14</v>
      </c>
      <c r="AB297" s="18"/>
      <c r="AC297" s="28" t="s">
        <v>14</v>
      </c>
      <c r="AD297" s="18"/>
      <c r="AE297" s="28" t="s">
        <v>14</v>
      </c>
      <c r="AF297" s="25" t="str">
        <f t="shared" si="22"/>
        <v>NA</v>
      </c>
      <c r="AG297" s="59" t="str">
        <f t="shared" si="23"/>
        <v>NÃO AVALIADO POR FALHA DE SINCRONISMO</v>
      </c>
      <c r="AH297" s="28" t="s">
        <v>108</v>
      </c>
      <c r="AI297" s="32" t="s">
        <v>1</v>
      </c>
      <c r="AJ297" s="29" t="str">
        <f t="shared" si="24"/>
        <v>GUARULHOS</v>
      </c>
      <c r="AK297" s="33" t="s">
        <v>13</v>
      </c>
    </row>
    <row r="298" spans="1:37" ht="30" customHeight="1" x14ac:dyDescent="0.2">
      <c r="A298" s="94" t="s">
        <v>101</v>
      </c>
      <c r="B298" s="94">
        <v>2618033779</v>
      </c>
      <c r="C298" s="94" t="s">
        <v>1786</v>
      </c>
      <c r="D298" s="94" t="s">
        <v>54</v>
      </c>
      <c r="E298" s="94" t="s">
        <v>102</v>
      </c>
      <c r="F298" s="94" t="s">
        <v>1392</v>
      </c>
      <c r="G298" s="94">
        <v>135</v>
      </c>
      <c r="H298" s="94" t="s">
        <v>117</v>
      </c>
      <c r="I298" s="94" t="s">
        <v>237</v>
      </c>
      <c r="J298" s="94" t="s">
        <v>1787</v>
      </c>
      <c r="K298" s="95" t="s">
        <v>1966</v>
      </c>
      <c r="L298" s="94" t="s">
        <v>1624</v>
      </c>
      <c r="M298" s="94" t="s">
        <v>1944</v>
      </c>
      <c r="N298" s="94" t="s">
        <v>1409</v>
      </c>
      <c r="O298" s="36" t="s">
        <v>14</v>
      </c>
      <c r="P298" s="18"/>
      <c r="Q298" s="28" t="s">
        <v>14</v>
      </c>
      <c r="R298" s="18"/>
      <c r="S298" s="28" t="s">
        <v>14</v>
      </c>
      <c r="T298" s="18"/>
      <c r="U298" s="28" t="s">
        <v>14</v>
      </c>
      <c r="V298" s="18"/>
      <c r="W298" s="28" t="s">
        <v>14</v>
      </c>
      <c r="X298" s="18"/>
      <c r="Y298" s="28" t="s">
        <v>14</v>
      </c>
      <c r="Z298" s="18"/>
      <c r="AA298" s="28" t="s">
        <v>14</v>
      </c>
      <c r="AB298" s="18"/>
      <c r="AC298" s="28" t="s">
        <v>14</v>
      </c>
      <c r="AD298" s="18"/>
      <c r="AE298" s="28" t="s">
        <v>14</v>
      </c>
      <c r="AF298" s="25" t="str">
        <f t="shared" si="22"/>
        <v>NA</v>
      </c>
      <c r="AG298" s="59" t="str">
        <f t="shared" si="23"/>
        <v>NÃO AVALIADO POR FALHA DE SINCRONISMO</v>
      </c>
      <c r="AH298" s="28" t="s">
        <v>108</v>
      </c>
      <c r="AI298" s="32" t="s">
        <v>1</v>
      </c>
      <c r="AJ298" s="29" t="str">
        <f t="shared" si="24"/>
        <v>GUARULHOS</v>
      </c>
      <c r="AK298" s="33" t="s">
        <v>13</v>
      </c>
    </row>
  </sheetData>
  <autoFilter ref="A1:AK298" xr:uid="{00000000-0001-0000-0800-000000000000}"/>
  <sortState xmlns:xlrd2="http://schemas.microsoft.com/office/spreadsheetml/2017/richdata2" ref="L2:L28">
    <sortCondition ref="L2:L28"/>
  </sortState>
  <conditionalFormatting sqref="A1:E1">
    <cfRule type="duplicateValues" dxfId="19" priority="177"/>
    <cfRule type="duplicateValues" dxfId="18" priority="178"/>
  </conditionalFormatting>
  <conditionalFormatting sqref="AE16:AE28 AE33:AE41 AE42:AF48 AE49:AE55 AE57:AE60 AE63:AE77 AE78:AF79 AE80:AE96 AE102:AE110 AE111:AF112 AE113:AE123 AE124:AF125 AE126:AE155 AE158:AE189 AE190:AF190 AE191:AE277 AE287:AE297 AE298:AF298 AE278:AF286 AE156:AF157 AE97:AF101 AE61:AF62 AE56:AF56 AE29:AF32 AE4:AF15 O2:O298 AF2:AF297 Q2:Q298 S2:S298 U2:U298 W2:W298 Y2:Y298 AA2:AA298 AC2:AC298 AH2:AH298">
    <cfRule type="expression" dxfId="17" priority="137">
      <formula>O2=""</formula>
    </cfRule>
    <cfRule type="expression" dxfId="16" priority="138" stopIfTrue="1">
      <formula>NOT(OR(O2="C",O2="NC",O2="SF",O2="NA"))</formula>
    </cfRule>
  </conditionalFormatting>
  <conditionalFormatting sqref="AE2:AE3">
    <cfRule type="expression" dxfId="15" priority="115">
      <formula>AE2=""</formula>
    </cfRule>
    <cfRule type="expression" dxfId="14" priority="116" stopIfTrue="1">
      <formula>NOT(OR(AE2="C",AE2="NC",AE2="SF",AE2="NA"))</formula>
    </cfRule>
  </conditionalFormatting>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A1:AE371"/>
  <sheetViews>
    <sheetView topLeftCell="AB1" zoomScale="55" zoomScaleNormal="55" workbookViewId="0">
      <pane ySplit="1" topLeftCell="A2" activePane="bottomLeft" state="frozen"/>
      <selection pane="bottomLeft" activeCell="AE1" sqref="AE1"/>
    </sheetView>
  </sheetViews>
  <sheetFormatPr defaultColWidth="9.140625" defaultRowHeight="30" customHeight="1" x14ac:dyDescent="0.2"/>
  <cols>
    <col min="1" max="1" width="61.7109375" style="11" bestFit="1" customWidth="1"/>
    <col min="2" max="2" width="20.7109375" style="11" bestFit="1" customWidth="1"/>
    <col min="3" max="3" width="42.7109375" style="11" bestFit="1" customWidth="1"/>
    <col min="4" max="4" width="20.140625" style="11" bestFit="1" customWidth="1"/>
    <col min="5" max="5" width="23.5703125" style="11" bestFit="1" customWidth="1"/>
    <col min="6" max="6" width="57.5703125" style="11" bestFit="1" customWidth="1"/>
    <col min="7" max="7" width="18.85546875" style="11" bestFit="1" customWidth="1"/>
    <col min="8" max="8" width="20.42578125" style="11" bestFit="1" customWidth="1"/>
    <col min="9" max="9" width="18.85546875" style="11" bestFit="1" customWidth="1"/>
    <col min="10" max="10" width="45" style="11" bestFit="1" customWidth="1"/>
    <col min="11" max="11" width="41.28515625" style="11" bestFit="1" customWidth="1"/>
    <col min="12" max="12" width="24.85546875" style="11" bestFit="1" customWidth="1"/>
    <col min="13" max="13" width="23" style="11" bestFit="1" customWidth="1"/>
    <col min="14" max="14" width="44.7109375" style="11" bestFit="1" customWidth="1"/>
    <col min="15" max="15" width="24.85546875" style="7" bestFit="1" customWidth="1"/>
    <col min="16" max="16" width="38" style="7" bestFit="1" customWidth="1"/>
    <col min="17" max="17" width="20.140625" style="7" bestFit="1" customWidth="1"/>
    <col min="18" max="18" width="34.7109375" style="7" bestFit="1" customWidth="1"/>
    <col min="19" max="19" width="30" style="7" bestFit="1" customWidth="1"/>
    <col min="20" max="20" width="26.42578125" style="11" bestFit="1" customWidth="1"/>
    <col min="21" max="21" width="22.42578125" style="7" bestFit="1" customWidth="1"/>
    <col min="22" max="22" width="26.42578125" style="11" bestFit="1" customWidth="1"/>
    <col min="23" max="23" width="29.42578125" style="7" bestFit="1" customWidth="1"/>
    <col min="24" max="24" width="42" style="7" bestFit="1" customWidth="1"/>
    <col min="25" max="26" width="42.42578125" style="7" bestFit="1" customWidth="1"/>
    <col min="27" max="27" width="53.28515625" style="7" customWidth="1"/>
    <col min="28" max="28" width="41.42578125" style="7" bestFit="1" customWidth="1"/>
    <col min="29" max="29" width="23.5703125" style="11" bestFit="1" customWidth="1"/>
    <col min="30" max="30" width="25.5703125" style="7" bestFit="1" customWidth="1"/>
    <col min="31" max="31" width="55.42578125" style="7" bestFit="1" customWidth="1"/>
    <col min="32" max="16384" width="9.140625" style="9"/>
  </cols>
  <sheetData>
    <row r="1" spans="1:31" s="7" customFormat="1" ht="30" customHeight="1" x14ac:dyDescent="0.25">
      <c r="A1" s="78" t="s">
        <v>72</v>
      </c>
      <c r="B1" s="78" t="s">
        <v>73</v>
      </c>
      <c r="C1" s="78" t="s">
        <v>74</v>
      </c>
      <c r="D1" s="78" t="s">
        <v>75</v>
      </c>
      <c r="E1" s="78" t="s">
        <v>76</v>
      </c>
      <c r="F1" s="78" t="s">
        <v>77</v>
      </c>
      <c r="G1" s="78" t="s">
        <v>78</v>
      </c>
      <c r="H1" s="78" t="s">
        <v>79</v>
      </c>
      <c r="I1" s="78" t="s">
        <v>80</v>
      </c>
      <c r="J1" s="78" t="s">
        <v>81</v>
      </c>
      <c r="K1" s="78" t="s">
        <v>82</v>
      </c>
      <c r="L1" s="78" t="s">
        <v>83</v>
      </c>
      <c r="M1" s="78" t="s">
        <v>84</v>
      </c>
      <c r="N1" s="78" t="s">
        <v>1683</v>
      </c>
      <c r="O1" s="79" t="s">
        <v>5</v>
      </c>
      <c r="P1" s="51" t="s">
        <v>1967</v>
      </c>
      <c r="Q1" s="51" t="s">
        <v>17</v>
      </c>
      <c r="R1" s="51" t="s">
        <v>1968</v>
      </c>
      <c r="S1" s="51" t="s">
        <v>18</v>
      </c>
      <c r="T1" s="53" t="s">
        <v>1969</v>
      </c>
      <c r="U1" s="51" t="s">
        <v>19</v>
      </c>
      <c r="V1" s="53" t="s">
        <v>1970</v>
      </c>
      <c r="W1" s="51" t="s">
        <v>11</v>
      </c>
      <c r="X1" s="51" t="s">
        <v>1971</v>
      </c>
      <c r="Y1" s="58" t="s">
        <v>2</v>
      </c>
      <c r="Z1" s="58" t="s">
        <v>1687</v>
      </c>
      <c r="AA1" s="51" t="s">
        <v>96</v>
      </c>
      <c r="AB1" s="51" t="s">
        <v>3</v>
      </c>
      <c r="AC1" s="53" t="s">
        <v>1972</v>
      </c>
      <c r="AD1" s="51" t="s">
        <v>99</v>
      </c>
      <c r="AE1" s="51" t="s">
        <v>100</v>
      </c>
    </row>
    <row r="2" spans="1:31" s="7" customFormat="1" ht="30" customHeight="1" x14ac:dyDescent="0.2">
      <c r="A2" s="82" t="s">
        <v>101</v>
      </c>
      <c r="B2" s="82">
        <v>2689275455</v>
      </c>
      <c r="C2" s="82" t="s">
        <v>60</v>
      </c>
      <c r="D2" s="82" t="s">
        <v>16</v>
      </c>
      <c r="E2" s="82" t="s">
        <v>102</v>
      </c>
      <c r="F2" s="82" t="s">
        <v>1973</v>
      </c>
      <c r="G2" s="82">
        <v>99</v>
      </c>
      <c r="H2" s="82" t="s">
        <v>1974</v>
      </c>
      <c r="I2" s="82" t="s">
        <v>940</v>
      </c>
      <c r="J2" s="82" t="s">
        <v>1975</v>
      </c>
      <c r="K2" s="82" t="s">
        <v>117</v>
      </c>
      <c r="L2" s="86" t="s">
        <v>106</v>
      </c>
      <c r="M2" s="86">
        <v>46026.480555555558</v>
      </c>
      <c r="N2" s="82" t="s">
        <v>767</v>
      </c>
      <c r="O2" s="85" t="s">
        <v>108</v>
      </c>
      <c r="P2" s="76"/>
      <c r="Q2" s="39" t="s">
        <v>108</v>
      </c>
      <c r="R2" s="46"/>
      <c r="S2" s="39" t="s">
        <v>108</v>
      </c>
      <c r="T2" s="46"/>
      <c r="U2" s="39" t="s">
        <v>108</v>
      </c>
      <c r="V2" s="46"/>
      <c r="W2" s="39" t="s">
        <v>108</v>
      </c>
      <c r="X2" s="56"/>
      <c r="Y2" s="39" t="s">
        <v>108</v>
      </c>
      <c r="Z2" s="46" t="str">
        <f>IF(AND(O2="",Q2="",S2="",U2="",W2=""),"",IF(OR(AND(O2&lt;&gt;"NA",O2&lt;&gt;"C",O2&lt;&gt;"NC",O2&lt;&gt;"SF",O2&lt;&gt;""),AND(Q2&lt;&gt;"NA",Q2&lt;&gt;"C",Q2&lt;&gt;"NC",Q2&lt;&gt;"SF",Q2&lt;&gt;""),AND(S2&lt;&gt;"NA",S2&lt;&gt;"C",S2&lt;&gt;"NC",S2&lt;&gt;"SF",S2&lt;&gt;""),AND(U2&lt;&gt;"NA",U2&lt;&gt;"C",U2&lt;&gt;"NC",U2&lt;&gt;"SF",U2&lt;&gt;""),AND(W2&lt;&gt;"NA",W2&lt;&gt;"C",W2&lt;&gt;"NC",W2&lt;&gt;"SF",W2&lt;&gt;"")),"FALSO",IF(AND(O2="NA",Q2="NA",S2="NA",U2="NA",W2="NA"),"NA",IF(OR(O2="NC",Q2="NC",S2="NC",U2="NC",W2="NC",O2="SF",Q2="SF",S2="SF",U2="SF",W2="SF"),"NC",IF(OR(O2="C",Q2="C",S2="C",U2="C",W2="C"),"C","")))))</f>
        <v>C</v>
      </c>
      <c r="AA2" s="48" t="str">
        <f t="shared" ref="AA2:AA65" si="0">IF(AND(Y2="C",Z2="C"),"UTILIZOU O PDA CORRETAMENTE",IF(AND(Y2="C",Z2="NC"),"UTILIZOU O PDA CORRETAMENTE. NÃO HÁ FOTOS DE TODAS AS ETAPAS",IF(AND(Y2="NC",Z2="NC"),"NÃO UTILIZOU O PDA",IF(AND(Y2="NA",Z2="NA"),"NÃO AVALIADO POR FALHA DE SINCRONISMO"))))</f>
        <v>UTILIZOU O PDA CORRETAMENTE</v>
      </c>
      <c r="AB2" s="39" t="s">
        <v>108</v>
      </c>
      <c r="AC2" s="57" t="s">
        <v>1</v>
      </c>
      <c r="AD2" s="50" t="str">
        <f>E2</f>
        <v>GUARULHOS</v>
      </c>
      <c r="AE2" s="48" t="s">
        <v>16</v>
      </c>
    </row>
    <row r="3" spans="1:31" ht="30" customHeight="1" x14ac:dyDescent="0.2">
      <c r="A3" s="82" t="s">
        <v>101</v>
      </c>
      <c r="B3" s="82">
        <v>2613736062</v>
      </c>
      <c r="C3" s="82" t="s">
        <v>60</v>
      </c>
      <c r="D3" s="82" t="s">
        <v>16</v>
      </c>
      <c r="E3" s="82" t="s">
        <v>102</v>
      </c>
      <c r="F3" s="82" t="s">
        <v>1976</v>
      </c>
      <c r="G3" s="82">
        <v>86</v>
      </c>
      <c r="H3" s="82" t="s">
        <v>153</v>
      </c>
      <c r="I3" s="82" t="s">
        <v>267</v>
      </c>
      <c r="J3" s="82" t="s">
        <v>1977</v>
      </c>
      <c r="K3" s="82"/>
      <c r="L3" s="86" t="s">
        <v>106</v>
      </c>
      <c r="M3" s="86">
        <v>46026.426388888889</v>
      </c>
      <c r="N3" s="82" t="s">
        <v>767</v>
      </c>
      <c r="O3" s="85" t="s">
        <v>108</v>
      </c>
      <c r="P3" s="41"/>
      <c r="Q3" s="26" t="s">
        <v>108</v>
      </c>
      <c r="R3" s="25"/>
      <c r="S3" s="26" t="s">
        <v>108</v>
      </c>
      <c r="T3" s="25"/>
      <c r="U3" s="26" t="s">
        <v>108</v>
      </c>
      <c r="V3" s="25"/>
      <c r="W3" s="26" t="s">
        <v>108</v>
      </c>
      <c r="X3" s="13"/>
      <c r="Y3" s="26" t="s">
        <v>108</v>
      </c>
      <c r="Z3" s="46" t="str">
        <f t="shared" ref="Z3:Z66" si="1">IF(AND(O3="",Q3="",S3="",U3="",W3=""),"",IF(OR(AND(O3&lt;&gt;"NA",O3&lt;&gt;"C",O3&lt;&gt;"NC",O3&lt;&gt;"SF",O3&lt;&gt;""),AND(Q3&lt;&gt;"NA",Q3&lt;&gt;"C",Q3&lt;&gt;"NC",Q3&lt;&gt;"SF",Q3&lt;&gt;""),AND(S3&lt;&gt;"NA",S3&lt;&gt;"C",S3&lt;&gt;"NC",S3&lt;&gt;"SF",S3&lt;&gt;""),AND(U3&lt;&gt;"NA",U3&lt;&gt;"C",U3&lt;&gt;"NC",U3&lt;&gt;"SF",U3&lt;&gt;""),AND(W3&lt;&gt;"NA",W3&lt;&gt;"C",W3&lt;&gt;"NC",W3&lt;&gt;"SF",W3&lt;&gt;"")),"FALSO",IF(AND(O3="NA",Q3="NA",S3="NA",U3="NA",W3="NA"),"NA",IF(OR(O3="NC",Q3="NC",S3="NC",U3="NC",W3="NC",O3="SF",Q3="SF",S3="SF",U3="SF",W3="SF"),"NC",IF(OR(O3="C",Q3="C",S3="C",U3="C",W3="C"),"C","")))))</f>
        <v>C</v>
      </c>
      <c r="AA3" s="12" t="str">
        <f t="shared" si="0"/>
        <v>UTILIZOU O PDA CORRETAMENTE</v>
      </c>
      <c r="AB3" s="27" t="s">
        <v>108</v>
      </c>
      <c r="AC3" s="19" t="s">
        <v>1</v>
      </c>
      <c r="AD3" s="29" t="str">
        <f t="shared" ref="AD3:AD66" si="2">E3</f>
        <v>GUARULHOS</v>
      </c>
      <c r="AE3" s="12" t="s">
        <v>16</v>
      </c>
    </row>
    <row r="4" spans="1:31" ht="30" customHeight="1" x14ac:dyDescent="0.2">
      <c r="A4" s="82" t="s">
        <v>101</v>
      </c>
      <c r="B4" s="82">
        <v>2613737174</v>
      </c>
      <c r="C4" s="82" t="s">
        <v>60</v>
      </c>
      <c r="D4" s="82" t="s">
        <v>16</v>
      </c>
      <c r="E4" s="82" t="s">
        <v>102</v>
      </c>
      <c r="F4" s="82" t="s">
        <v>1978</v>
      </c>
      <c r="G4" s="82">
        <v>66</v>
      </c>
      <c r="H4" s="82" t="s">
        <v>174</v>
      </c>
      <c r="I4" s="82" t="s">
        <v>154</v>
      </c>
      <c r="J4" s="82" t="s">
        <v>1979</v>
      </c>
      <c r="K4" s="82"/>
      <c r="L4" s="86" t="s">
        <v>106</v>
      </c>
      <c r="M4" s="86">
        <v>46026.421527777777</v>
      </c>
      <c r="N4" s="82" t="s">
        <v>1980</v>
      </c>
      <c r="O4" s="85" t="s">
        <v>108</v>
      </c>
      <c r="P4" s="41"/>
      <c r="Q4" s="26" t="s">
        <v>108</v>
      </c>
      <c r="R4" s="25"/>
      <c r="S4" s="26" t="s">
        <v>108</v>
      </c>
      <c r="T4" s="25"/>
      <c r="U4" s="26" t="s">
        <v>108</v>
      </c>
      <c r="V4" s="25"/>
      <c r="W4" s="26" t="s">
        <v>108</v>
      </c>
      <c r="X4" s="13"/>
      <c r="Y4" s="26" t="s">
        <v>108</v>
      </c>
      <c r="Z4" s="46" t="str">
        <f t="shared" si="1"/>
        <v>C</v>
      </c>
      <c r="AA4" s="73" t="str">
        <f t="shared" si="0"/>
        <v>UTILIZOU O PDA CORRETAMENTE</v>
      </c>
      <c r="AB4" s="27" t="s">
        <v>108</v>
      </c>
      <c r="AC4" s="74" t="s">
        <v>1</v>
      </c>
      <c r="AD4" s="29" t="str">
        <f t="shared" si="2"/>
        <v>GUARULHOS</v>
      </c>
      <c r="AE4" s="12" t="s">
        <v>16</v>
      </c>
    </row>
    <row r="5" spans="1:31" ht="30" customHeight="1" x14ac:dyDescent="0.2">
      <c r="A5" s="82" t="s">
        <v>101</v>
      </c>
      <c r="B5" s="82">
        <v>2613767535</v>
      </c>
      <c r="C5" s="82" t="s">
        <v>60</v>
      </c>
      <c r="D5" s="82" t="s">
        <v>16</v>
      </c>
      <c r="E5" s="82" t="s">
        <v>102</v>
      </c>
      <c r="F5" s="82" t="s">
        <v>152</v>
      </c>
      <c r="G5" s="82">
        <v>27</v>
      </c>
      <c r="H5" s="82" t="s">
        <v>117</v>
      </c>
      <c r="I5" s="82" t="s">
        <v>154</v>
      </c>
      <c r="J5" s="82" t="s">
        <v>1979</v>
      </c>
      <c r="K5" s="82" t="s">
        <v>117</v>
      </c>
      <c r="L5" s="86" t="s">
        <v>106</v>
      </c>
      <c r="M5" s="86">
        <v>46026.427777777775</v>
      </c>
      <c r="N5" s="82" t="s">
        <v>1980</v>
      </c>
      <c r="O5" s="85" t="s">
        <v>108</v>
      </c>
      <c r="P5" s="41"/>
      <c r="Q5" s="26" t="s">
        <v>108</v>
      </c>
      <c r="R5" s="25"/>
      <c r="S5" s="26" t="s">
        <v>108</v>
      </c>
      <c r="T5" s="25"/>
      <c r="U5" s="26" t="s">
        <v>108</v>
      </c>
      <c r="V5" s="25"/>
      <c r="W5" s="26" t="s">
        <v>108</v>
      </c>
      <c r="X5" s="13"/>
      <c r="Y5" s="26" t="s">
        <v>108</v>
      </c>
      <c r="Z5" s="46" t="str">
        <f t="shared" si="1"/>
        <v>C</v>
      </c>
      <c r="AA5" s="73" t="str">
        <f t="shared" si="0"/>
        <v>UTILIZOU O PDA CORRETAMENTE</v>
      </c>
      <c r="AB5" s="27" t="s">
        <v>108</v>
      </c>
      <c r="AC5" s="74" t="s">
        <v>1</v>
      </c>
      <c r="AD5" s="29" t="str">
        <f t="shared" si="2"/>
        <v>GUARULHOS</v>
      </c>
      <c r="AE5" s="12" t="s">
        <v>16</v>
      </c>
    </row>
    <row r="6" spans="1:31" ht="30" customHeight="1" x14ac:dyDescent="0.2">
      <c r="A6" s="82" t="s">
        <v>101</v>
      </c>
      <c r="B6" s="82">
        <v>2689265090</v>
      </c>
      <c r="C6" s="82" t="s">
        <v>60</v>
      </c>
      <c r="D6" s="82" t="s">
        <v>16</v>
      </c>
      <c r="E6" s="82" t="s">
        <v>102</v>
      </c>
      <c r="F6" s="82" t="s">
        <v>1981</v>
      </c>
      <c r="G6" s="82">
        <v>166</v>
      </c>
      <c r="H6" s="82" t="s">
        <v>1982</v>
      </c>
      <c r="I6" s="82" t="s">
        <v>382</v>
      </c>
      <c r="J6" s="82" t="s">
        <v>1979</v>
      </c>
      <c r="K6" s="82"/>
      <c r="L6" s="86" t="s">
        <v>106</v>
      </c>
      <c r="M6" s="86">
        <v>46026.474305555559</v>
      </c>
      <c r="N6" s="82" t="s">
        <v>597</v>
      </c>
      <c r="O6" s="85" t="s">
        <v>108</v>
      </c>
      <c r="P6" s="41"/>
      <c r="Q6" s="26" t="s">
        <v>108</v>
      </c>
      <c r="R6" s="25"/>
      <c r="S6" s="26" t="s">
        <v>108</v>
      </c>
      <c r="T6" s="25"/>
      <c r="U6" s="26" t="s">
        <v>108</v>
      </c>
      <c r="V6" s="25"/>
      <c r="W6" s="26" t="s">
        <v>108</v>
      </c>
      <c r="X6" s="13"/>
      <c r="Y6" s="26" t="s">
        <v>108</v>
      </c>
      <c r="Z6" s="46" t="str">
        <f t="shared" si="1"/>
        <v>C</v>
      </c>
      <c r="AA6" s="73" t="str">
        <f t="shared" si="0"/>
        <v>UTILIZOU O PDA CORRETAMENTE</v>
      </c>
      <c r="AB6" s="27" t="s">
        <v>108</v>
      </c>
      <c r="AC6" s="74" t="s">
        <v>1</v>
      </c>
      <c r="AD6" s="29" t="str">
        <f t="shared" si="2"/>
        <v>GUARULHOS</v>
      </c>
      <c r="AE6" s="12" t="s">
        <v>16</v>
      </c>
    </row>
    <row r="7" spans="1:31" ht="30" customHeight="1" x14ac:dyDescent="0.2">
      <c r="A7" s="82" t="s">
        <v>101</v>
      </c>
      <c r="B7" s="82">
        <v>2613575584</v>
      </c>
      <c r="C7" s="82" t="s">
        <v>67</v>
      </c>
      <c r="D7" s="82" t="s">
        <v>58</v>
      </c>
      <c r="E7" s="82" t="s">
        <v>102</v>
      </c>
      <c r="F7" s="82" t="s">
        <v>1983</v>
      </c>
      <c r="G7" s="82">
        <v>9</v>
      </c>
      <c r="H7" s="82" t="s">
        <v>241</v>
      </c>
      <c r="I7" s="82" t="s">
        <v>1390</v>
      </c>
      <c r="J7" s="82" t="s">
        <v>1984</v>
      </c>
      <c r="K7" s="82"/>
      <c r="L7" s="86" t="s">
        <v>106</v>
      </c>
      <c r="M7" s="86">
        <v>46026.576388888891</v>
      </c>
      <c r="N7" s="82" t="s">
        <v>1980</v>
      </c>
      <c r="O7" s="85" t="s">
        <v>108</v>
      </c>
      <c r="P7" s="41"/>
      <c r="Q7" s="26" t="s">
        <v>108</v>
      </c>
      <c r="R7" s="25"/>
      <c r="S7" s="26" t="s">
        <v>108</v>
      </c>
      <c r="T7" s="25"/>
      <c r="U7" s="26" t="s">
        <v>108</v>
      </c>
      <c r="V7" s="25"/>
      <c r="W7" s="26" t="s">
        <v>108</v>
      </c>
      <c r="X7" s="13"/>
      <c r="Y7" s="26" t="s">
        <v>108</v>
      </c>
      <c r="Z7" s="46" t="str">
        <f t="shared" si="1"/>
        <v>C</v>
      </c>
      <c r="AA7" s="73" t="str">
        <f t="shared" si="0"/>
        <v>UTILIZOU O PDA CORRETAMENTE</v>
      </c>
      <c r="AB7" s="27" t="s">
        <v>108</v>
      </c>
      <c r="AC7" s="74" t="s">
        <v>1</v>
      </c>
      <c r="AD7" s="29" t="str">
        <f t="shared" si="2"/>
        <v>GUARULHOS</v>
      </c>
      <c r="AE7" s="12" t="s">
        <v>16</v>
      </c>
    </row>
    <row r="8" spans="1:31" ht="30" customHeight="1" x14ac:dyDescent="0.2">
      <c r="A8" s="82" t="s">
        <v>101</v>
      </c>
      <c r="B8" s="82">
        <v>2689290784</v>
      </c>
      <c r="C8" s="82" t="s">
        <v>60</v>
      </c>
      <c r="D8" s="82" t="s">
        <v>16</v>
      </c>
      <c r="E8" s="82" t="s">
        <v>102</v>
      </c>
      <c r="F8" s="82" t="s">
        <v>632</v>
      </c>
      <c r="G8" s="82">
        <v>3820</v>
      </c>
      <c r="H8" s="82" t="s">
        <v>1985</v>
      </c>
      <c r="I8" s="82" t="s">
        <v>516</v>
      </c>
      <c r="J8" s="82" t="s">
        <v>1979</v>
      </c>
      <c r="K8" s="82" t="s">
        <v>117</v>
      </c>
      <c r="L8" s="86" t="s">
        <v>106</v>
      </c>
      <c r="M8" s="86">
        <v>46026.609722222223</v>
      </c>
      <c r="N8" s="82" t="s">
        <v>1986</v>
      </c>
      <c r="O8" s="85" t="s">
        <v>108</v>
      </c>
      <c r="P8" s="41"/>
      <c r="Q8" s="26" t="s">
        <v>108</v>
      </c>
      <c r="R8" s="25"/>
      <c r="S8" s="26" t="s">
        <v>108</v>
      </c>
      <c r="T8" s="25"/>
      <c r="U8" s="26" t="s">
        <v>108</v>
      </c>
      <c r="V8" s="25"/>
      <c r="W8" s="26" t="s">
        <v>108</v>
      </c>
      <c r="X8" s="13"/>
      <c r="Y8" s="26" t="s">
        <v>108</v>
      </c>
      <c r="Z8" s="46" t="str">
        <f t="shared" si="1"/>
        <v>C</v>
      </c>
      <c r="AA8" s="73" t="str">
        <f t="shared" si="0"/>
        <v>UTILIZOU O PDA CORRETAMENTE</v>
      </c>
      <c r="AB8" s="27" t="s">
        <v>108</v>
      </c>
      <c r="AC8" s="74" t="s">
        <v>1</v>
      </c>
      <c r="AD8" s="29" t="str">
        <f t="shared" si="2"/>
        <v>GUARULHOS</v>
      </c>
      <c r="AE8" s="12" t="s">
        <v>16</v>
      </c>
    </row>
    <row r="9" spans="1:31" ht="30" customHeight="1" x14ac:dyDescent="0.2">
      <c r="A9" s="82" t="s">
        <v>101</v>
      </c>
      <c r="B9" s="82">
        <v>2613771953</v>
      </c>
      <c r="C9" s="82" t="s">
        <v>67</v>
      </c>
      <c r="D9" s="82" t="s">
        <v>58</v>
      </c>
      <c r="E9" s="82" t="s">
        <v>102</v>
      </c>
      <c r="F9" s="82" t="s">
        <v>1987</v>
      </c>
      <c r="G9" s="82">
        <v>232</v>
      </c>
      <c r="H9" s="82" t="s">
        <v>1328</v>
      </c>
      <c r="I9" s="82" t="s">
        <v>382</v>
      </c>
      <c r="J9" s="82" t="s">
        <v>1984</v>
      </c>
      <c r="K9" s="82"/>
      <c r="L9" s="86" t="s">
        <v>106</v>
      </c>
      <c r="M9" s="86">
        <v>46026.411111111112</v>
      </c>
      <c r="N9" s="82" t="s">
        <v>119</v>
      </c>
      <c r="O9" s="85" t="s">
        <v>108</v>
      </c>
      <c r="P9" s="41"/>
      <c r="Q9" s="26" t="s">
        <v>108</v>
      </c>
      <c r="R9" s="25"/>
      <c r="S9" s="26" t="s">
        <v>108</v>
      </c>
      <c r="T9" s="25"/>
      <c r="U9" s="26" t="s">
        <v>108</v>
      </c>
      <c r="V9" s="25"/>
      <c r="W9" s="26" t="s">
        <v>108</v>
      </c>
      <c r="X9" s="13"/>
      <c r="Y9" s="26" t="s">
        <v>108</v>
      </c>
      <c r="Z9" s="46" t="str">
        <f t="shared" si="1"/>
        <v>C</v>
      </c>
      <c r="AA9" s="73" t="str">
        <f t="shared" si="0"/>
        <v>UTILIZOU O PDA CORRETAMENTE</v>
      </c>
      <c r="AB9" s="27" t="s">
        <v>108</v>
      </c>
      <c r="AC9" s="74" t="s">
        <v>1</v>
      </c>
      <c r="AD9" s="29" t="str">
        <f t="shared" si="2"/>
        <v>GUARULHOS</v>
      </c>
      <c r="AE9" s="12" t="s">
        <v>16</v>
      </c>
    </row>
    <row r="10" spans="1:31" ht="30" customHeight="1" x14ac:dyDescent="0.2">
      <c r="A10" s="82" t="s">
        <v>101</v>
      </c>
      <c r="B10" s="82">
        <v>2613564197</v>
      </c>
      <c r="C10" s="82" t="s">
        <v>66</v>
      </c>
      <c r="D10" s="82" t="s">
        <v>58</v>
      </c>
      <c r="E10" s="82" t="s">
        <v>102</v>
      </c>
      <c r="F10" s="82" t="s">
        <v>120</v>
      </c>
      <c r="G10" s="82">
        <v>147</v>
      </c>
      <c r="H10" s="82" t="s">
        <v>1988</v>
      </c>
      <c r="I10" s="82" t="s">
        <v>149</v>
      </c>
      <c r="J10" s="82" t="s">
        <v>1989</v>
      </c>
      <c r="K10" s="82" t="s">
        <v>1990</v>
      </c>
      <c r="L10" s="86" t="s">
        <v>106</v>
      </c>
      <c r="M10" s="86">
        <v>46026.629861111112</v>
      </c>
      <c r="N10" s="82" t="s">
        <v>119</v>
      </c>
      <c r="O10" s="85" t="s">
        <v>108</v>
      </c>
      <c r="P10" s="41"/>
      <c r="Q10" s="26" t="s">
        <v>108</v>
      </c>
      <c r="R10" s="25"/>
      <c r="S10" s="26" t="s">
        <v>108</v>
      </c>
      <c r="T10" s="25"/>
      <c r="U10" s="26" t="s">
        <v>108</v>
      </c>
      <c r="V10" s="25"/>
      <c r="W10" s="26" t="s">
        <v>108</v>
      </c>
      <c r="X10" s="13"/>
      <c r="Y10" s="26" t="s">
        <v>108</v>
      </c>
      <c r="Z10" s="46" t="str">
        <f t="shared" si="1"/>
        <v>C</v>
      </c>
      <c r="AA10" s="73" t="str">
        <f t="shared" si="0"/>
        <v>UTILIZOU O PDA CORRETAMENTE</v>
      </c>
      <c r="AB10" s="27" t="s">
        <v>108</v>
      </c>
      <c r="AC10" s="74" t="s">
        <v>1</v>
      </c>
      <c r="AD10" s="29" t="str">
        <f t="shared" si="2"/>
        <v>GUARULHOS</v>
      </c>
      <c r="AE10" s="12" t="s">
        <v>16</v>
      </c>
    </row>
    <row r="11" spans="1:31" ht="30" customHeight="1" x14ac:dyDescent="0.2">
      <c r="A11" s="82" t="s">
        <v>101</v>
      </c>
      <c r="B11" s="82">
        <v>2613564707</v>
      </c>
      <c r="C11" s="82" t="s">
        <v>66</v>
      </c>
      <c r="D11" s="82" t="s">
        <v>58</v>
      </c>
      <c r="E11" s="82" t="s">
        <v>102</v>
      </c>
      <c r="F11" s="82" t="s">
        <v>120</v>
      </c>
      <c r="G11" s="82">
        <v>147</v>
      </c>
      <c r="H11" s="82" t="s">
        <v>1991</v>
      </c>
      <c r="I11" s="82" t="s">
        <v>149</v>
      </c>
      <c r="J11" s="82" t="s">
        <v>1989</v>
      </c>
      <c r="K11" s="82" t="s">
        <v>124</v>
      </c>
      <c r="L11" s="86" t="s">
        <v>106</v>
      </c>
      <c r="M11" s="86">
        <v>46026.626388888886</v>
      </c>
      <c r="N11" s="82" t="s">
        <v>119</v>
      </c>
      <c r="O11" s="85" t="s">
        <v>108</v>
      </c>
      <c r="P11" s="41"/>
      <c r="Q11" s="26" t="s">
        <v>108</v>
      </c>
      <c r="R11" s="25"/>
      <c r="S11" s="26" t="s">
        <v>108</v>
      </c>
      <c r="T11" s="25"/>
      <c r="U11" s="26" t="s">
        <v>108</v>
      </c>
      <c r="V11" s="25"/>
      <c r="W11" s="26" t="s">
        <v>108</v>
      </c>
      <c r="X11" s="13"/>
      <c r="Y11" s="26" t="s">
        <v>108</v>
      </c>
      <c r="Z11" s="46" t="str">
        <f t="shared" si="1"/>
        <v>C</v>
      </c>
      <c r="AA11" s="73" t="str">
        <f t="shared" si="0"/>
        <v>UTILIZOU O PDA CORRETAMENTE</v>
      </c>
      <c r="AB11" s="27" t="s">
        <v>108</v>
      </c>
      <c r="AC11" s="74" t="s">
        <v>1</v>
      </c>
      <c r="AD11" s="29" t="str">
        <f t="shared" si="2"/>
        <v>GUARULHOS</v>
      </c>
      <c r="AE11" s="12" t="s">
        <v>16</v>
      </c>
    </row>
    <row r="12" spans="1:31" ht="30" customHeight="1" x14ac:dyDescent="0.2">
      <c r="A12" s="82" t="s">
        <v>101</v>
      </c>
      <c r="B12" s="82">
        <v>2613759273</v>
      </c>
      <c r="C12" s="82" t="s">
        <v>67</v>
      </c>
      <c r="D12" s="82" t="s">
        <v>58</v>
      </c>
      <c r="E12" s="82" t="s">
        <v>102</v>
      </c>
      <c r="F12" s="82" t="s">
        <v>1280</v>
      </c>
      <c r="G12" s="82">
        <v>293</v>
      </c>
      <c r="H12" s="82" t="s">
        <v>1992</v>
      </c>
      <c r="I12" s="82" t="s">
        <v>473</v>
      </c>
      <c r="J12" s="82" t="s">
        <v>1984</v>
      </c>
      <c r="K12" s="82" t="s">
        <v>117</v>
      </c>
      <c r="L12" s="86" t="s">
        <v>106</v>
      </c>
      <c r="M12" s="86">
        <v>46026.609027777777</v>
      </c>
      <c r="N12" s="82" t="s">
        <v>1993</v>
      </c>
      <c r="O12" s="85" t="s">
        <v>108</v>
      </c>
      <c r="P12" s="41"/>
      <c r="Q12" s="26" t="s">
        <v>108</v>
      </c>
      <c r="R12" s="25"/>
      <c r="S12" s="26" t="s">
        <v>108</v>
      </c>
      <c r="T12" s="25"/>
      <c r="U12" s="26" t="s">
        <v>108</v>
      </c>
      <c r="V12" s="25"/>
      <c r="W12" s="26" t="s">
        <v>108</v>
      </c>
      <c r="X12" s="13"/>
      <c r="Y12" s="26" t="s">
        <v>108</v>
      </c>
      <c r="Z12" s="46" t="str">
        <f t="shared" si="1"/>
        <v>C</v>
      </c>
      <c r="AA12" s="73" t="str">
        <f t="shared" si="0"/>
        <v>UTILIZOU O PDA CORRETAMENTE</v>
      </c>
      <c r="AB12" s="27" t="s">
        <v>108</v>
      </c>
      <c r="AC12" s="74" t="s">
        <v>1</v>
      </c>
      <c r="AD12" s="29" t="str">
        <f t="shared" si="2"/>
        <v>GUARULHOS</v>
      </c>
      <c r="AE12" s="12" t="s">
        <v>16</v>
      </c>
    </row>
    <row r="13" spans="1:31" ht="30" customHeight="1" x14ac:dyDescent="0.2">
      <c r="A13" s="82" t="s">
        <v>101</v>
      </c>
      <c r="B13" s="82">
        <v>2613721737</v>
      </c>
      <c r="C13" s="82" t="s">
        <v>65</v>
      </c>
      <c r="D13" s="82" t="s">
        <v>58</v>
      </c>
      <c r="E13" s="82" t="s">
        <v>102</v>
      </c>
      <c r="F13" s="82" t="s">
        <v>1994</v>
      </c>
      <c r="G13" s="82">
        <v>41</v>
      </c>
      <c r="H13" s="82" t="s">
        <v>187</v>
      </c>
      <c r="I13" s="82" t="s">
        <v>220</v>
      </c>
      <c r="J13" s="82" t="s">
        <v>1979</v>
      </c>
      <c r="K13" s="82" t="s">
        <v>1995</v>
      </c>
      <c r="L13" s="86" t="s">
        <v>106</v>
      </c>
      <c r="M13" s="86">
        <v>46026.372916666667</v>
      </c>
      <c r="N13" s="82" t="s">
        <v>1980</v>
      </c>
      <c r="O13" s="85" t="s">
        <v>108</v>
      </c>
      <c r="P13" s="41"/>
      <c r="Q13" s="26" t="s">
        <v>108</v>
      </c>
      <c r="R13" s="25"/>
      <c r="S13" s="26" t="s">
        <v>108</v>
      </c>
      <c r="T13" s="25"/>
      <c r="U13" s="26" t="s">
        <v>108</v>
      </c>
      <c r="V13" s="25"/>
      <c r="W13" s="26" t="s">
        <v>108</v>
      </c>
      <c r="X13" s="13"/>
      <c r="Y13" s="26" t="s">
        <v>108</v>
      </c>
      <c r="Z13" s="46" t="str">
        <f t="shared" si="1"/>
        <v>C</v>
      </c>
      <c r="AA13" s="73" t="str">
        <f t="shared" si="0"/>
        <v>UTILIZOU O PDA CORRETAMENTE</v>
      </c>
      <c r="AB13" s="27" t="s">
        <v>108</v>
      </c>
      <c r="AC13" s="74" t="s">
        <v>1</v>
      </c>
      <c r="AD13" s="29" t="str">
        <f t="shared" si="2"/>
        <v>GUARULHOS</v>
      </c>
      <c r="AE13" s="12" t="s">
        <v>16</v>
      </c>
    </row>
    <row r="14" spans="1:31" ht="30" customHeight="1" x14ac:dyDescent="0.2">
      <c r="A14" s="82" t="s">
        <v>101</v>
      </c>
      <c r="B14" s="82">
        <v>2689390776</v>
      </c>
      <c r="C14" s="82" t="s">
        <v>60</v>
      </c>
      <c r="D14" s="82" t="s">
        <v>16</v>
      </c>
      <c r="E14" s="82" t="s">
        <v>102</v>
      </c>
      <c r="F14" s="82" t="s">
        <v>1166</v>
      </c>
      <c r="G14" s="82">
        <v>237</v>
      </c>
      <c r="H14" s="82" t="s">
        <v>726</v>
      </c>
      <c r="I14" s="82" t="s">
        <v>1167</v>
      </c>
      <c r="J14" s="82" t="s">
        <v>1977</v>
      </c>
      <c r="K14" s="82" t="s">
        <v>117</v>
      </c>
      <c r="L14" s="86" t="s">
        <v>106</v>
      </c>
      <c r="M14" s="86">
        <v>46026.563194444447</v>
      </c>
      <c r="N14" s="82" t="s">
        <v>767</v>
      </c>
      <c r="O14" s="85" t="s">
        <v>108</v>
      </c>
      <c r="P14" s="41"/>
      <c r="Q14" s="26" t="s">
        <v>108</v>
      </c>
      <c r="R14" s="25"/>
      <c r="S14" s="26" t="s">
        <v>108</v>
      </c>
      <c r="T14" s="25"/>
      <c r="U14" s="26" t="s">
        <v>108</v>
      </c>
      <c r="V14" s="25"/>
      <c r="W14" s="26" t="s">
        <v>108</v>
      </c>
      <c r="X14" s="13"/>
      <c r="Y14" s="26" t="s">
        <v>108</v>
      </c>
      <c r="Z14" s="46" t="str">
        <f t="shared" si="1"/>
        <v>C</v>
      </c>
      <c r="AA14" s="73" t="str">
        <f t="shared" si="0"/>
        <v>UTILIZOU O PDA CORRETAMENTE</v>
      </c>
      <c r="AB14" s="27" t="s">
        <v>108</v>
      </c>
      <c r="AC14" s="74" t="s">
        <v>1</v>
      </c>
      <c r="AD14" s="29" t="str">
        <f t="shared" si="2"/>
        <v>GUARULHOS</v>
      </c>
      <c r="AE14" s="12" t="s">
        <v>16</v>
      </c>
    </row>
    <row r="15" spans="1:31" ht="30" customHeight="1" x14ac:dyDescent="0.2">
      <c r="A15" s="82" t="s">
        <v>101</v>
      </c>
      <c r="B15" s="82">
        <v>2689261637</v>
      </c>
      <c r="C15" s="82" t="s">
        <v>65</v>
      </c>
      <c r="D15" s="82" t="s">
        <v>58</v>
      </c>
      <c r="E15" s="82" t="s">
        <v>102</v>
      </c>
      <c r="F15" s="82" t="s">
        <v>1996</v>
      </c>
      <c r="G15" s="82">
        <v>231</v>
      </c>
      <c r="H15" s="82" t="s">
        <v>1997</v>
      </c>
      <c r="I15" s="82" t="s">
        <v>1063</v>
      </c>
      <c r="J15" s="82" t="s">
        <v>1979</v>
      </c>
      <c r="K15" s="82" t="s">
        <v>117</v>
      </c>
      <c r="L15" s="86" t="s">
        <v>106</v>
      </c>
      <c r="M15" s="86">
        <v>46026.429166666669</v>
      </c>
      <c r="N15" s="82" t="s">
        <v>1993</v>
      </c>
      <c r="O15" s="85" t="s">
        <v>108</v>
      </c>
      <c r="P15" s="41"/>
      <c r="Q15" s="26" t="s">
        <v>108</v>
      </c>
      <c r="R15" s="25"/>
      <c r="S15" s="26" t="s">
        <v>108</v>
      </c>
      <c r="T15" s="25"/>
      <c r="U15" s="26" t="s">
        <v>108</v>
      </c>
      <c r="V15" s="25"/>
      <c r="W15" s="26" t="s">
        <v>108</v>
      </c>
      <c r="X15" s="13"/>
      <c r="Y15" s="26" t="s">
        <v>108</v>
      </c>
      <c r="Z15" s="46" t="str">
        <f t="shared" si="1"/>
        <v>C</v>
      </c>
      <c r="AA15" s="73" t="str">
        <f t="shared" si="0"/>
        <v>UTILIZOU O PDA CORRETAMENTE</v>
      </c>
      <c r="AB15" s="27" t="s">
        <v>108</v>
      </c>
      <c r="AC15" s="74" t="s">
        <v>1</v>
      </c>
      <c r="AD15" s="29" t="str">
        <f t="shared" si="2"/>
        <v>GUARULHOS</v>
      </c>
      <c r="AE15" s="12" t="s">
        <v>16</v>
      </c>
    </row>
    <row r="16" spans="1:31" ht="30" customHeight="1" x14ac:dyDescent="0.2">
      <c r="A16" s="82" t="s">
        <v>101</v>
      </c>
      <c r="B16" s="82">
        <v>2689396256</v>
      </c>
      <c r="C16" s="82" t="s">
        <v>60</v>
      </c>
      <c r="D16" s="82" t="s">
        <v>16</v>
      </c>
      <c r="E16" s="82" t="s">
        <v>102</v>
      </c>
      <c r="F16" s="82" t="s">
        <v>1998</v>
      </c>
      <c r="G16" s="82">
        <v>155</v>
      </c>
      <c r="H16" s="82"/>
      <c r="I16" s="82" t="s">
        <v>483</v>
      </c>
      <c r="J16" s="82" t="s">
        <v>1979</v>
      </c>
      <c r="K16" s="82"/>
      <c r="L16" s="86" t="s">
        <v>106</v>
      </c>
      <c r="M16" s="86">
        <v>46026.461805555555</v>
      </c>
      <c r="N16" s="82" t="s">
        <v>1980</v>
      </c>
      <c r="O16" s="85" t="s">
        <v>108</v>
      </c>
      <c r="P16" s="41"/>
      <c r="Q16" s="26" t="s">
        <v>108</v>
      </c>
      <c r="R16" s="25"/>
      <c r="S16" s="26" t="s">
        <v>108</v>
      </c>
      <c r="T16" s="25"/>
      <c r="U16" s="26" t="s">
        <v>108</v>
      </c>
      <c r="V16" s="25"/>
      <c r="W16" s="26" t="s">
        <v>108</v>
      </c>
      <c r="X16" s="13"/>
      <c r="Y16" s="26" t="s">
        <v>108</v>
      </c>
      <c r="Z16" s="46" t="str">
        <f t="shared" si="1"/>
        <v>C</v>
      </c>
      <c r="AA16" s="73" t="str">
        <f t="shared" si="0"/>
        <v>UTILIZOU O PDA CORRETAMENTE</v>
      </c>
      <c r="AB16" s="27" t="s">
        <v>108</v>
      </c>
      <c r="AC16" s="74" t="s">
        <v>1</v>
      </c>
      <c r="AD16" s="29" t="str">
        <f t="shared" si="2"/>
        <v>GUARULHOS</v>
      </c>
      <c r="AE16" s="12" t="s">
        <v>16</v>
      </c>
    </row>
    <row r="17" spans="1:31" ht="30" customHeight="1" x14ac:dyDescent="0.2">
      <c r="A17" s="82" t="s">
        <v>101</v>
      </c>
      <c r="B17" s="82">
        <v>2613768618</v>
      </c>
      <c r="C17" s="82" t="s">
        <v>65</v>
      </c>
      <c r="D17" s="82" t="s">
        <v>58</v>
      </c>
      <c r="E17" s="82" t="s">
        <v>102</v>
      </c>
      <c r="F17" s="82" t="s">
        <v>1999</v>
      </c>
      <c r="G17" s="82">
        <v>55</v>
      </c>
      <c r="H17" s="82" t="s">
        <v>1233</v>
      </c>
      <c r="I17" s="82" t="s">
        <v>576</v>
      </c>
      <c r="J17" s="82" t="s">
        <v>1979</v>
      </c>
      <c r="K17" s="82" t="s">
        <v>117</v>
      </c>
      <c r="L17" s="86" t="s">
        <v>106</v>
      </c>
      <c r="M17" s="86">
        <v>46026.431944444441</v>
      </c>
      <c r="N17" s="82" t="s">
        <v>2000</v>
      </c>
      <c r="O17" s="85" t="s">
        <v>108</v>
      </c>
      <c r="P17" s="41"/>
      <c r="Q17" s="26" t="s">
        <v>108</v>
      </c>
      <c r="R17" s="25"/>
      <c r="S17" s="26" t="s">
        <v>108</v>
      </c>
      <c r="T17" s="25"/>
      <c r="U17" s="26" t="s">
        <v>108</v>
      </c>
      <c r="V17" s="25"/>
      <c r="W17" s="26" t="s">
        <v>108</v>
      </c>
      <c r="X17" s="13"/>
      <c r="Y17" s="26" t="s">
        <v>108</v>
      </c>
      <c r="Z17" s="46" t="str">
        <f t="shared" si="1"/>
        <v>C</v>
      </c>
      <c r="AA17" s="73" t="str">
        <f t="shared" si="0"/>
        <v>UTILIZOU O PDA CORRETAMENTE</v>
      </c>
      <c r="AB17" s="27" t="s">
        <v>108</v>
      </c>
      <c r="AC17" s="74" t="s">
        <v>1</v>
      </c>
      <c r="AD17" s="29" t="str">
        <f t="shared" si="2"/>
        <v>GUARULHOS</v>
      </c>
      <c r="AE17" s="12" t="s">
        <v>16</v>
      </c>
    </row>
    <row r="18" spans="1:31" ht="30" customHeight="1" x14ac:dyDescent="0.2">
      <c r="A18" s="82" t="s">
        <v>101</v>
      </c>
      <c r="B18" s="82">
        <v>2613792467</v>
      </c>
      <c r="C18" s="82" t="s">
        <v>65</v>
      </c>
      <c r="D18" s="82" t="s">
        <v>58</v>
      </c>
      <c r="E18" s="82" t="s">
        <v>102</v>
      </c>
      <c r="F18" s="82" t="s">
        <v>2001</v>
      </c>
      <c r="G18" s="82">
        <v>52</v>
      </c>
      <c r="H18" s="82" t="s">
        <v>2002</v>
      </c>
      <c r="I18" s="82" t="s">
        <v>2003</v>
      </c>
      <c r="J18" s="82" t="s">
        <v>1979</v>
      </c>
      <c r="K18" s="82" t="s">
        <v>117</v>
      </c>
      <c r="L18" s="86" t="s">
        <v>106</v>
      </c>
      <c r="M18" s="86">
        <v>46026.42291666667</v>
      </c>
      <c r="N18" s="82" t="s">
        <v>185</v>
      </c>
      <c r="O18" s="85" t="s">
        <v>108</v>
      </c>
      <c r="P18" s="41"/>
      <c r="Q18" s="26" t="s">
        <v>108</v>
      </c>
      <c r="R18" s="25"/>
      <c r="S18" s="26" t="s">
        <v>108</v>
      </c>
      <c r="T18" s="25"/>
      <c r="U18" s="26" t="s">
        <v>108</v>
      </c>
      <c r="V18" s="25"/>
      <c r="W18" s="26" t="s">
        <v>108</v>
      </c>
      <c r="X18" s="13"/>
      <c r="Y18" s="26" t="s">
        <v>108</v>
      </c>
      <c r="Z18" s="46" t="str">
        <f t="shared" si="1"/>
        <v>C</v>
      </c>
      <c r="AA18" s="73" t="str">
        <f t="shared" si="0"/>
        <v>UTILIZOU O PDA CORRETAMENTE</v>
      </c>
      <c r="AB18" s="27" t="s">
        <v>108</v>
      </c>
      <c r="AC18" s="74" t="s">
        <v>1</v>
      </c>
      <c r="AD18" s="29" t="str">
        <f t="shared" si="2"/>
        <v>GUARULHOS</v>
      </c>
      <c r="AE18" s="12" t="s">
        <v>16</v>
      </c>
    </row>
    <row r="19" spans="1:31" ht="30" customHeight="1" x14ac:dyDescent="0.2">
      <c r="A19" s="82" t="s">
        <v>101</v>
      </c>
      <c r="B19" s="82">
        <v>2613864555</v>
      </c>
      <c r="C19" s="82" t="s">
        <v>60</v>
      </c>
      <c r="D19" s="82" t="s">
        <v>16</v>
      </c>
      <c r="E19" s="82" t="s">
        <v>102</v>
      </c>
      <c r="F19" s="82" t="s">
        <v>2004</v>
      </c>
      <c r="G19" s="82">
        <v>252</v>
      </c>
      <c r="H19" s="82" t="s">
        <v>2005</v>
      </c>
      <c r="I19" s="82" t="s">
        <v>177</v>
      </c>
      <c r="J19" s="82" t="s">
        <v>1979</v>
      </c>
      <c r="K19" s="82"/>
      <c r="L19" s="86" t="s">
        <v>106</v>
      </c>
      <c r="M19" s="86">
        <v>46026.498611111114</v>
      </c>
      <c r="N19" s="82" t="s">
        <v>2000</v>
      </c>
      <c r="O19" s="85" t="s">
        <v>108</v>
      </c>
      <c r="P19" s="41"/>
      <c r="Q19" s="26" t="s">
        <v>108</v>
      </c>
      <c r="R19" s="25"/>
      <c r="S19" s="26" t="s">
        <v>108</v>
      </c>
      <c r="T19" s="25"/>
      <c r="U19" s="26" t="s">
        <v>108</v>
      </c>
      <c r="V19" s="25"/>
      <c r="W19" s="26" t="s">
        <v>108</v>
      </c>
      <c r="X19" s="13"/>
      <c r="Y19" s="26" t="s">
        <v>108</v>
      </c>
      <c r="Z19" s="46" t="str">
        <f t="shared" si="1"/>
        <v>C</v>
      </c>
      <c r="AA19" s="73" t="str">
        <f t="shared" si="0"/>
        <v>UTILIZOU O PDA CORRETAMENTE</v>
      </c>
      <c r="AB19" s="27" t="s">
        <v>108</v>
      </c>
      <c r="AC19" s="74" t="s">
        <v>1</v>
      </c>
      <c r="AD19" s="29" t="str">
        <f t="shared" si="2"/>
        <v>GUARULHOS</v>
      </c>
      <c r="AE19" s="12" t="s">
        <v>16</v>
      </c>
    </row>
    <row r="20" spans="1:31" ht="30" customHeight="1" x14ac:dyDescent="0.2">
      <c r="A20" s="82" t="s">
        <v>101</v>
      </c>
      <c r="B20" s="82">
        <v>2689317160</v>
      </c>
      <c r="C20" s="82" t="s">
        <v>65</v>
      </c>
      <c r="D20" s="82" t="s">
        <v>58</v>
      </c>
      <c r="E20" s="82" t="s">
        <v>102</v>
      </c>
      <c r="F20" s="82" t="s">
        <v>441</v>
      </c>
      <c r="G20" s="82">
        <v>560</v>
      </c>
      <c r="H20" s="82" t="s">
        <v>2006</v>
      </c>
      <c r="I20" s="82" t="s">
        <v>382</v>
      </c>
      <c r="J20" s="82" t="s">
        <v>1979</v>
      </c>
      <c r="K20" s="82" t="s">
        <v>2007</v>
      </c>
      <c r="L20" s="86" t="s">
        <v>106</v>
      </c>
      <c r="M20" s="86">
        <v>46026.494444444441</v>
      </c>
      <c r="N20" s="82" t="s">
        <v>597</v>
      </c>
      <c r="O20" s="85" t="s">
        <v>108</v>
      </c>
      <c r="P20" s="41"/>
      <c r="Q20" s="26" t="s">
        <v>108</v>
      </c>
      <c r="R20" s="25"/>
      <c r="S20" s="26" t="s">
        <v>108</v>
      </c>
      <c r="T20" s="25"/>
      <c r="U20" s="26" t="s">
        <v>108</v>
      </c>
      <c r="V20" s="25"/>
      <c r="W20" s="26" t="s">
        <v>108</v>
      </c>
      <c r="X20" s="13"/>
      <c r="Y20" s="26" t="s">
        <v>108</v>
      </c>
      <c r="Z20" s="46" t="str">
        <f t="shared" si="1"/>
        <v>C</v>
      </c>
      <c r="AA20" s="73" t="str">
        <f t="shared" si="0"/>
        <v>UTILIZOU O PDA CORRETAMENTE</v>
      </c>
      <c r="AB20" s="27" t="s">
        <v>108</v>
      </c>
      <c r="AC20" s="74" t="s">
        <v>1</v>
      </c>
      <c r="AD20" s="29" t="str">
        <f t="shared" si="2"/>
        <v>GUARULHOS</v>
      </c>
      <c r="AE20" s="12" t="s">
        <v>16</v>
      </c>
    </row>
    <row r="21" spans="1:31" ht="30" customHeight="1" x14ac:dyDescent="0.2">
      <c r="A21" s="82" t="s">
        <v>101</v>
      </c>
      <c r="B21" s="82">
        <v>2613760689</v>
      </c>
      <c r="C21" s="82" t="s">
        <v>65</v>
      </c>
      <c r="D21" s="82" t="s">
        <v>58</v>
      </c>
      <c r="E21" s="82" t="s">
        <v>102</v>
      </c>
      <c r="F21" s="82" t="s">
        <v>1552</v>
      </c>
      <c r="G21" s="82">
        <v>175</v>
      </c>
      <c r="H21" s="82" t="s">
        <v>2008</v>
      </c>
      <c r="I21" s="82" t="s">
        <v>382</v>
      </c>
      <c r="J21" s="82" t="s">
        <v>1979</v>
      </c>
      <c r="K21" s="82" t="s">
        <v>2007</v>
      </c>
      <c r="L21" s="86" t="s">
        <v>106</v>
      </c>
      <c r="M21" s="86">
        <v>46026.513888888891</v>
      </c>
      <c r="N21" s="82" t="s">
        <v>597</v>
      </c>
      <c r="O21" s="85" t="s">
        <v>108</v>
      </c>
      <c r="P21" s="41"/>
      <c r="Q21" s="26" t="s">
        <v>108</v>
      </c>
      <c r="R21" s="25"/>
      <c r="S21" s="26" t="s">
        <v>108</v>
      </c>
      <c r="T21" s="25"/>
      <c r="U21" s="26" t="s">
        <v>108</v>
      </c>
      <c r="V21" s="25"/>
      <c r="W21" s="26" t="s">
        <v>108</v>
      </c>
      <c r="X21" s="13"/>
      <c r="Y21" s="26" t="s">
        <v>108</v>
      </c>
      <c r="Z21" s="46" t="str">
        <f t="shared" si="1"/>
        <v>C</v>
      </c>
      <c r="AA21" s="73" t="str">
        <f t="shared" si="0"/>
        <v>UTILIZOU O PDA CORRETAMENTE</v>
      </c>
      <c r="AB21" s="27" t="s">
        <v>108</v>
      </c>
      <c r="AC21" s="74" t="s">
        <v>1</v>
      </c>
      <c r="AD21" s="29" t="str">
        <f t="shared" si="2"/>
        <v>GUARULHOS</v>
      </c>
      <c r="AE21" s="12" t="s">
        <v>16</v>
      </c>
    </row>
    <row r="22" spans="1:31" ht="30" customHeight="1" x14ac:dyDescent="0.2">
      <c r="A22" s="82" t="s">
        <v>101</v>
      </c>
      <c r="B22" s="82">
        <v>2613857026</v>
      </c>
      <c r="C22" s="82" t="s">
        <v>62</v>
      </c>
      <c r="D22" s="82" t="s">
        <v>58</v>
      </c>
      <c r="E22" s="82" t="s">
        <v>102</v>
      </c>
      <c r="F22" s="82" t="s">
        <v>2009</v>
      </c>
      <c r="G22" s="82">
        <v>88</v>
      </c>
      <c r="H22" s="82" t="s">
        <v>2010</v>
      </c>
      <c r="I22" s="82" t="s">
        <v>220</v>
      </c>
      <c r="J22" s="82" t="s">
        <v>2011</v>
      </c>
      <c r="K22" s="82" t="s">
        <v>275</v>
      </c>
      <c r="L22" s="86" t="s">
        <v>106</v>
      </c>
      <c r="M22" s="86">
        <v>46026.590277777781</v>
      </c>
      <c r="N22" s="82" t="s">
        <v>253</v>
      </c>
      <c r="O22" s="85" t="s">
        <v>108</v>
      </c>
      <c r="P22" s="41"/>
      <c r="Q22" s="26" t="s">
        <v>108</v>
      </c>
      <c r="R22" s="25"/>
      <c r="S22" s="26" t="s">
        <v>108</v>
      </c>
      <c r="T22" s="25"/>
      <c r="U22" s="26" t="s">
        <v>108</v>
      </c>
      <c r="V22" s="25"/>
      <c r="W22" s="26" t="s">
        <v>108</v>
      </c>
      <c r="X22" s="13"/>
      <c r="Y22" s="26" t="s">
        <v>108</v>
      </c>
      <c r="Z22" s="46" t="str">
        <f t="shared" si="1"/>
        <v>C</v>
      </c>
      <c r="AA22" s="73" t="str">
        <f t="shared" si="0"/>
        <v>UTILIZOU O PDA CORRETAMENTE</v>
      </c>
      <c r="AB22" s="27" t="s">
        <v>108</v>
      </c>
      <c r="AC22" s="74" t="s">
        <v>1</v>
      </c>
      <c r="AD22" s="29" t="str">
        <f t="shared" si="2"/>
        <v>GUARULHOS</v>
      </c>
      <c r="AE22" s="12" t="s">
        <v>16</v>
      </c>
    </row>
    <row r="23" spans="1:31" ht="30" customHeight="1" x14ac:dyDescent="0.2">
      <c r="A23" s="82" t="s">
        <v>101</v>
      </c>
      <c r="B23" s="82">
        <v>2689425919</v>
      </c>
      <c r="C23" s="82" t="s">
        <v>65</v>
      </c>
      <c r="D23" s="82" t="s">
        <v>58</v>
      </c>
      <c r="E23" s="82" t="s">
        <v>102</v>
      </c>
      <c r="F23" s="82" t="s">
        <v>2012</v>
      </c>
      <c r="G23" s="82">
        <v>33</v>
      </c>
      <c r="H23" s="82"/>
      <c r="I23" s="82" t="s">
        <v>2013</v>
      </c>
      <c r="J23" s="82" t="s">
        <v>1979</v>
      </c>
      <c r="K23" s="82" t="s">
        <v>2014</v>
      </c>
      <c r="L23" s="86" t="s">
        <v>106</v>
      </c>
      <c r="M23" s="86">
        <v>46026.638194444444</v>
      </c>
      <c r="N23" s="82" t="s">
        <v>1993</v>
      </c>
      <c r="O23" s="85" t="s">
        <v>108</v>
      </c>
      <c r="P23" s="41"/>
      <c r="Q23" s="26" t="s">
        <v>108</v>
      </c>
      <c r="R23" s="25"/>
      <c r="S23" s="26" t="s">
        <v>108</v>
      </c>
      <c r="T23" s="25"/>
      <c r="U23" s="26" t="s">
        <v>108</v>
      </c>
      <c r="V23" s="25"/>
      <c r="W23" s="26" t="s">
        <v>108</v>
      </c>
      <c r="X23" s="13"/>
      <c r="Y23" s="26" t="s">
        <v>108</v>
      </c>
      <c r="Z23" s="46" t="str">
        <f t="shared" si="1"/>
        <v>C</v>
      </c>
      <c r="AA23" s="73" t="str">
        <f t="shared" si="0"/>
        <v>UTILIZOU O PDA CORRETAMENTE</v>
      </c>
      <c r="AB23" s="27" t="s">
        <v>108</v>
      </c>
      <c r="AC23" s="74" t="s">
        <v>1</v>
      </c>
      <c r="AD23" s="29" t="str">
        <f t="shared" si="2"/>
        <v>GUARULHOS</v>
      </c>
      <c r="AE23" s="12" t="s">
        <v>16</v>
      </c>
    </row>
    <row r="24" spans="1:31" ht="30" customHeight="1" x14ac:dyDescent="0.2">
      <c r="A24" s="82" t="s">
        <v>101</v>
      </c>
      <c r="B24" s="82">
        <v>2689425926</v>
      </c>
      <c r="C24" s="82" t="s">
        <v>62</v>
      </c>
      <c r="D24" s="82" t="s">
        <v>58</v>
      </c>
      <c r="E24" s="82" t="s">
        <v>102</v>
      </c>
      <c r="F24" s="82" t="s">
        <v>206</v>
      </c>
      <c r="G24" s="82">
        <v>60</v>
      </c>
      <c r="H24" s="82" t="s">
        <v>110</v>
      </c>
      <c r="I24" s="82" t="s">
        <v>207</v>
      </c>
      <c r="J24" s="82" t="s">
        <v>2011</v>
      </c>
      <c r="K24" s="82" t="s">
        <v>117</v>
      </c>
      <c r="L24" s="86" t="s">
        <v>106</v>
      </c>
      <c r="M24" s="86">
        <v>46026.684027777781</v>
      </c>
      <c r="N24" s="82" t="s">
        <v>209</v>
      </c>
      <c r="O24" s="85" t="s">
        <v>108</v>
      </c>
      <c r="P24" s="41"/>
      <c r="Q24" s="26" t="s">
        <v>108</v>
      </c>
      <c r="R24" s="25"/>
      <c r="S24" s="26" t="s">
        <v>108</v>
      </c>
      <c r="T24" s="25"/>
      <c r="U24" s="26" t="s">
        <v>108</v>
      </c>
      <c r="V24" s="25"/>
      <c r="W24" s="26" t="s">
        <v>108</v>
      </c>
      <c r="X24" s="13"/>
      <c r="Y24" s="26" t="s">
        <v>108</v>
      </c>
      <c r="Z24" s="46" t="str">
        <f t="shared" si="1"/>
        <v>C</v>
      </c>
      <c r="AA24" s="73" t="str">
        <f t="shared" si="0"/>
        <v>UTILIZOU O PDA CORRETAMENTE</v>
      </c>
      <c r="AB24" s="27" t="s">
        <v>108</v>
      </c>
      <c r="AC24" s="74" t="s">
        <v>1</v>
      </c>
      <c r="AD24" s="29" t="str">
        <f t="shared" si="2"/>
        <v>GUARULHOS</v>
      </c>
      <c r="AE24" s="12" t="s">
        <v>16</v>
      </c>
    </row>
    <row r="25" spans="1:31" ht="30" customHeight="1" x14ac:dyDescent="0.2">
      <c r="A25" s="82" t="s">
        <v>101</v>
      </c>
      <c r="B25" s="82">
        <v>2613880368</v>
      </c>
      <c r="C25" s="82" t="s">
        <v>62</v>
      </c>
      <c r="D25" s="82" t="s">
        <v>58</v>
      </c>
      <c r="E25" s="82" t="s">
        <v>102</v>
      </c>
      <c r="F25" s="82" t="s">
        <v>2015</v>
      </c>
      <c r="G25" s="82">
        <v>404</v>
      </c>
      <c r="H25" s="82" t="s">
        <v>2016</v>
      </c>
      <c r="I25" s="82" t="s">
        <v>169</v>
      </c>
      <c r="J25" s="82" t="s">
        <v>2011</v>
      </c>
      <c r="K25" s="82" t="s">
        <v>2017</v>
      </c>
      <c r="L25" s="86" t="s">
        <v>106</v>
      </c>
      <c r="M25" s="86">
        <v>46026.650694444441</v>
      </c>
      <c r="N25" s="82" t="s">
        <v>452</v>
      </c>
      <c r="O25" s="85" t="s">
        <v>108</v>
      </c>
      <c r="P25" s="41"/>
      <c r="Q25" s="26" t="s">
        <v>108</v>
      </c>
      <c r="R25" s="25"/>
      <c r="S25" s="26" t="s">
        <v>108</v>
      </c>
      <c r="T25" s="25"/>
      <c r="U25" s="26" t="s">
        <v>108</v>
      </c>
      <c r="V25" s="25"/>
      <c r="W25" s="26" t="s">
        <v>108</v>
      </c>
      <c r="X25" s="13"/>
      <c r="Y25" s="26" t="s">
        <v>108</v>
      </c>
      <c r="Z25" s="46" t="str">
        <f t="shared" si="1"/>
        <v>C</v>
      </c>
      <c r="AA25" s="73" t="str">
        <f t="shared" si="0"/>
        <v>UTILIZOU O PDA CORRETAMENTE</v>
      </c>
      <c r="AB25" s="27" t="s">
        <v>108</v>
      </c>
      <c r="AC25" s="74" t="s">
        <v>1</v>
      </c>
      <c r="AD25" s="29" t="str">
        <f t="shared" si="2"/>
        <v>GUARULHOS</v>
      </c>
      <c r="AE25" s="12" t="s">
        <v>16</v>
      </c>
    </row>
    <row r="26" spans="1:31" ht="30" customHeight="1" x14ac:dyDescent="0.2">
      <c r="A26" s="82" t="s">
        <v>101</v>
      </c>
      <c r="B26" s="82">
        <v>2689433097</v>
      </c>
      <c r="C26" s="82" t="s">
        <v>60</v>
      </c>
      <c r="D26" s="82" t="s">
        <v>16</v>
      </c>
      <c r="E26" s="82" t="s">
        <v>102</v>
      </c>
      <c r="F26" s="82" t="s">
        <v>2018</v>
      </c>
      <c r="G26" s="82">
        <v>371</v>
      </c>
      <c r="H26" s="82" t="s">
        <v>2019</v>
      </c>
      <c r="I26" s="82" t="s">
        <v>575</v>
      </c>
      <c r="J26" s="82" t="s">
        <v>1979</v>
      </c>
      <c r="K26" s="82" t="s">
        <v>117</v>
      </c>
      <c r="L26" s="86" t="s">
        <v>217</v>
      </c>
      <c r="M26" s="86">
        <v>46057.378472222219</v>
      </c>
      <c r="N26" s="82" t="s">
        <v>2000</v>
      </c>
      <c r="O26" s="85" t="s">
        <v>108</v>
      </c>
      <c r="P26" s="41"/>
      <c r="Q26" s="26" t="s">
        <v>108</v>
      </c>
      <c r="R26" s="25"/>
      <c r="S26" s="26" t="s">
        <v>108</v>
      </c>
      <c r="T26" s="25"/>
      <c r="U26" s="26" t="s">
        <v>108</v>
      </c>
      <c r="V26" s="25"/>
      <c r="W26" s="26" t="s">
        <v>108</v>
      </c>
      <c r="X26" s="13"/>
      <c r="Y26" s="26" t="s">
        <v>108</v>
      </c>
      <c r="Z26" s="46" t="str">
        <f t="shared" si="1"/>
        <v>C</v>
      </c>
      <c r="AA26" s="73" t="str">
        <f t="shared" si="0"/>
        <v>UTILIZOU O PDA CORRETAMENTE</v>
      </c>
      <c r="AB26" s="27" t="s">
        <v>108</v>
      </c>
      <c r="AC26" s="74" t="s">
        <v>1</v>
      </c>
      <c r="AD26" s="29" t="str">
        <f t="shared" si="2"/>
        <v>GUARULHOS</v>
      </c>
      <c r="AE26" s="12" t="s">
        <v>16</v>
      </c>
    </row>
    <row r="27" spans="1:31" ht="30" customHeight="1" x14ac:dyDescent="0.2">
      <c r="A27" s="82" t="s">
        <v>101</v>
      </c>
      <c r="B27" s="82">
        <v>2689441345</v>
      </c>
      <c r="C27" s="82" t="s">
        <v>60</v>
      </c>
      <c r="D27" s="82" t="s">
        <v>16</v>
      </c>
      <c r="E27" s="82" t="s">
        <v>102</v>
      </c>
      <c r="F27" s="82" t="s">
        <v>1713</v>
      </c>
      <c r="G27" s="82">
        <v>492</v>
      </c>
      <c r="H27" s="82" t="s">
        <v>2020</v>
      </c>
      <c r="I27" s="82" t="s">
        <v>327</v>
      </c>
      <c r="J27" s="82" t="s">
        <v>1979</v>
      </c>
      <c r="K27" s="82"/>
      <c r="L27" s="86" t="s">
        <v>217</v>
      </c>
      <c r="M27" s="86">
        <v>46057.513888888891</v>
      </c>
      <c r="N27" s="82" t="s">
        <v>2000</v>
      </c>
      <c r="O27" s="85" t="s">
        <v>108</v>
      </c>
      <c r="P27" s="41"/>
      <c r="Q27" s="26" t="s">
        <v>108</v>
      </c>
      <c r="R27" s="25"/>
      <c r="S27" s="26" t="s">
        <v>108</v>
      </c>
      <c r="T27" s="25"/>
      <c r="U27" s="26" t="s">
        <v>108</v>
      </c>
      <c r="V27" s="25"/>
      <c r="W27" s="26" t="s">
        <v>108</v>
      </c>
      <c r="X27" s="13"/>
      <c r="Y27" s="26" t="s">
        <v>108</v>
      </c>
      <c r="Z27" s="46" t="str">
        <f t="shared" si="1"/>
        <v>C</v>
      </c>
      <c r="AA27" s="73" t="str">
        <f t="shared" si="0"/>
        <v>UTILIZOU O PDA CORRETAMENTE</v>
      </c>
      <c r="AB27" s="27" t="s">
        <v>108</v>
      </c>
      <c r="AC27" s="74" t="s">
        <v>1</v>
      </c>
      <c r="AD27" s="29" t="str">
        <f t="shared" si="2"/>
        <v>GUARULHOS</v>
      </c>
      <c r="AE27" s="12" t="s">
        <v>16</v>
      </c>
    </row>
    <row r="28" spans="1:31" ht="30" customHeight="1" x14ac:dyDescent="0.2">
      <c r="A28" s="82" t="s">
        <v>101</v>
      </c>
      <c r="B28" s="82">
        <v>2613880211</v>
      </c>
      <c r="C28" s="82" t="s">
        <v>60</v>
      </c>
      <c r="D28" s="82" t="s">
        <v>16</v>
      </c>
      <c r="E28" s="82" t="s">
        <v>102</v>
      </c>
      <c r="F28" s="82" t="s">
        <v>2021</v>
      </c>
      <c r="G28" s="82">
        <v>181</v>
      </c>
      <c r="H28" s="82" t="s">
        <v>121</v>
      </c>
      <c r="I28" s="82" t="s">
        <v>220</v>
      </c>
      <c r="J28" s="82" t="s">
        <v>1979</v>
      </c>
      <c r="K28" s="82" t="s">
        <v>117</v>
      </c>
      <c r="L28" s="86" t="s">
        <v>217</v>
      </c>
      <c r="M28" s="86">
        <v>46057.500694444447</v>
      </c>
      <c r="N28" s="82" t="s">
        <v>1980</v>
      </c>
      <c r="O28" s="85" t="s">
        <v>108</v>
      </c>
      <c r="P28" s="41"/>
      <c r="Q28" s="26" t="s">
        <v>108</v>
      </c>
      <c r="R28" s="25"/>
      <c r="S28" s="26" t="s">
        <v>108</v>
      </c>
      <c r="T28" s="25"/>
      <c r="U28" s="26" t="s">
        <v>108</v>
      </c>
      <c r="V28" s="25"/>
      <c r="W28" s="26" t="s">
        <v>108</v>
      </c>
      <c r="X28" s="13"/>
      <c r="Y28" s="26" t="s">
        <v>108</v>
      </c>
      <c r="Z28" s="46" t="str">
        <f t="shared" si="1"/>
        <v>C</v>
      </c>
      <c r="AA28" s="73" t="str">
        <f t="shared" si="0"/>
        <v>UTILIZOU O PDA CORRETAMENTE</v>
      </c>
      <c r="AB28" s="27" t="s">
        <v>108</v>
      </c>
      <c r="AC28" s="74" t="s">
        <v>1</v>
      </c>
      <c r="AD28" s="29" t="str">
        <f t="shared" si="2"/>
        <v>GUARULHOS</v>
      </c>
      <c r="AE28" s="12" t="s">
        <v>16</v>
      </c>
    </row>
    <row r="29" spans="1:31" ht="30" customHeight="1" x14ac:dyDescent="0.2">
      <c r="A29" s="82" t="s">
        <v>101</v>
      </c>
      <c r="B29" s="82">
        <v>2689471373</v>
      </c>
      <c r="C29" s="82" t="s">
        <v>60</v>
      </c>
      <c r="D29" s="82" t="s">
        <v>16</v>
      </c>
      <c r="E29" s="82" t="s">
        <v>102</v>
      </c>
      <c r="F29" s="82" t="s">
        <v>373</v>
      </c>
      <c r="G29" s="82">
        <v>3</v>
      </c>
      <c r="H29" s="82" t="s">
        <v>117</v>
      </c>
      <c r="I29" s="82" t="s">
        <v>374</v>
      </c>
      <c r="J29" s="82" t="s">
        <v>1979</v>
      </c>
      <c r="K29" s="82" t="s">
        <v>117</v>
      </c>
      <c r="L29" s="86" t="s">
        <v>217</v>
      </c>
      <c r="M29" s="86">
        <v>46057.456944444442</v>
      </c>
      <c r="N29" s="82" t="s">
        <v>597</v>
      </c>
      <c r="O29" s="85" t="s">
        <v>108</v>
      </c>
      <c r="P29" s="41"/>
      <c r="Q29" s="26" t="s">
        <v>108</v>
      </c>
      <c r="R29" s="25"/>
      <c r="S29" s="26" t="s">
        <v>108</v>
      </c>
      <c r="T29" s="25"/>
      <c r="U29" s="26" t="s">
        <v>108</v>
      </c>
      <c r="V29" s="25"/>
      <c r="W29" s="26" t="s">
        <v>108</v>
      </c>
      <c r="X29" s="13"/>
      <c r="Y29" s="26" t="s">
        <v>108</v>
      </c>
      <c r="Z29" s="46" t="str">
        <f t="shared" si="1"/>
        <v>C</v>
      </c>
      <c r="AA29" s="73" t="str">
        <f t="shared" si="0"/>
        <v>UTILIZOU O PDA CORRETAMENTE</v>
      </c>
      <c r="AB29" s="27" t="s">
        <v>108</v>
      </c>
      <c r="AC29" s="74" t="s">
        <v>1</v>
      </c>
      <c r="AD29" s="29" t="str">
        <f t="shared" si="2"/>
        <v>GUARULHOS</v>
      </c>
      <c r="AE29" s="12" t="s">
        <v>16</v>
      </c>
    </row>
    <row r="30" spans="1:31" ht="30" customHeight="1" x14ac:dyDescent="0.2">
      <c r="A30" s="82" t="s">
        <v>101</v>
      </c>
      <c r="B30" s="82">
        <v>2689468067</v>
      </c>
      <c r="C30" s="82" t="s">
        <v>60</v>
      </c>
      <c r="D30" s="82" t="s">
        <v>16</v>
      </c>
      <c r="E30" s="82" t="s">
        <v>102</v>
      </c>
      <c r="F30" s="82" t="s">
        <v>2022</v>
      </c>
      <c r="G30" s="82">
        <v>382</v>
      </c>
      <c r="H30" s="82" t="s">
        <v>2023</v>
      </c>
      <c r="I30" s="82" t="s">
        <v>382</v>
      </c>
      <c r="J30" s="82" t="s">
        <v>1979</v>
      </c>
      <c r="K30" s="82"/>
      <c r="L30" s="86" t="s">
        <v>217</v>
      </c>
      <c r="M30" s="86">
        <v>46057.415277777778</v>
      </c>
      <c r="N30" s="82" t="s">
        <v>597</v>
      </c>
      <c r="O30" s="85" t="s">
        <v>108</v>
      </c>
      <c r="P30" s="41"/>
      <c r="Q30" s="26" t="s">
        <v>108</v>
      </c>
      <c r="R30" s="25"/>
      <c r="S30" s="26" t="s">
        <v>108</v>
      </c>
      <c r="T30" s="25"/>
      <c r="U30" s="26" t="s">
        <v>108</v>
      </c>
      <c r="V30" s="25"/>
      <c r="W30" s="26" t="s">
        <v>108</v>
      </c>
      <c r="X30" s="13"/>
      <c r="Y30" s="26" t="s">
        <v>108</v>
      </c>
      <c r="Z30" s="46" t="str">
        <f t="shared" si="1"/>
        <v>C</v>
      </c>
      <c r="AA30" s="73" t="str">
        <f t="shared" si="0"/>
        <v>UTILIZOU O PDA CORRETAMENTE</v>
      </c>
      <c r="AB30" s="27" t="s">
        <v>108</v>
      </c>
      <c r="AC30" s="74" t="s">
        <v>1</v>
      </c>
      <c r="AD30" s="29" t="str">
        <f t="shared" si="2"/>
        <v>GUARULHOS</v>
      </c>
      <c r="AE30" s="12" t="s">
        <v>16</v>
      </c>
    </row>
    <row r="31" spans="1:31" ht="30" customHeight="1" x14ac:dyDescent="0.2">
      <c r="A31" s="82" t="s">
        <v>101</v>
      </c>
      <c r="B31" s="82">
        <v>2689468044</v>
      </c>
      <c r="C31" s="82" t="s">
        <v>60</v>
      </c>
      <c r="D31" s="82" t="s">
        <v>16</v>
      </c>
      <c r="E31" s="82" t="s">
        <v>102</v>
      </c>
      <c r="F31" s="82" t="s">
        <v>2024</v>
      </c>
      <c r="G31" s="82">
        <v>90</v>
      </c>
      <c r="H31" s="82" t="s">
        <v>2025</v>
      </c>
      <c r="I31" s="82" t="s">
        <v>382</v>
      </c>
      <c r="J31" s="82" t="s">
        <v>1979</v>
      </c>
      <c r="K31" s="82" t="s">
        <v>117</v>
      </c>
      <c r="L31" s="86" t="s">
        <v>217</v>
      </c>
      <c r="M31" s="86">
        <v>46057.38958333333</v>
      </c>
      <c r="N31" s="82" t="s">
        <v>597</v>
      </c>
      <c r="O31" s="85" t="s">
        <v>108</v>
      </c>
      <c r="P31" s="41"/>
      <c r="Q31" s="26" t="s">
        <v>108</v>
      </c>
      <c r="R31" s="25"/>
      <c r="S31" s="26" t="s">
        <v>108</v>
      </c>
      <c r="T31" s="25"/>
      <c r="U31" s="26" t="s">
        <v>108</v>
      </c>
      <c r="V31" s="25"/>
      <c r="W31" s="26" t="s">
        <v>108</v>
      </c>
      <c r="X31" s="13"/>
      <c r="Y31" s="26" t="s">
        <v>108</v>
      </c>
      <c r="Z31" s="46" t="str">
        <f t="shared" si="1"/>
        <v>C</v>
      </c>
      <c r="AA31" s="73" t="str">
        <f t="shared" si="0"/>
        <v>UTILIZOU O PDA CORRETAMENTE</v>
      </c>
      <c r="AB31" s="27" t="s">
        <v>108</v>
      </c>
      <c r="AC31" s="74" t="s">
        <v>1</v>
      </c>
      <c r="AD31" s="29" t="str">
        <f t="shared" si="2"/>
        <v>GUARULHOS</v>
      </c>
      <c r="AE31" s="12" t="s">
        <v>16</v>
      </c>
    </row>
    <row r="32" spans="1:31" ht="30" customHeight="1" x14ac:dyDescent="0.2">
      <c r="A32" s="82" t="s">
        <v>101</v>
      </c>
      <c r="B32" s="82">
        <v>2613871820</v>
      </c>
      <c r="C32" s="82" t="s">
        <v>67</v>
      </c>
      <c r="D32" s="82" t="s">
        <v>58</v>
      </c>
      <c r="E32" s="82" t="s">
        <v>102</v>
      </c>
      <c r="F32" s="82" t="s">
        <v>2026</v>
      </c>
      <c r="G32" s="82">
        <v>200</v>
      </c>
      <c r="H32" s="82"/>
      <c r="I32" s="82" t="s">
        <v>1945</v>
      </c>
      <c r="J32" s="82" t="s">
        <v>1984</v>
      </c>
      <c r="K32" s="82" t="s">
        <v>496</v>
      </c>
      <c r="L32" s="86" t="s">
        <v>217</v>
      </c>
      <c r="M32" s="86">
        <v>46057.588194444441</v>
      </c>
      <c r="N32" s="82" t="s">
        <v>119</v>
      </c>
      <c r="O32" s="85" t="s">
        <v>108</v>
      </c>
      <c r="P32" s="41"/>
      <c r="Q32" s="26" t="s">
        <v>108</v>
      </c>
      <c r="R32" s="25"/>
      <c r="S32" s="26" t="s">
        <v>108</v>
      </c>
      <c r="T32" s="25"/>
      <c r="U32" s="26" t="s">
        <v>108</v>
      </c>
      <c r="V32" s="25"/>
      <c r="W32" s="26" t="s">
        <v>108</v>
      </c>
      <c r="X32" s="13"/>
      <c r="Y32" s="26" t="s">
        <v>108</v>
      </c>
      <c r="Z32" s="46" t="str">
        <f t="shared" si="1"/>
        <v>C</v>
      </c>
      <c r="AA32" s="73" t="str">
        <f t="shared" si="0"/>
        <v>UTILIZOU O PDA CORRETAMENTE</v>
      </c>
      <c r="AB32" s="27" t="s">
        <v>108</v>
      </c>
      <c r="AC32" s="74" t="s">
        <v>1</v>
      </c>
      <c r="AD32" s="29" t="str">
        <f t="shared" si="2"/>
        <v>GUARULHOS</v>
      </c>
      <c r="AE32" s="12" t="s">
        <v>16</v>
      </c>
    </row>
    <row r="33" spans="1:31" ht="30" customHeight="1" x14ac:dyDescent="0.2">
      <c r="A33" s="82" t="s">
        <v>101</v>
      </c>
      <c r="B33" s="82">
        <v>2613890393</v>
      </c>
      <c r="C33" s="82" t="s">
        <v>67</v>
      </c>
      <c r="D33" s="82" t="s">
        <v>58</v>
      </c>
      <c r="E33" s="82" t="s">
        <v>102</v>
      </c>
      <c r="F33" s="82" t="s">
        <v>2027</v>
      </c>
      <c r="G33" s="82">
        <v>6</v>
      </c>
      <c r="H33" s="82" t="s">
        <v>117</v>
      </c>
      <c r="I33" s="82" t="s">
        <v>2028</v>
      </c>
      <c r="J33" s="82" t="s">
        <v>1984</v>
      </c>
      <c r="K33" s="82" t="s">
        <v>117</v>
      </c>
      <c r="L33" s="86" t="s">
        <v>217</v>
      </c>
      <c r="M33" s="86">
        <v>46057.568055555559</v>
      </c>
      <c r="N33" s="82" t="s">
        <v>119</v>
      </c>
      <c r="O33" s="85" t="s">
        <v>108</v>
      </c>
      <c r="P33" s="41"/>
      <c r="Q33" s="26" t="s">
        <v>108</v>
      </c>
      <c r="R33" s="25"/>
      <c r="S33" s="26" t="s">
        <v>108</v>
      </c>
      <c r="T33" s="25"/>
      <c r="U33" s="26" t="s">
        <v>108</v>
      </c>
      <c r="V33" s="25"/>
      <c r="W33" s="26" t="s">
        <v>108</v>
      </c>
      <c r="X33" s="13"/>
      <c r="Y33" s="26" t="s">
        <v>108</v>
      </c>
      <c r="Z33" s="46" t="str">
        <f t="shared" si="1"/>
        <v>C</v>
      </c>
      <c r="AA33" s="73" t="str">
        <f t="shared" si="0"/>
        <v>UTILIZOU O PDA CORRETAMENTE</v>
      </c>
      <c r="AB33" s="27" t="s">
        <v>108</v>
      </c>
      <c r="AC33" s="74" t="s">
        <v>1</v>
      </c>
      <c r="AD33" s="29" t="str">
        <f t="shared" si="2"/>
        <v>GUARULHOS</v>
      </c>
      <c r="AE33" s="12" t="s">
        <v>16</v>
      </c>
    </row>
    <row r="34" spans="1:31" ht="30" customHeight="1" x14ac:dyDescent="0.2">
      <c r="A34" s="82" t="s">
        <v>101</v>
      </c>
      <c r="B34" s="82">
        <v>2689440365</v>
      </c>
      <c r="C34" s="82" t="s">
        <v>65</v>
      </c>
      <c r="D34" s="82" t="s">
        <v>58</v>
      </c>
      <c r="E34" s="82" t="s">
        <v>102</v>
      </c>
      <c r="F34" s="82" t="s">
        <v>2029</v>
      </c>
      <c r="G34" s="82">
        <v>338</v>
      </c>
      <c r="H34" s="82" t="s">
        <v>2030</v>
      </c>
      <c r="I34" s="82" t="s">
        <v>1167</v>
      </c>
      <c r="J34" s="82" t="s">
        <v>1979</v>
      </c>
      <c r="K34" s="82" t="s">
        <v>1858</v>
      </c>
      <c r="L34" s="86" t="s">
        <v>217</v>
      </c>
      <c r="M34" s="86">
        <v>46057.384722222225</v>
      </c>
      <c r="N34" s="82" t="s">
        <v>1986</v>
      </c>
      <c r="O34" s="85" t="s">
        <v>108</v>
      </c>
      <c r="P34" s="41"/>
      <c r="Q34" s="26" t="s">
        <v>108</v>
      </c>
      <c r="R34" s="25"/>
      <c r="S34" s="26" t="s">
        <v>108</v>
      </c>
      <c r="T34" s="25"/>
      <c r="U34" s="26" t="s">
        <v>108</v>
      </c>
      <c r="V34" s="25"/>
      <c r="W34" s="26" t="s">
        <v>108</v>
      </c>
      <c r="X34" s="13"/>
      <c r="Y34" s="26" t="s">
        <v>108</v>
      </c>
      <c r="Z34" s="46" t="str">
        <f t="shared" si="1"/>
        <v>C</v>
      </c>
      <c r="AA34" s="73" t="str">
        <f t="shared" si="0"/>
        <v>UTILIZOU O PDA CORRETAMENTE</v>
      </c>
      <c r="AB34" s="27" t="s">
        <v>108</v>
      </c>
      <c r="AC34" s="74" t="s">
        <v>1</v>
      </c>
      <c r="AD34" s="29" t="str">
        <f t="shared" si="2"/>
        <v>GUARULHOS</v>
      </c>
      <c r="AE34" s="12" t="s">
        <v>16</v>
      </c>
    </row>
    <row r="35" spans="1:31" ht="30" customHeight="1" x14ac:dyDescent="0.2">
      <c r="A35" s="82" t="s">
        <v>101</v>
      </c>
      <c r="B35" s="82">
        <v>2689467383</v>
      </c>
      <c r="C35" s="82" t="s">
        <v>65</v>
      </c>
      <c r="D35" s="82" t="s">
        <v>58</v>
      </c>
      <c r="E35" s="82" t="s">
        <v>102</v>
      </c>
      <c r="F35" s="82" t="s">
        <v>2031</v>
      </c>
      <c r="G35" s="82">
        <v>224</v>
      </c>
      <c r="H35" s="82" t="s">
        <v>722</v>
      </c>
      <c r="I35" s="82" t="s">
        <v>245</v>
      </c>
      <c r="J35" s="82" t="s">
        <v>1979</v>
      </c>
      <c r="K35" s="82"/>
      <c r="L35" s="86" t="s">
        <v>217</v>
      </c>
      <c r="M35" s="86">
        <v>46057.408333333333</v>
      </c>
      <c r="N35" s="82" t="s">
        <v>1993</v>
      </c>
      <c r="O35" s="85" t="s">
        <v>108</v>
      </c>
      <c r="P35" s="41"/>
      <c r="Q35" s="26" t="s">
        <v>108</v>
      </c>
      <c r="R35" s="25"/>
      <c r="S35" s="26" t="s">
        <v>108</v>
      </c>
      <c r="T35" s="25"/>
      <c r="U35" s="26" t="s">
        <v>108</v>
      </c>
      <c r="V35" s="25"/>
      <c r="W35" s="26" t="s">
        <v>108</v>
      </c>
      <c r="X35" s="13"/>
      <c r="Y35" s="26" t="s">
        <v>108</v>
      </c>
      <c r="Z35" s="46" t="str">
        <f t="shared" si="1"/>
        <v>C</v>
      </c>
      <c r="AA35" s="73" t="str">
        <f t="shared" si="0"/>
        <v>UTILIZOU O PDA CORRETAMENTE</v>
      </c>
      <c r="AB35" s="27" t="s">
        <v>108</v>
      </c>
      <c r="AC35" s="74" t="s">
        <v>1</v>
      </c>
      <c r="AD35" s="29" t="str">
        <f t="shared" si="2"/>
        <v>GUARULHOS</v>
      </c>
      <c r="AE35" s="12" t="s">
        <v>16</v>
      </c>
    </row>
    <row r="36" spans="1:31" ht="30" customHeight="1" x14ac:dyDescent="0.2">
      <c r="A36" s="82" t="s">
        <v>101</v>
      </c>
      <c r="B36" s="82">
        <v>2689443496</v>
      </c>
      <c r="C36" s="82" t="s">
        <v>65</v>
      </c>
      <c r="D36" s="82" t="s">
        <v>58</v>
      </c>
      <c r="E36" s="82" t="s">
        <v>102</v>
      </c>
      <c r="F36" s="82" t="s">
        <v>1465</v>
      </c>
      <c r="G36" s="82">
        <v>142</v>
      </c>
      <c r="H36" s="82" t="s">
        <v>827</v>
      </c>
      <c r="I36" s="82" t="s">
        <v>1467</v>
      </c>
      <c r="J36" s="82" t="s">
        <v>1979</v>
      </c>
      <c r="K36" s="82"/>
      <c r="L36" s="86" t="s">
        <v>217</v>
      </c>
      <c r="M36" s="86">
        <v>46057.430555555555</v>
      </c>
      <c r="N36" s="82" t="s">
        <v>185</v>
      </c>
      <c r="O36" s="85" t="s">
        <v>108</v>
      </c>
      <c r="P36" s="41"/>
      <c r="Q36" s="26" t="s">
        <v>108</v>
      </c>
      <c r="R36" s="25"/>
      <c r="S36" s="26" t="s">
        <v>108</v>
      </c>
      <c r="T36" s="25"/>
      <c r="U36" s="26" t="s">
        <v>108</v>
      </c>
      <c r="V36" s="25"/>
      <c r="W36" s="26" t="s">
        <v>108</v>
      </c>
      <c r="X36" s="13"/>
      <c r="Y36" s="26" t="s">
        <v>108</v>
      </c>
      <c r="Z36" s="46" t="str">
        <f t="shared" si="1"/>
        <v>C</v>
      </c>
      <c r="AA36" s="73" t="str">
        <f t="shared" si="0"/>
        <v>UTILIZOU O PDA CORRETAMENTE</v>
      </c>
      <c r="AB36" s="27" t="s">
        <v>108</v>
      </c>
      <c r="AC36" s="74" t="s">
        <v>1</v>
      </c>
      <c r="AD36" s="29" t="str">
        <f t="shared" si="2"/>
        <v>GUARULHOS</v>
      </c>
      <c r="AE36" s="12" t="s">
        <v>16</v>
      </c>
    </row>
    <row r="37" spans="1:31" ht="30" customHeight="1" x14ac:dyDescent="0.2">
      <c r="A37" s="82" t="s">
        <v>101</v>
      </c>
      <c r="B37" s="82">
        <v>2613907189</v>
      </c>
      <c r="C37" s="82" t="s">
        <v>65</v>
      </c>
      <c r="D37" s="82" t="s">
        <v>58</v>
      </c>
      <c r="E37" s="82" t="s">
        <v>102</v>
      </c>
      <c r="F37" s="82" t="s">
        <v>2032</v>
      </c>
      <c r="G37" s="82">
        <v>382</v>
      </c>
      <c r="H37" s="82" t="s">
        <v>321</v>
      </c>
      <c r="I37" s="82" t="s">
        <v>581</v>
      </c>
      <c r="J37" s="82" t="s">
        <v>1979</v>
      </c>
      <c r="K37" s="82" t="s">
        <v>2033</v>
      </c>
      <c r="L37" s="86" t="s">
        <v>217</v>
      </c>
      <c r="M37" s="86">
        <v>46057.443055555559</v>
      </c>
      <c r="N37" s="82" t="s">
        <v>1993</v>
      </c>
      <c r="O37" s="85" t="s">
        <v>108</v>
      </c>
      <c r="P37" s="41"/>
      <c r="Q37" s="26" t="s">
        <v>108</v>
      </c>
      <c r="R37" s="25"/>
      <c r="S37" s="26" t="s">
        <v>108</v>
      </c>
      <c r="T37" s="25"/>
      <c r="U37" s="26" t="s">
        <v>108</v>
      </c>
      <c r="V37" s="25"/>
      <c r="W37" s="26" t="s">
        <v>108</v>
      </c>
      <c r="X37" s="13"/>
      <c r="Y37" s="26" t="s">
        <v>108</v>
      </c>
      <c r="Z37" s="46" t="str">
        <f t="shared" si="1"/>
        <v>C</v>
      </c>
      <c r="AA37" s="73" t="str">
        <f t="shared" si="0"/>
        <v>UTILIZOU O PDA CORRETAMENTE</v>
      </c>
      <c r="AB37" s="27" t="s">
        <v>108</v>
      </c>
      <c r="AC37" s="74" t="s">
        <v>1</v>
      </c>
      <c r="AD37" s="29" t="str">
        <f t="shared" si="2"/>
        <v>GUARULHOS</v>
      </c>
      <c r="AE37" s="12" t="s">
        <v>16</v>
      </c>
    </row>
    <row r="38" spans="1:31" ht="30" customHeight="1" x14ac:dyDescent="0.2">
      <c r="A38" s="82" t="s">
        <v>101</v>
      </c>
      <c r="B38" s="82">
        <v>2689499769</v>
      </c>
      <c r="C38" s="82" t="s">
        <v>65</v>
      </c>
      <c r="D38" s="82" t="s">
        <v>58</v>
      </c>
      <c r="E38" s="82" t="s">
        <v>102</v>
      </c>
      <c r="F38" s="82" t="s">
        <v>380</v>
      </c>
      <c r="G38" s="82">
        <v>763</v>
      </c>
      <c r="H38" s="82" t="s">
        <v>2034</v>
      </c>
      <c r="I38" s="82" t="s">
        <v>382</v>
      </c>
      <c r="J38" s="82" t="s">
        <v>1979</v>
      </c>
      <c r="K38" s="82" t="s">
        <v>2007</v>
      </c>
      <c r="L38" s="86" t="s">
        <v>217</v>
      </c>
      <c r="M38" s="86">
        <v>46057.444444444445</v>
      </c>
      <c r="N38" s="82" t="s">
        <v>597</v>
      </c>
      <c r="O38" s="85" t="s">
        <v>108</v>
      </c>
      <c r="P38" s="41"/>
      <c r="Q38" s="26" t="s">
        <v>108</v>
      </c>
      <c r="R38" s="25"/>
      <c r="S38" s="26" t="s">
        <v>108</v>
      </c>
      <c r="T38" s="25"/>
      <c r="U38" s="26" t="s">
        <v>108</v>
      </c>
      <c r="V38" s="25"/>
      <c r="W38" s="26" t="s">
        <v>108</v>
      </c>
      <c r="X38" s="13"/>
      <c r="Y38" s="26" t="s">
        <v>108</v>
      </c>
      <c r="Z38" s="46" t="str">
        <f t="shared" si="1"/>
        <v>C</v>
      </c>
      <c r="AA38" s="73" t="str">
        <f t="shared" si="0"/>
        <v>UTILIZOU O PDA CORRETAMENTE</v>
      </c>
      <c r="AB38" s="27" t="s">
        <v>108</v>
      </c>
      <c r="AC38" s="74" t="s">
        <v>1</v>
      </c>
      <c r="AD38" s="29" t="str">
        <f t="shared" si="2"/>
        <v>GUARULHOS</v>
      </c>
      <c r="AE38" s="12" t="s">
        <v>16</v>
      </c>
    </row>
    <row r="39" spans="1:31" ht="30" customHeight="1" x14ac:dyDescent="0.2">
      <c r="A39" s="82" t="s">
        <v>101</v>
      </c>
      <c r="B39" s="82">
        <v>2689448656</v>
      </c>
      <c r="C39" s="82" t="s">
        <v>65</v>
      </c>
      <c r="D39" s="82" t="s">
        <v>58</v>
      </c>
      <c r="E39" s="82" t="s">
        <v>102</v>
      </c>
      <c r="F39" s="82" t="s">
        <v>649</v>
      </c>
      <c r="G39" s="82">
        <v>1580</v>
      </c>
      <c r="H39" s="87" t="s">
        <v>2035</v>
      </c>
      <c r="I39" s="82" t="s">
        <v>650</v>
      </c>
      <c r="J39" s="82" t="s">
        <v>1979</v>
      </c>
      <c r="K39" s="82" t="s">
        <v>2036</v>
      </c>
      <c r="L39" s="86" t="s">
        <v>217</v>
      </c>
      <c r="M39" s="86">
        <v>46057.442361111112</v>
      </c>
      <c r="N39" s="82" t="s">
        <v>1986</v>
      </c>
      <c r="O39" s="85" t="s">
        <v>108</v>
      </c>
      <c r="P39" s="41"/>
      <c r="Q39" s="26" t="s">
        <v>108</v>
      </c>
      <c r="R39" s="25"/>
      <c r="S39" s="26" t="s">
        <v>108</v>
      </c>
      <c r="T39" s="25"/>
      <c r="U39" s="26" t="s">
        <v>108</v>
      </c>
      <c r="V39" s="25"/>
      <c r="W39" s="26" t="s">
        <v>108</v>
      </c>
      <c r="X39" s="13"/>
      <c r="Y39" s="26" t="s">
        <v>108</v>
      </c>
      <c r="Z39" s="46" t="str">
        <f t="shared" si="1"/>
        <v>C</v>
      </c>
      <c r="AA39" s="73" t="str">
        <f t="shared" si="0"/>
        <v>UTILIZOU O PDA CORRETAMENTE</v>
      </c>
      <c r="AB39" s="27" t="s">
        <v>108</v>
      </c>
      <c r="AC39" s="74" t="s">
        <v>1</v>
      </c>
      <c r="AD39" s="29" t="str">
        <f t="shared" si="2"/>
        <v>GUARULHOS</v>
      </c>
      <c r="AE39" s="12" t="s">
        <v>16</v>
      </c>
    </row>
    <row r="40" spans="1:31" ht="30" customHeight="1" x14ac:dyDescent="0.2">
      <c r="A40" s="82" t="s">
        <v>101</v>
      </c>
      <c r="B40" s="82">
        <v>2689433152</v>
      </c>
      <c r="C40" s="82" t="s">
        <v>65</v>
      </c>
      <c r="D40" s="82" t="s">
        <v>58</v>
      </c>
      <c r="E40" s="82" t="s">
        <v>102</v>
      </c>
      <c r="F40" s="82" t="s">
        <v>628</v>
      </c>
      <c r="G40" s="82">
        <v>404</v>
      </c>
      <c r="H40" s="82" t="s">
        <v>2037</v>
      </c>
      <c r="I40" s="82" t="s">
        <v>277</v>
      </c>
      <c r="J40" s="82" t="s">
        <v>1979</v>
      </c>
      <c r="K40" s="82" t="s">
        <v>2007</v>
      </c>
      <c r="L40" s="86" t="s">
        <v>217</v>
      </c>
      <c r="M40" s="86">
        <v>46057.494444444441</v>
      </c>
      <c r="N40" s="82" t="s">
        <v>597</v>
      </c>
      <c r="O40" s="85" t="s">
        <v>108</v>
      </c>
      <c r="P40" s="41"/>
      <c r="Q40" s="26" t="s">
        <v>108</v>
      </c>
      <c r="R40" s="25"/>
      <c r="S40" s="26" t="s">
        <v>108</v>
      </c>
      <c r="T40" s="25"/>
      <c r="U40" s="26" t="s">
        <v>108</v>
      </c>
      <c r="V40" s="25"/>
      <c r="W40" s="26" t="s">
        <v>108</v>
      </c>
      <c r="X40" s="13"/>
      <c r="Y40" s="26" t="s">
        <v>108</v>
      </c>
      <c r="Z40" s="46" t="str">
        <f t="shared" si="1"/>
        <v>C</v>
      </c>
      <c r="AA40" s="73" t="str">
        <f t="shared" si="0"/>
        <v>UTILIZOU O PDA CORRETAMENTE</v>
      </c>
      <c r="AB40" s="27" t="s">
        <v>108</v>
      </c>
      <c r="AC40" s="74" t="s">
        <v>1</v>
      </c>
      <c r="AD40" s="29" t="str">
        <f t="shared" si="2"/>
        <v>GUARULHOS</v>
      </c>
      <c r="AE40" s="12" t="s">
        <v>16</v>
      </c>
    </row>
    <row r="41" spans="1:31" ht="30" customHeight="1" x14ac:dyDescent="0.2">
      <c r="A41" s="82" t="s">
        <v>101</v>
      </c>
      <c r="B41" s="82">
        <v>2614063180</v>
      </c>
      <c r="C41" s="82" t="s">
        <v>65</v>
      </c>
      <c r="D41" s="82" t="s">
        <v>58</v>
      </c>
      <c r="E41" s="82" t="s">
        <v>102</v>
      </c>
      <c r="F41" s="82" t="s">
        <v>1203</v>
      </c>
      <c r="G41" s="82">
        <v>74</v>
      </c>
      <c r="H41" s="82" t="s">
        <v>2038</v>
      </c>
      <c r="I41" s="82" t="s">
        <v>2028</v>
      </c>
      <c r="J41" s="82" t="s">
        <v>1979</v>
      </c>
      <c r="K41" s="82" t="s">
        <v>1858</v>
      </c>
      <c r="L41" s="86" t="s">
        <v>217</v>
      </c>
      <c r="M41" s="86">
        <v>46057.631944444445</v>
      </c>
      <c r="N41" s="82" t="s">
        <v>1986</v>
      </c>
      <c r="O41" s="85" t="s">
        <v>108</v>
      </c>
      <c r="P41" s="41"/>
      <c r="Q41" s="26" t="s">
        <v>108</v>
      </c>
      <c r="R41" s="25"/>
      <c r="S41" s="26" t="s">
        <v>108</v>
      </c>
      <c r="T41" s="25"/>
      <c r="U41" s="26" t="s">
        <v>108</v>
      </c>
      <c r="V41" s="25"/>
      <c r="W41" s="26" t="s">
        <v>108</v>
      </c>
      <c r="X41" s="13"/>
      <c r="Y41" s="26" t="s">
        <v>108</v>
      </c>
      <c r="Z41" s="46" t="str">
        <f t="shared" si="1"/>
        <v>C</v>
      </c>
      <c r="AA41" s="73" t="str">
        <f t="shared" si="0"/>
        <v>UTILIZOU O PDA CORRETAMENTE</v>
      </c>
      <c r="AB41" s="27" t="s">
        <v>108</v>
      </c>
      <c r="AC41" s="74" t="s">
        <v>1</v>
      </c>
      <c r="AD41" s="29" t="str">
        <f t="shared" si="2"/>
        <v>GUARULHOS</v>
      </c>
      <c r="AE41" s="12" t="s">
        <v>16</v>
      </c>
    </row>
    <row r="42" spans="1:31" ht="30" customHeight="1" x14ac:dyDescent="0.2">
      <c r="A42" s="82" t="s">
        <v>101</v>
      </c>
      <c r="B42" s="82">
        <v>2689506208</v>
      </c>
      <c r="C42" s="82" t="s">
        <v>65</v>
      </c>
      <c r="D42" s="82" t="s">
        <v>58</v>
      </c>
      <c r="E42" s="82" t="s">
        <v>102</v>
      </c>
      <c r="F42" s="82" t="s">
        <v>806</v>
      </c>
      <c r="G42" s="82">
        <v>450</v>
      </c>
      <c r="H42" s="82" t="s">
        <v>174</v>
      </c>
      <c r="I42" s="82" t="s">
        <v>647</v>
      </c>
      <c r="J42" s="82" t="s">
        <v>1979</v>
      </c>
      <c r="K42" s="82" t="s">
        <v>117</v>
      </c>
      <c r="L42" s="86" t="s">
        <v>217</v>
      </c>
      <c r="M42" s="86">
        <v>46057.663888888892</v>
      </c>
      <c r="N42" s="82" t="s">
        <v>1993</v>
      </c>
      <c r="O42" s="85" t="s">
        <v>108</v>
      </c>
      <c r="P42" s="41"/>
      <c r="Q42" s="26" t="s">
        <v>108</v>
      </c>
      <c r="R42" s="25"/>
      <c r="S42" s="26" t="s">
        <v>108</v>
      </c>
      <c r="T42" s="25"/>
      <c r="U42" s="26" t="s">
        <v>108</v>
      </c>
      <c r="V42" s="25"/>
      <c r="W42" s="26" t="s">
        <v>108</v>
      </c>
      <c r="X42" s="13"/>
      <c r="Y42" s="26" t="s">
        <v>108</v>
      </c>
      <c r="Z42" s="46" t="str">
        <f t="shared" si="1"/>
        <v>C</v>
      </c>
      <c r="AA42" s="73" t="str">
        <f t="shared" si="0"/>
        <v>UTILIZOU O PDA CORRETAMENTE</v>
      </c>
      <c r="AB42" s="27" t="s">
        <v>108</v>
      </c>
      <c r="AC42" s="74" t="s">
        <v>1</v>
      </c>
      <c r="AD42" s="29" t="str">
        <f t="shared" si="2"/>
        <v>GUARULHOS</v>
      </c>
      <c r="AE42" s="12" t="s">
        <v>16</v>
      </c>
    </row>
    <row r="43" spans="1:31" ht="30" customHeight="1" x14ac:dyDescent="0.2">
      <c r="A43" s="82" t="s">
        <v>101</v>
      </c>
      <c r="B43" s="82">
        <v>2689512595</v>
      </c>
      <c r="C43" s="82" t="s">
        <v>65</v>
      </c>
      <c r="D43" s="82" t="s">
        <v>58</v>
      </c>
      <c r="E43" s="82" t="s">
        <v>102</v>
      </c>
      <c r="F43" s="82" t="s">
        <v>1278</v>
      </c>
      <c r="G43" s="82">
        <v>263</v>
      </c>
      <c r="H43" s="82"/>
      <c r="I43" s="82" t="s">
        <v>175</v>
      </c>
      <c r="J43" s="82" t="s">
        <v>1979</v>
      </c>
      <c r="K43" s="82" t="s">
        <v>2007</v>
      </c>
      <c r="L43" s="86" t="s">
        <v>217</v>
      </c>
      <c r="M43" s="86">
        <v>46057.686805555553</v>
      </c>
      <c r="N43" s="82" t="s">
        <v>597</v>
      </c>
      <c r="O43" s="85" t="s">
        <v>108</v>
      </c>
      <c r="P43" s="41"/>
      <c r="Q43" s="26" t="s">
        <v>108</v>
      </c>
      <c r="R43" s="25"/>
      <c r="S43" s="26" t="s">
        <v>108</v>
      </c>
      <c r="T43" s="25"/>
      <c r="U43" s="26" t="s">
        <v>108</v>
      </c>
      <c r="V43" s="25"/>
      <c r="W43" s="26" t="s">
        <v>108</v>
      </c>
      <c r="X43" s="13"/>
      <c r="Y43" s="26" t="s">
        <v>108</v>
      </c>
      <c r="Z43" s="46" t="str">
        <f t="shared" si="1"/>
        <v>C</v>
      </c>
      <c r="AA43" s="73" t="str">
        <f t="shared" si="0"/>
        <v>UTILIZOU O PDA CORRETAMENTE</v>
      </c>
      <c r="AB43" s="27" t="s">
        <v>108</v>
      </c>
      <c r="AC43" s="74" t="s">
        <v>1</v>
      </c>
      <c r="AD43" s="29" t="str">
        <f t="shared" si="2"/>
        <v>GUARULHOS</v>
      </c>
      <c r="AE43" s="12" t="s">
        <v>16</v>
      </c>
    </row>
    <row r="44" spans="1:31" ht="30" customHeight="1" x14ac:dyDescent="0.2">
      <c r="A44" s="82" t="s">
        <v>101</v>
      </c>
      <c r="B44" s="82">
        <v>2614120224</v>
      </c>
      <c r="C44" s="82" t="s">
        <v>67</v>
      </c>
      <c r="D44" s="82" t="s">
        <v>58</v>
      </c>
      <c r="E44" s="82" t="s">
        <v>102</v>
      </c>
      <c r="F44" s="82" t="s">
        <v>861</v>
      </c>
      <c r="G44" s="82">
        <v>49</v>
      </c>
      <c r="H44" s="82" t="s">
        <v>241</v>
      </c>
      <c r="I44" s="82" t="s">
        <v>158</v>
      </c>
      <c r="J44" s="82" t="s">
        <v>1984</v>
      </c>
      <c r="K44" s="82" t="s">
        <v>2039</v>
      </c>
      <c r="L44" s="86" t="s">
        <v>273</v>
      </c>
      <c r="M44" s="86">
        <v>46085.570138888892</v>
      </c>
      <c r="N44" s="82" t="s">
        <v>274</v>
      </c>
      <c r="O44" s="85" t="s">
        <v>108</v>
      </c>
      <c r="P44" s="41"/>
      <c r="Q44" s="26" t="s">
        <v>108</v>
      </c>
      <c r="R44" s="25"/>
      <c r="S44" s="26" t="s">
        <v>108</v>
      </c>
      <c r="T44" s="25"/>
      <c r="U44" s="26" t="s">
        <v>108</v>
      </c>
      <c r="V44" s="25"/>
      <c r="W44" s="26" t="s">
        <v>108</v>
      </c>
      <c r="X44" s="13"/>
      <c r="Y44" s="26" t="s">
        <v>108</v>
      </c>
      <c r="Z44" s="46" t="str">
        <f t="shared" si="1"/>
        <v>C</v>
      </c>
      <c r="AA44" s="73" t="str">
        <f t="shared" si="0"/>
        <v>UTILIZOU O PDA CORRETAMENTE</v>
      </c>
      <c r="AB44" s="27" t="s">
        <v>108</v>
      </c>
      <c r="AC44" s="74" t="s">
        <v>1</v>
      </c>
      <c r="AD44" s="29" t="str">
        <f t="shared" si="2"/>
        <v>GUARULHOS</v>
      </c>
      <c r="AE44" s="12" t="s">
        <v>16</v>
      </c>
    </row>
    <row r="45" spans="1:31" ht="30" customHeight="1" x14ac:dyDescent="0.2">
      <c r="A45" s="82" t="s">
        <v>101</v>
      </c>
      <c r="B45" s="82">
        <v>2614172872</v>
      </c>
      <c r="C45" s="82" t="s">
        <v>60</v>
      </c>
      <c r="D45" s="82" t="s">
        <v>16</v>
      </c>
      <c r="E45" s="82" t="s">
        <v>102</v>
      </c>
      <c r="F45" s="82" t="s">
        <v>651</v>
      </c>
      <c r="G45" s="82">
        <v>570</v>
      </c>
      <c r="H45" s="82" t="s">
        <v>2040</v>
      </c>
      <c r="I45" s="82" t="s">
        <v>382</v>
      </c>
      <c r="J45" s="82" t="s">
        <v>1979</v>
      </c>
      <c r="K45" s="82" t="s">
        <v>117</v>
      </c>
      <c r="L45" s="86" t="s">
        <v>273</v>
      </c>
      <c r="M45" s="86">
        <v>46085.467361111114</v>
      </c>
      <c r="N45" s="82" t="s">
        <v>597</v>
      </c>
      <c r="O45" s="85" t="s">
        <v>108</v>
      </c>
      <c r="P45" s="41"/>
      <c r="Q45" s="26" t="s">
        <v>108</v>
      </c>
      <c r="R45" s="25"/>
      <c r="S45" s="26" t="s">
        <v>108</v>
      </c>
      <c r="T45" s="25"/>
      <c r="U45" s="26" t="s">
        <v>108</v>
      </c>
      <c r="V45" s="25"/>
      <c r="W45" s="26" t="s">
        <v>108</v>
      </c>
      <c r="X45" s="13"/>
      <c r="Y45" s="26" t="s">
        <v>108</v>
      </c>
      <c r="Z45" s="46" t="str">
        <f t="shared" si="1"/>
        <v>C</v>
      </c>
      <c r="AA45" s="73" t="str">
        <f t="shared" si="0"/>
        <v>UTILIZOU O PDA CORRETAMENTE</v>
      </c>
      <c r="AB45" s="27" t="s">
        <v>108</v>
      </c>
      <c r="AC45" s="74" t="s">
        <v>1</v>
      </c>
      <c r="AD45" s="29" t="str">
        <f t="shared" si="2"/>
        <v>GUARULHOS</v>
      </c>
      <c r="AE45" s="12" t="s">
        <v>16</v>
      </c>
    </row>
    <row r="46" spans="1:31" ht="30" customHeight="1" x14ac:dyDescent="0.2">
      <c r="A46" s="82" t="s">
        <v>101</v>
      </c>
      <c r="B46" s="82">
        <v>2689524362</v>
      </c>
      <c r="C46" s="82" t="s">
        <v>60</v>
      </c>
      <c r="D46" s="82" t="s">
        <v>16</v>
      </c>
      <c r="E46" s="82" t="s">
        <v>102</v>
      </c>
      <c r="F46" s="82" t="s">
        <v>1399</v>
      </c>
      <c r="G46" s="82">
        <v>517</v>
      </c>
      <c r="H46" s="82" t="s">
        <v>2041</v>
      </c>
      <c r="I46" s="82" t="s">
        <v>367</v>
      </c>
      <c r="J46" s="82" t="s">
        <v>1979</v>
      </c>
      <c r="K46" s="82"/>
      <c r="L46" s="86" t="s">
        <v>273</v>
      </c>
      <c r="M46" s="86">
        <v>46085.415277777778</v>
      </c>
      <c r="N46" s="82" t="s">
        <v>2042</v>
      </c>
      <c r="O46" s="85" t="s">
        <v>108</v>
      </c>
      <c r="P46" s="41"/>
      <c r="Q46" s="26" t="s">
        <v>108</v>
      </c>
      <c r="R46" s="25"/>
      <c r="S46" s="26" t="s">
        <v>108</v>
      </c>
      <c r="T46" s="25"/>
      <c r="U46" s="26" t="s">
        <v>108</v>
      </c>
      <c r="V46" s="25"/>
      <c r="W46" s="26" t="s">
        <v>108</v>
      </c>
      <c r="X46" s="13"/>
      <c r="Y46" s="26" t="s">
        <v>108</v>
      </c>
      <c r="Z46" s="46" t="str">
        <f t="shared" si="1"/>
        <v>C</v>
      </c>
      <c r="AA46" s="73" t="str">
        <f t="shared" si="0"/>
        <v>UTILIZOU O PDA CORRETAMENTE</v>
      </c>
      <c r="AB46" s="27" t="s">
        <v>108</v>
      </c>
      <c r="AC46" s="74" t="s">
        <v>1</v>
      </c>
      <c r="AD46" s="29" t="str">
        <f t="shared" si="2"/>
        <v>GUARULHOS</v>
      </c>
      <c r="AE46" s="12" t="s">
        <v>16</v>
      </c>
    </row>
    <row r="47" spans="1:31" ht="30" customHeight="1" x14ac:dyDescent="0.2">
      <c r="A47" s="82" t="s">
        <v>101</v>
      </c>
      <c r="B47" s="82">
        <v>2614167690</v>
      </c>
      <c r="C47" s="82" t="s">
        <v>67</v>
      </c>
      <c r="D47" s="82" t="s">
        <v>58</v>
      </c>
      <c r="E47" s="82" t="s">
        <v>102</v>
      </c>
      <c r="F47" s="82" t="s">
        <v>2043</v>
      </c>
      <c r="G47" s="82">
        <v>34</v>
      </c>
      <c r="H47" s="82" t="s">
        <v>635</v>
      </c>
      <c r="I47" s="82" t="s">
        <v>1125</v>
      </c>
      <c r="J47" s="82" t="s">
        <v>1984</v>
      </c>
      <c r="K47" s="82" t="s">
        <v>117</v>
      </c>
      <c r="L47" s="86" t="s">
        <v>273</v>
      </c>
      <c r="M47" s="86">
        <v>46085.524305555555</v>
      </c>
      <c r="N47" s="82" t="s">
        <v>1993</v>
      </c>
      <c r="O47" s="85" t="s">
        <v>108</v>
      </c>
      <c r="P47" s="41"/>
      <c r="Q47" s="26" t="s">
        <v>108</v>
      </c>
      <c r="R47" s="25"/>
      <c r="S47" s="26" t="s">
        <v>108</v>
      </c>
      <c r="T47" s="25"/>
      <c r="U47" s="26" t="s">
        <v>108</v>
      </c>
      <c r="V47" s="25"/>
      <c r="W47" s="26" t="s">
        <v>108</v>
      </c>
      <c r="X47" s="13"/>
      <c r="Y47" s="26" t="s">
        <v>108</v>
      </c>
      <c r="Z47" s="46" t="str">
        <f t="shared" si="1"/>
        <v>C</v>
      </c>
      <c r="AA47" s="73" t="str">
        <f t="shared" si="0"/>
        <v>UTILIZOU O PDA CORRETAMENTE</v>
      </c>
      <c r="AB47" s="27" t="s">
        <v>108</v>
      </c>
      <c r="AC47" s="74" t="s">
        <v>1</v>
      </c>
      <c r="AD47" s="29" t="str">
        <f t="shared" si="2"/>
        <v>GUARULHOS</v>
      </c>
      <c r="AE47" s="12" t="s">
        <v>16</v>
      </c>
    </row>
    <row r="48" spans="1:31" ht="30" customHeight="1" x14ac:dyDescent="0.2">
      <c r="A48" s="82" t="s">
        <v>101</v>
      </c>
      <c r="B48" s="82">
        <v>2689568376</v>
      </c>
      <c r="C48" s="82" t="s">
        <v>60</v>
      </c>
      <c r="D48" s="82" t="s">
        <v>16</v>
      </c>
      <c r="E48" s="82" t="s">
        <v>102</v>
      </c>
      <c r="F48" s="82" t="s">
        <v>435</v>
      </c>
      <c r="G48" s="82">
        <v>324</v>
      </c>
      <c r="H48" s="82" t="s">
        <v>603</v>
      </c>
      <c r="I48" s="82" t="s">
        <v>154</v>
      </c>
      <c r="J48" s="82" t="s">
        <v>2044</v>
      </c>
      <c r="K48" s="82"/>
      <c r="L48" s="86" t="s">
        <v>273</v>
      </c>
      <c r="M48" s="86">
        <v>46085.415277777778</v>
      </c>
      <c r="N48" s="82" t="s">
        <v>2045</v>
      </c>
      <c r="O48" s="85" t="s">
        <v>108</v>
      </c>
      <c r="P48" s="41"/>
      <c r="Q48" s="26" t="s">
        <v>108</v>
      </c>
      <c r="R48" s="25"/>
      <c r="S48" s="26" t="s">
        <v>108</v>
      </c>
      <c r="T48" s="25"/>
      <c r="U48" s="26" t="s">
        <v>108</v>
      </c>
      <c r="V48" s="25"/>
      <c r="W48" s="26" t="s">
        <v>108</v>
      </c>
      <c r="X48" s="13"/>
      <c r="Y48" s="26" t="s">
        <v>108</v>
      </c>
      <c r="Z48" s="46" t="str">
        <f t="shared" si="1"/>
        <v>C</v>
      </c>
      <c r="AA48" s="73" t="str">
        <f t="shared" si="0"/>
        <v>UTILIZOU O PDA CORRETAMENTE</v>
      </c>
      <c r="AB48" s="27" t="s">
        <v>108</v>
      </c>
      <c r="AC48" s="74" t="s">
        <v>1</v>
      </c>
      <c r="AD48" s="29" t="str">
        <f t="shared" si="2"/>
        <v>GUARULHOS</v>
      </c>
      <c r="AE48" s="12" t="s">
        <v>16</v>
      </c>
    </row>
    <row r="49" spans="1:31" ht="30" customHeight="1" x14ac:dyDescent="0.2">
      <c r="A49" s="82" t="s">
        <v>101</v>
      </c>
      <c r="B49" s="82">
        <v>2689542343</v>
      </c>
      <c r="C49" s="82" t="s">
        <v>65</v>
      </c>
      <c r="D49" s="82" t="s">
        <v>58</v>
      </c>
      <c r="E49" s="82" t="s">
        <v>102</v>
      </c>
      <c r="F49" s="82" t="s">
        <v>605</v>
      </c>
      <c r="G49" s="82">
        <v>147</v>
      </c>
      <c r="H49" s="82"/>
      <c r="I49" s="82" t="s">
        <v>483</v>
      </c>
      <c r="J49" s="82" t="s">
        <v>1979</v>
      </c>
      <c r="K49" s="82" t="s">
        <v>2046</v>
      </c>
      <c r="L49" s="86" t="s">
        <v>273</v>
      </c>
      <c r="M49" s="86">
        <v>46085.369444444441</v>
      </c>
      <c r="N49" s="82" t="s">
        <v>2045</v>
      </c>
      <c r="O49" s="85" t="s">
        <v>108</v>
      </c>
      <c r="P49" s="41"/>
      <c r="Q49" s="26" t="s">
        <v>108</v>
      </c>
      <c r="R49" s="25"/>
      <c r="S49" s="26" t="s">
        <v>108</v>
      </c>
      <c r="T49" s="25"/>
      <c r="U49" s="26" t="s">
        <v>108</v>
      </c>
      <c r="V49" s="25"/>
      <c r="W49" s="26" t="s">
        <v>108</v>
      </c>
      <c r="X49" s="13"/>
      <c r="Y49" s="26" t="s">
        <v>108</v>
      </c>
      <c r="Z49" s="46" t="str">
        <f t="shared" si="1"/>
        <v>C</v>
      </c>
      <c r="AA49" s="73" t="str">
        <f t="shared" si="0"/>
        <v>UTILIZOU O PDA CORRETAMENTE</v>
      </c>
      <c r="AB49" s="27" t="s">
        <v>108</v>
      </c>
      <c r="AC49" s="74" t="s">
        <v>1</v>
      </c>
      <c r="AD49" s="29" t="str">
        <f t="shared" si="2"/>
        <v>GUARULHOS</v>
      </c>
      <c r="AE49" s="12" t="s">
        <v>16</v>
      </c>
    </row>
    <row r="50" spans="1:31" ht="30" customHeight="1" x14ac:dyDescent="0.2">
      <c r="A50" s="82" t="s">
        <v>101</v>
      </c>
      <c r="B50" s="82">
        <v>2689556034</v>
      </c>
      <c r="C50" s="82" t="s">
        <v>65</v>
      </c>
      <c r="D50" s="82" t="s">
        <v>58</v>
      </c>
      <c r="E50" s="82" t="s">
        <v>102</v>
      </c>
      <c r="F50" s="82" t="s">
        <v>646</v>
      </c>
      <c r="G50" s="82">
        <v>260</v>
      </c>
      <c r="H50" s="82" t="s">
        <v>2047</v>
      </c>
      <c r="I50" s="82" t="s">
        <v>647</v>
      </c>
      <c r="J50" s="82" t="s">
        <v>1979</v>
      </c>
      <c r="K50" s="82" t="s">
        <v>2048</v>
      </c>
      <c r="L50" s="86" t="s">
        <v>273</v>
      </c>
      <c r="M50" s="86">
        <v>46085.395138888889</v>
      </c>
      <c r="N50" s="82" t="s">
        <v>1993</v>
      </c>
      <c r="O50" s="85" t="s">
        <v>108</v>
      </c>
      <c r="P50" s="41"/>
      <c r="Q50" s="26" t="s">
        <v>108</v>
      </c>
      <c r="R50" s="25"/>
      <c r="S50" s="26" t="s">
        <v>108</v>
      </c>
      <c r="T50" s="25"/>
      <c r="U50" s="26" t="s">
        <v>108</v>
      </c>
      <c r="V50" s="25"/>
      <c r="W50" s="26" t="s">
        <v>108</v>
      </c>
      <c r="X50" s="13"/>
      <c r="Y50" s="26" t="s">
        <v>108</v>
      </c>
      <c r="Z50" s="46" t="str">
        <f t="shared" si="1"/>
        <v>C</v>
      </c>
      <c r="AA50" s="73" t="str">
        <f t="shared" si="0"/>
        <v>UTILIZOU O PDA CORRETAMENTE</v>
      </c>
      <c r="AB50" s="27" t="s">
        <v>108</v>
      </c>
      <c r="AC50" s="74" t="s">
        <v>1</v>
      </c>
      <c r="AD50" s="29" t="str">
        <f t="shared" si="2"/>
        <v>GUARULHOS</v>
      </c>
      <c r="AE50" s="12" t="s">
        <v>16</v>
      </c>
    </row>
    <row r="51" spans="1:31" ht="30" customHeight="1" x14ac:dyDescent="0.2">
      <c r="A51" s="82" t="s">
        <v>101</v>
      </c>
      <c r="B51" s="82">
        <v>2689568791</v>
      </c>
      <c r="C51" s="82" t="s">
        <v>60</v>
      </c>
      <c r="D51" s="82" t="s">
        <v>16</v>
      </c>
      <c r="E51" s="82" t="s">
        <v>102</v>
      </c>
      <c r="F51" s="82" t="s">
        <v>2022</v>
      </c>
      <c r="G51" s="82">
        <v>291</v>
      </c>
      <c r="H51" s="82"/>
      <c r="I51" s="82" t="s">
        <v>382</v>
      </c>
      <c r="J51" s="82" t="s">
        <v>1979</v>
      </c>
      <c r="K51" s="82"/>
      <c r="L51" s="86" t="s">
        <v>273</v>
      </c>
      <c r="M51" s="86">
        <v>46085.450694444444</v>
      </c>
      <c r="N51" s="82" t="s">
        <v>597</v>
      </c>
      <c r="O51" s="85" t="s">
        <v>108</v>
      </c>
      <c r="P51" s="41"/>
      <c r="Q51" s="26" t="s">
        <v>108</v>
      </c>
      <c r="R51" s="25"/>
      <c r="S51" s="26" t="s">
        <v>108</v>
      </c>
      <c r="T51" s="25"/>
      <c r="U51" s="26" t="s">
        <v>108</v>
      </c>
      <c r="V51" s="25"/>
      <c r="W51" s="26" t="s">
        <v>108</v>
      </c>
      <c r="X51" s="13"/>
      <c r="Y51" s="26" t="s">
        <v>108</v>
      </c>
      <c r="Z51" s="46" t="str">
        <f t="shared" si="1"/>
        <v>C</v>
      </c>
      <c r="AA51" s="73" t="str">
        <f t="shared" si="0"/>
        <v>UTILIZOU O PDA CORRETAMENTE</v>
      </c>
      <c r="AB51" s="27" t="s">
        <v>108</v>
      </c>
      <c r="AC51" s="74" t="s">
        <v>1</v>
      </c>
      <c r="AD51" s="29" t="str">
        <f t="shared" si="2"/>
        <v>GUARULHOS</v>
      </c>
      <c r="AE51" s="12" t="s">
        <v>16</v>
      </c>
    </row>
    <row r="52" spans="1:31" ht="30" customHeight="1" x14ac:dyDescent="0.2">
      <c r="A52" s="82" t="s">
        <v>101</v>
      </c>
      <c r="B52" s="82">
        <v>2689565134</v>
      </c>
      <c r="C52" s="82" t="s">
        <v>65</v>
      </c>
      <c r="D52" s="82" t="s">
        <v>58</v>
      </c>
      <c r="E52" s="82" t="s">
        <v>102</v>
      </c>
      <c r="F52" s="82" t="s">
        <v>2049</v>
      </c>
      <c r="G52" s="82">
        <v>130</v>
      </c>
      <c r="H52" s="82" t="s">
        <v>153</v>
      </c>
      <c r="I52" s="82" t="s">
        <v>1172</v>
      </c>
      <c r="J52" s="82" t="s">
        <v>1979</v>
      </c>
      <c r="K52" s="82" t="s">
        <v>117</v>
      </c>
      <c r="L52" s="86" t="s">
        <v>273</v>
      </c>
      <c r="M52" s="86">
        <v>46085.415277777778</v>
      </c>
      <c r="N52" s="82" t="s">
        <v>1993</v>
      </c>
      <c r="O52" s="85" t="s">
        <v>108</v>
      </c>
      <c r="P52" s="41"/>
      <c r="Q52" s="26" t="s">
        <v>108</v>
      </c>
      <c r="R52" s="25"/>
      <c r="S52" s="26" t="s">
        <v>108</v>
      </c>
      <c r="T52" s="25"/>
      <c r="U52" s="26" t="s">
        <v>108</v>
      </c>
      <c r="V52" s="25"/>
      <c r="W52" s="26" t="s">
        <v>108</v>
      </c>
      <c r="X52" s="13"/>
      <c r="Y52" s="26" t="s">
        <v>108</v>
      </c>
      <c r="Z52" s="46" t="str">
        <f t="shared" si="1"/>
        <v>C</v>
      </c>
      <c r="AA52" s="73" t="str">
        <f t="shared" si="0"/>
        <v>UTILIZOU O PDA CORRETAMENTE</v>
      </c>
      <c r="AB52" s="27" t="s">
        <v>108</v>
      </c>
      <c r="AC52" s="74" t="s">
        <v>1</v>
      </c>
      <c r="AD52" s="29" t="str">
        <f t="shared" si="2"/>
        <v>GUARULHOS</v>
      </c>
      <c r="AE52" s="12" t="s">
        <v>16</v>
      </c>
    </row>
    <row r="53" spans="1:31" ht="30" customHeight="1" x14ac:dyDescent="0.2">
      <c r="A53" s="82" t="s">
        <v>101</v>
      </c>
      <c r="B53" s="82">
        <v>2614166543</v>
      </c>
      <c r="C53" s="82" t="s">
        <v>65</v>
      </c>
      <c r="D53" s="82" t="s">
        <v>58</v>
      </c>
      <c r="E53" s="82" t="s">
        <v>102</v>
      </c>
      <c r="F53" s="82" t="s">
        <v>2050</v>
      </c>
      <c r="G53" s="82">
        <v>225</v>
      </c>
      <c r="H53" s="82" t="s">
        <v>1638</v>
      </c>
      <c r="I53" s="82" t="s">
        <v>191</v>
      </c>
      <c r="J53" s="82" t="s">
        <v>1979</v>
      </c>
      <c r="K53" s="82" t="s">
        <v>117</v>
      </c>
      <c r="L53" s="86" t="s">
        <v>273</v>
      </c>
      <c r="M53" s="86">
        <v>46085.427777777775</v>
      </c>
      <c r="N53" s="82" t="s">
        <v>185</v>
      </c>
      <c r="O53" s="85" t="s">
        <v>108</v>
      </c>
      <c r="P53" s="41"/>
      <c r="Q53" s="26" t="s">
        <v>108</v>
      </c>
      <c r="R53" s="25"/>
      <c r="S53" s="26" t="s">
        <v>108</v>
      </c>
      <c r="T53" s="25"/>
      <c r="U53" s="26" t="s">
        <v>108</v>
      </c>
      <c r="V53" s="25"/>
      <c r="W53" s="26" t="s">
        <v>108</v>
      </c>
      <c r="X53" s="13"/>
      <c r="Y53" s="26" t="s">
        <v>108</v>
      </c>
      <c r="Z53" s="46" t="str">
        <f t="shared" si="1"/>
        <v>C</v>
      </c>
      <c r="AA53" s="73" t="str">
        <f t="shared" si="0"/>
        <v>UTILIZOU O PDA CORRETAMENTE</v>
      </c>
      <c r="AB53" s="27" t="s">
        <v>108</v>
      </c>
      <c r="AC53" s="74" t="s">
        <v>1</v>
      </c>
      <c r="AD53" s="29" t="str">
        <f t="shared" si="2"/>
        <v>GUARULHOS</v>
      </c>
      <c r="AE53" s="12" t="s">
        <v>16</v>
      </c>
    </row>
    <row r="54" spans="1:31" ht="30" customHeight="1" x14ac:dyDescent="0.2">
      <c r="A54" s="82" t="s">
        <v>101</v>
      </c>
      <c r="B54" s="82">
        <v>2689571035</v>
      </c>
      <c r="C54" s="82" t="s">
        <v>60</v>
      </c>
      <c r="D54" s="82" t="s">
        <v>16</v>
      </c>
      <c r="E54" s="82" t="s">
        <v>102</v>
      </c>
      <c r="F54" s="82" t="s">
        <v>1754</v>
      </c>
      <c r="G54" s="82">
        <v>399</v>
      </c>
      <c r="H54" s="82" t="s">
        <v>174</v>
      </c>
      <c r="I54" s="82" t="s">
        <v>662</v>
      </c>
      <c r="J54" s="82" t="s">
        <v>1979</v>
      </c>
      <c r="K54" s="82"/>
      <c r="L54" s="86" t="s">
        <v>273</v>
      </c>
      <c r="M54" s="86">
        <v>46085.456944444442</v>
      </c>
      <c r="N54" s="82" t="s">
        <v>185</v>
      </c>
      <c r="O54" s="85" t="s">
        <v>108</v>
      </c>
      <c r="P54" s="41"/>
      <c r="Q54" s="26" t="s">
        <v>108</v>
      </c>
      <c r="R54" s="25"/>
      <c r="S54" s="26" t="s">
        <v>108</v>
      </c>
      <c r="T54" s="25"/>
      <c r="U54" s="26" t="s">
        <v>108</v>
      </c>
      <c r="V54" s="25"/>
      <c r="W54" s="26" t="s">
        <v>108</v>
      </c>
      <c r="X54" s="13"/>
      <c r="Y54" s="26" t="s">
        <v>108</v>
      </c>
      <c r="Z54" s="46" t="str">
        <f t="shared" si="1"/>
        <v>C</v>
      </c>
      <c r="AA54" s="73" t="str">
        <f t="shared" si="0"/>
        <v>UTILIZOU O PDA CORRETAMENTE</v>
      </c>
      <c r="AB54" s="27" t="s">
        <v>108</v>
      </c>
      <c r="AC54" s="74" t="s">
        <v>1</v>
      </c>
      <c r="AD54" s="29" t="str">
        <f t="shared" si="2"/>
        <v>GUARULHOS</v>
      </c>
      <c r="AE54" s="12" t="s">
        <v>16</v>
      </c>
    </row>
    <row r="55" spans="1:31" ht="30" customHeight="1" x14ac:dyDescent="0.2">
      <c r="A55" s="82" t="s">
        <v>101</v>
      </c>
      <c r="B55" s="82">
        <v>2689570966</v>
      </c>
      <c r="C55" s="82" t="s">
        <v>65</v>
      </c>
      <c r="D55" s="82" t="s">
        <v>58</v>
      </c>
      <c r="E55" s="82" t="s">
        <v>102</v>
      </c>
      <c r="F55" s="82" t="s">
        <v>1754</v>
      </c>
      <c r="G55" s="82">
        <v>232</v>
      </c>
      <c r="H55" s="82" t="s">
        <v>2051</v>
      </c>
      <c r="I55" s="82" t="s">
        <v>662</v>
      </c>
      <c r="J55" s="82" t="s">
        <v>1979</v>
      </c>
      <c r="K55" s="82" t="s">
        <v>117</v>
      </c>
      <c r="L55" s="86" t="s">
        <v>273</v>
      </c>
      <c r="M55" s="86">
        <v>46085.451388888891</v>
      </c>
      <c r="N55" s="82" t="s">
        <v>185</v>
      </c>
      <c r="O55" s="85" t="s">
        <v>108</v>
      </c>
      <c r="P55" s="41"/>
      <c r="Q55" s="26" t="s">
        <v>108</v>
      </c>
      <c r="R55" s="25"/>
      <c r="S55" s="26" t="s">
        <v>108</v>
      </c>
      <c r="T55" s="25"/>
      <c r="U55" s="26" t="s">
        <v>108</v>
      </c>
      <c r="V55" s="25"/>
      <c r="W55" s="26" t="s">
        <v>108</v>
      </c>
      <c r="X55" s="13"/>
      <c r="Y55" s="26" t="s">
        <v>108</v>
      </c>
      <c r="Z55" s="46" t="str">
        <f t="shared" si="1"/>
        <v>C</v>
      </c>
      <c r="AA55" s="73" t="str">
        <f t="shared" si="0"/>
        <v>UTILIZOU O PDA CORRETAMENTE</v>
      </c>
      <c r="AB55" s="27" t="s">
        <v>108</v>
      </c>
      <c r="AC55" s="74" t="s">
        <v>1</v>
      </c>
      <c r="AD55" s="29" t="str">
        <f t="shared" si="2"/>
        <v>GUARULHOS</v>
      </c>
      <c r="AE55" s="12" t="s">
        <v>16</v>
      </c>
    </row>
    <row r="56" spans="1:31" ht="30" customHeight="1" x14ac:dyDescent="0.2">
      <c r="A56" s="82" t="s">
        <v>101</v>
      </c>
      <c r="B56" s="82">
        <v>2689569122</v>
      </c>
      <c r="C56" s="82" t="s">
        <v>65</v>
      </c>
      <c r="D56" s="82" t="s">
        <v>58</v>
      </c>
      <c r="E56" s="82" t="s">
        <v>102</v>
      </c>
      <c r="F56" s="82" t="s">
        <v>1121</v>
      </c>
      <c r="G56" s="82">
        <v>87</v>
      </c>
      <c r="H56" s="82"/>
      <c r="I56" s="82" t="s">
        <v>664</v>
      </c>
      <c r="J56" s="82" t="s">
        <v>1979</v>
      </c>
      <c r="K56" s="82"/>
      <c r="L56" s="86" t="s">
        <v>273</v>
      </c>
      <c r="M56" s="86">
        <v>46085.456944444442</v>
      </c>
      <c r="N56" s="82" t="s">
        <v>1993</v>
      </c>
      <c r="O56" s="85" t="s">
        <v>108</v>
      </c>
      <c r="P56" s="41"/>
      <c r="Q56" s="26" t="s">
        <v>108</v>
      </c>
      <c r="R56" s="25"/>
      <c r="S56" s="26" t="s">
        <v>108</v>
      </c>
      <c r="T56" s="25"/>
      <c r="U56" s="26" t="s">
        <v>108</v>
      </c>
      <c r="V56" s="25"/>
      <c r="W56" s="26" t="s">
        <v>108</v>
      </c>
      <c r="X56" s="13"/>
      <c r="Y56" s="26" t="s">
        <v>108</v>
      </c>
      <c r="Z56" s="46" t="str">
        <f t="shared" si="1"/>
        <v>C</v>
      </c>
      <c r="AA56" s="73" t="str">
        <f t="shared" si="0"/>
        <v>UTILIZOU O PDA CORRETAMENTE</v>
      </c>
      <c r="AB56" s="27" t="s">
        <v>108</v>
      </c>
      <c r="AC56" s="74" t="s">
        <v>1</v>
      </c>
      <c r="AD56" s="29" t="str">
        <f t="shared" si="2"/>
        <v>GUARULHOS</v>
      </c>
      <c r="AE56" s="12" t="s">
        <v>16</v>
      </c>
    </row>
    <row r="57" spans="1:31" ht="30" customHeight="1" x14ac:dyDescent="0.2">
      <c r="A57" s="82" t="s">
        <v>101</v>
      </c>
      <c r="B57" s="82">
        <v>2689550319</v>
      </c>
      <c r="C57" s="82" t="s">
        <v>65</v>
      </c>
      <c r="D57" s="82" t="s">
        <v>58</v>
      </c>
      <c r="E57" s="82" t="s">
        <v>102</v>
      </c>
      <c r="F57" s="82" t="s">
        <v>847</v>
      </c>
      <c r="G57" s="82">
        <v>180</v>
      </c>
      <c r="H57" s="82" t="s">
        <v>117</v>
      </c>
      <c r="I57" s="82" t="s">
        <v>849</v>
      </c>
      <c r="J57" s="82" t="s">
        <v>1979</v>
      </c>
      <c r="K57" s="82" t="s">
        <v>117</v>
      </c>
      <c r="L57" s="86" t="s">
        <v>273</v>
      </c>
      <c r="M57" s="86">
        <v>46085.469444444447</v>
      </c>
      <c r="N57" s="82" t="s">
        <v>1993</v>
      </c>
      <c r="O57" s="85" t="s">
        <v>108</v>
      </c>
      <c r="P57" s="41"/>
      <c r="Q57" s="26" t="s">
        <v>108</v>
      </c>
      <c r="R57" s="25"/>
      <c r="S57" s="26" t="s">
        <v>108</v>
      </c>
      <c r="T57" s="25"/>
      <c r="U57" s="26" t="s">
        <v>108</v>
      </c>
      <c r="V57" s="25"/>
      <c r="W57" s="26" t="s">
        <v>108</v>
      </c>
      <c r="X57" s="13"/>
      <c r="Y57" s="26" t="s">
        <v>108</v>
      </c>
      <c r="Z57" s="46" t="str">
        <f t="shared" si="1"/>
        <v>C</v>
      </c>
      <c r="AA57" s="73" t="str">
        <f t="shared" si="0"/>
        <v>UTILIZOU O PDA CORRETAMENTE</v>
      </c>
      <c r="AB57" s="27" t="s">
        <v>108</v>
      </c>
      <c r="AC57" s="74" t="s">
        <v>1</v>
      </c>
      <c r="AD57" s="29" t="str">
        <f t="shared" si="2"/>
        <v>GUARULHOS</v>
      </c>
      <c r="AE57" s="12" t="s">
        <v>16</v>
      </c>
    </row>
    <row r="58" spans="1:31" ht="30" customHeight="1" x14ac:dyDescent="0.2">
      <c r="A58" s="82" t="s">
        <v>101</v>
      </c>
      <c r="B58" s="82">
        <v>2614143592</v>
      </c>
      <c r="C58" s="82" t="s">
        <v>65</v>
      </c>
      <c r="D58" s="82" t="s">
        <v>58</v>
      </c>
      <c r="E58" s="82" t="s">
        <v>102</v>
      </c>
      <c r="F58" s="82" t="s">
        <v>325</v>
      </c>
      <c r="G58" s="82">
        <v>364</v>
      </c>
      <c r="H58" s="82" t="s">
        <v>2052</v>
      </c>
      <c r="I58" s="82" t="s">
        <v>327</v>
      </c>
      <c r="J58" s="82" t="s">
        <v>1979</v>
      </c>
      <c r="K58" s="82"/>
      <c r="L58" s="86" t="s">
        <v>273</v>
      </c>
      <c r="M58" s="86">
        <v>46085.429166666669</v>
      </c>
      <c r="N58" s="82" t="s">
        <v>2042</v>
      </c>
      <c r="O58" s="85" t="s">
        <v>108</v>
      </c>
      <c r="P58" s="41"/>
      <c r="Q58" s="26" t="s">
        <v>108</v>
      </c>
      <c r="R58" s="25"/>
      <c r="S58" s="26" t="s">
        <v>108</v>
      </c>
      <c r="T58" s="25"/>
      <c r="U58" s="26" t="s">
        <v>108</v>
      </c>
      <c r="V58" s="25"/>
      <c r="W58" s="26" t="s">
        <v>108</v>
      </c>
      <c r="X58" s="13"/>
      <c r="Y58" s="26" t="s">
        <v>108</v>
      </c>
      <c r="Z58" s="46" t="str">
        <f t="shared" si="1"/>
        <v>C</v>
      </c>
      <c r="AA58" s="73" t="str">
        <f t="shared" si="0"/>
        <v>UTILIZOU O PDA CORRETAMENTE</v>
      </c>
      <c r="AB58" s="27" t="s">
        <v>108</v>
      </c>
      <c r="AC58" s="74" t="s">
        <v>1</v>
      </c>
      <c r="AD58" s="29" t="str">
        <f t="shared" si="2"/>
        <v>GUARULHOS</v>
      </c>
      <c r="AE58" s="12" t="s">
        <v>16</v>
      </c>
    </row>
    <row r="59" spans="1:31" ht="30" customHeight="1" x14ac:dyDescent="0.2">
      <c r="A59" s="82" t="s">
        <v>101</v>
      </c>
      <c r="B59" s="82">
        <v>2689536929</v>
      </c>
      <c r="C59" s="82" t="s">
        <v>62</v>
      </c>
      <c r="D59" s="82" t="s">
        <v>58</v>
      </c>
      <c r="E59" s="82" t="s">
        <v>102</v>
      </c>
      <c r="F59" s="82" t="s">
        <v>1823</v>
      </c>
      <c r="G59" s="82">
        <v>990</v>
      </c>
      <c r="H59" s="82" t="s">
        <v>2053</v>
      </c>
      <c r="I59" s="82" t="s">
        <v>2054</v>
      </c>
      <c r="J59" s="82" t="s">
        <v>2011</v>
      </c>
      <c r="K59" s="82" t="s">
        <v>2055</v>
      </c>
      <c r="L59" s="86" t="s">
        <v>273</v>
      </c>
      <c r="M59" s="86">
        <v>46085.381249999999</v>
      </c>
      <c r="N59" s="82" t="s">
        <v>144</v>
      </c>
      <c r="O59" s="85" t="s">
        <v>108</v>
      </c>
      <c r="P59" s="41"/>
      <c r="Q59" s="26" t="s">
        <v>108</v>
      </c>
      <c r="R59" s="25"/>
      <c r="S59" s="26" t="s">
        <v>108</v>
      </c>
      <c r="T59" s="25"/>
      <c r="U59" s="26" t="s">
        <v>108</v>
      </c>
      <c r="V59" s="25"/>
      <c r="W59" s="26" t="s">
        <v>108</v>
      </c>
      <c r="X59" s="13"/>
      <c r="Y59" s="26" t="s">
        <v>108</v>
      </c>
      <c r="Z59" s="46" t="str">
        <f t="shared" si="1"/>
        <v>C</v>
      </c>
      <c r="AA59" s="73" t="str">
        <f t="shared" si="0"/>
        <v>UTILIZOU O PDA CORRETAMENTE</v>
      </c>
      <c r="AB59" s="27" t="s">
        <v>108</v>
      </c>
      <c r="AC59" s="74" t="s">
        <v>1</v>
      </c>
      <c r="AD59" s="29" t="str">
        <f t="shared" si="2"/>
        <v>GUARULHOS</v>
      </c>
      <c r="AE59" s="12" t="s">
        <v>16</v>
      </c>
    </row>
    <row r="60" spans="1:31" ht="30" customHeight="1" x14ac:dyDescent="0.2">
      <c r="A60" s="82" t="s">
        <v>101</v>
      </c>
      <c r="B60" s="82">
        <v>2689569835</v>
      </c>
      <c r="C60" s="82" t="s">
        <v>63</v>
      </c>
      <c r="D60" s="82" t="s">
        <v>16</v>
      </c>
      <c r="E60" s="82" t="s">
        <v>102</v>
      </c>
      <c r="F60" s="82" t="s">
        <v>2056</v>
      </c>
      <c r="G60" s="82">
        <v>23</v>
      </c>
      <c r="H60" s="82" t="s">
        <v>2057</v>
      </c>
      <c r="I60" s="82" t="s">
        <v>459</v>
      </c>
      <c r="J60" s="82" t="s">
        <v>1977</v>
      </c>
      <c r="K60" s="82"/>
      <c r="L60" s="86" t="s">
        <v>273</v>
      </c>
      <c r="M60" s="86">
        <v>46085.55</v>
      </c>
      <c r="N60" s="82" t="s">
        <v>2045</v>
      </c>
      <c r="O60" s="85" t="s">
        <v>108</v>
      </c>
      <c r="P60" s="41"/>
      <c r="Q60" s="26" t="s">
        <v>108</v>
      </c>
      <c r="R60" s="25"/>
      <c r="S60" s="26" t="s">
        <v>108</v>
      </c>
      <c r="T60" s="25"/>
      <c r="U60" s="26" t="s">
        <v>108</v>
      </c>
      <c r="V60" s="25"/>
      <c r="W60" s="26" t="s">
        <v>108</v>
      </c>
      <c r="X60" s="13"/>
      <c r="Y60" s="26" t="s">
        <v>108</v>
      </c>
      <c r="Z60" s="46" t="str">
        <f t="shared" si="1"/>
        <v>C</v>
      </c>
      <c r="AA60" s="73" t="str">
        <f t="shared" si="0"/>
        <v>UTILIZOU O PDA CORRETAMENTE</v>
      </c>
      <c r="AB60" s="27" t="s">
        <v>108</v>
      </c>
      <c r="AC60" s="74" t="s">
        <v>1</v>
      </c>
      <c r="AD60" s="29" t="str">
        <f t="shared" si="2"/>
        <v>GUARULHOS</v>
      </c>
      <c r="AE60" s="12" t="s">
        <v>16</v>
      </c>
    </row>
    <row r="61" spans="1:31" ht="30" customHeight="1" x14ac:dyDescent="0.2">
      <c r="A61" s="82" t="s">
        <v>101</v>
      </c>
      <c r="B61" s="96">
        <v>2689547521</v>
      </c>
      <c r="C61" s="82" t="s">
        <v>65</v>
      </c>
      <c r="D61" s="82" t="s">
        <v>58</v>
      </c>
      <c r="E61" s="82" t="s">
        <v>102</v>
      </c>
      <c r="F61" s="82" t="s">
        <v>2058</v>
      </c>
      <c r="G61" s="82">
        <v>52</v>
      </c>
      <c r="H61" s="82" t="s">
        <v>320</v>
      </c>
      <c r="I61" s="82" t="s">
        <v>2059</v>
      </c>
      <c r="J61" s="82" t="s">
        <v>1979</v>
      </c>
      <c r="K61" s="82" t="s">
        <v>117</v>
      </c>
      <c r="L61" s="86" t="s">
        <v>273</v>
      </c>
      <c r="M61" s="86">
        <v>46085.584722222222</v>
      </c>
      <c r="N61" s="82" t="s">
        <v>1993</v>
      </c>
      <c r="O61" s="85" t="s">
        <v>108</v>
      </c>
      <c r="P61" s="42"/>
      <c r="Q61" s="26" t="s">
        <v>108</v>
      </c>
      <c r="R61" s="10"/>
      <c r="S61" s="26" t="s">
        <v>108</v>
      </c>
      <c r="T61" s="10"/>
      <c r="U61" s="26" t="s">
        <v>108</v>
      </c>
      <c r="V61" s="10"/>
      <c r="W61" s="26" t="s">
        <v>108</v>
      </c>
      <c r="X61" s="10"/>
      <c r="Y61" s="26" t="s">
        <v>108</v>
      </c>
      <c r="Z61" s="46" t="s">
        <v>108</v>
      </c>
      <c r="AA61" s="73" t="str">
        <f t="shared" si="0"/>
        <v>UTILIZOU O PDA CORRETAMENTE</v>
      </c>
      <c r="AB61" s="18" t="s">
        <v>108</v>
      </c>
      <c r="AC61" s="74" t="s">
        <v>1</v>
      </c>
      <c r="AD61" s="29" t="str">
        <f t="shared" si="2"/>
        <v>GUARULHOS</v>
      </c>
      <c r="AE61" s="12" t="s">
        <v>16</v>
      </c>
    </row>
    <row r="62" spans="1:31" ht="30" customHeight="1" x14ac:dyDescent="0.2">
      <c r="A62" s="82" t="s">
        <v>101</v>
      </c>
      <c r="B62" s="96">
        <v>2614221891</v>
      </c>
      <c r="C62" s="82" t="s">
        <v>65</v>
      </c>
      <c r="D62" s="82" t="s">
        <v>58</v>
      </c>
      <c r="E62" s="82" t="s">
        <v>102</v>
      </c>
      <c r="F62" s="82" t="s">
        <v>2060</v>
      </c>
      <c r="G62" s="82">
        <v>27</v>
      </c>
      <c r="H62" s="82" t="s">
        <v>2061</v>
      </c>
      <c r="I62" s="82" t="s">
        <v>1644</v>
      </c>
      <c r="J62" s="82" t="s">
        <v>1979</v>
      </c>
      <c r="K62" s="82"/>
      <c r="L62" s="86" t="s">
        <v>273</v>
      </c>
      <c r="M62" s="86">
        <v>46085.627083333333</v>
      </c>
      <c r="N62" s="82" t="s">
        <v>1993</v>
      </c>
      <c r="O62" s="85" t="s">
        <v>108</v>
      </c>
      <c r="P62" s="42"/>
      <c r="Q62" s="26" t="s">
        <v>214</v>
      </c>
      <c r="R62" s="10"/>
      <c r="S62" s="26" t="s">
        <v>108</v>
      </c>
      <c r="T62" s="10"/>
      <c r="U62" s="26" t="s">
        <v>108</v>
      </c>
      <c r="V62" s="10"/>
      <c r="W62" s="26" t="s">
        <v>108</v>
      </c>
      <c r="X62" s="10"/>
      <c r="Y62" s="26" t="s">
        <v>108</v>
      </c>
      <c r="Z62" s="46" t="str">
        <f t="shared" si="1"/>
        <v>NC</v>
      </c>
      <c r="AA62" s="73" t="str">
        <f t="shared" si="0"/>
        <v>UTILIZOU O PDA CORRETAMENTE. NÃO HÁ FOTOS DE TODAS AS ETAPAS</v>
      </c>
      <c r="AB62" s="18" t="s">
        <v>108</v>
      </c>
      <c r="AC62" s="74" t="s">
        <v>1</v>
      </c>
      <c r="AD62" s="29" t="str">
        <f t="shared" si="2"/>
        <v>GUARULHOS</v>
      </c>
      <c r="AE62" s="12" t="s">
        <v>16</v>
      </c>
    </row>
    <row r="63" spans="1:31" ht="30" customHeight="1" x14ac:dyDescent="0.2">
      <c r="A63" s="82" t="s">
        <v>101</v>
      </c>
      <c r="B63" s="96">
        <v>2689555029</v>
      </c>
      <c r="C63" s="82" t="s">
        <v>65</v>
      </c>
      <c r="D63" s="82" t="s">
        <v>58</v>
      </c>
      <c r="E63" s="82" t="s">
        <v>102</v>
      </c>
      <c r="F63" s="82" t="s">
        <v>2062</v>
      </c>
      <c r="G63" s="82">
        <v>304</v>
      </c>
      <c r="H63" s="82" t="s">
        <v>2063</v>
      </c>
      <c r="I63" s="82" t="s">
        <v>1073</v>
      </c>
      <c r="J63" s="82" t="s">
        <v>1979</v>
      </c>
      <c r="K63" s="82" t="s">
        <v>117</v>
      </c>
      <c r="L63" s="86" t="s">
        <v>273</v>
      </c>
      <c r="M63" s="86">
        <v>46085.647916666669</v>
      </c>
      <c r="N63" s="82" t="s">
        <v>1993</v>
      </c>
      <c r="O63" s="85" t="s">
        <v>108</v>
      </c>
      <c r="P63" s="42"/>
      <c r="Q63" s="26" t="s">
        <v>108</v>
      </c>
      <c r="R63" s="10"/>
      <c r="S63" s="26" t="s">
        <v>108</v>
      </c>
      <c r="T63" s="10"/>
      <c r="U63" s="26" t="s">
        <v>108</v>
      </c>
      <c r="V63" s="10"/>
      <c r="W63" s="26" t="s">
        <v>108</v>
      </c>
      <c r="X63" s="10"/>
      <c r="Y63" s="26" t="s">
        <v>108</v>
      </c>
      <c r="Z63" s="46" t="str">
        <f t="shared" si="1"/>
        <v>C</v>
      </c>
      <c r="AA63" s="73" t="str">
        <f t="shared" si="0"/>
        <v>UTILIZOU O PDA CORRETAMENTE</v>
      </c>
      <c r="AB63" s="18" t="s">
        <v>108</v>
      </c>
      <c r="AC63" s="74" t="s">
        <v>1</v>
      </c>
      <c r="AD63" s="29" t="str">
        <f t="shared" si="2"/>
        <v>GUARULHOS</v>
      </c>
      <c r="AE63" s="12" t="s">
        <v>16</v>
      </c>
    </row>
    <row r="64" spans="1:31" ht="30" customHeight="1" x14ac:dyDescent="0.2">
      <c r="A64" s="82" t="s">
        <v>101</v>
      </c>
      <c r="B64" s="96">
        <v>2689581720</v>
      </c>
      <c r="C64" s="82" t="s">
        <v>60</v>
      </c>
      <c r="D64" s="82" t="s">
        <v>16</v>
      </c>
      <c r="E64" s="82" t="s">
        <v>102</v>
      </c>
      <c r="F64" s="82" t="s">
        <v>2064</v>
      </c>
      <c r="G64" s="82">
        <v>123</v>
      </c>
      <c r="H64" s="82" t="s">
        <v>753</v>
      </c>
      <c r="I64" s="82" t="s">
        <v>204</v>
      </c>
      <c r="J64" s="82" t="s">
        <v>1979</v>
      </c>
      <c r="K64" s="82" t="s">
        <v>117</v>
      </c>
      <c r="L64" s="86" t="s">
        <v>310</v>
      </c>
      <c r="M64" s="86">
        <v>46116.363194444442</v>
      </c>
      <c r="N64" s="82" t="s">
        <v>1980</v>
      </c>
      <c r="O64" s="85" t="s">
        <v>108</v>
      </c>
      <c r="P64" s="42"/>
      <c r="Q64" s="26" t="s">
        <v>108</v>
      </c>
      <c r="R64" s="10"/>
      <c r="S64" s="26" t="s">
        <v>108</v>
      </c>
      <c r="T64" s="10"/>
      <c r="U64" s="26" t="s">
        <v>108</v>
      </c>
      <c r="V64" s="10"/>
      <c r="W64" s="26" t="s">
        <v>108</v>
      </c>
      <c r="X64" s="10"/>
      <c r="Y64" s="26" t="s">
        <v>108</v>
      </c>
      <c r="Z64" s="46" t="str">
        <f t="shared" si="1"/>
        <v>C</v>
      </c>
      <c r="AA64" s="73" t="str">
        <f t="shared" si="0"/>
        <v>UTILIZOU O PDA CORRETAMENTE</v>
      </c>
      <c r="AB64" s="18" t="s">
        <v>108</v>
      </c>
      <c r="AC64" s="74" t="s">
        <v>1</v>
      </c>
      <c r="AD64" s="29" t="str">
        <f t="shared" si="2"/>
        <v>GUARULHOS</v>
      </c>
      <c r="AE64" s="12" t="s">
        <v>16</v>
      </c>
    </row>
    <row r="65" spans="1:31" ht="30" customHeight="1" x14ac:dyDescent="0.2">
      <c r="A65" s="82" t="s">
        <v>101</v>
      </c>
      <c r="B65" s="96">
        <v>2689596017</v>
      </c>
      <c r="C65" s="82" t="s">
        <v>60</v>
      </c>
      <c r="D65" s="82" t="s">
        <v>16</v>
      </c>
      <c r="E65" s="82" t="s">
        <v>102</v>
      </c>
      <c r="F65" s="82" t="s">
        <v>2065</v>
      </c>
      <c r="G65" s="82">
        <v>60</v>
      </c>
      <c r="H65" s="82"/>
      <c r="I65" s="82" t="s">
        <v>531</v>
      </c>
      <c r="J65" s="82" t="s">
        <v>1979</v>
      </c>
      <c r="K65" s="82"/>
      <c r="L65" s="86" t="s">
        <v>310</v>
      </c>
      <c r="M65" s="86">
        <v>46116.415972222225</v>
      </c>
      <c r="N65" s="82" t="s">
        <v>185</v>
      </c>
      <c r="O65" s="85" t="s">
        <v>108</v>
      </c>
      <c r="P65" s="42"/>
      <c r="Q65" s="26" t="s">
        <v>108</v>
      </c>
      <c r="R65" s="10"/>
      <c r="S65" s="26" t="s">
        <v>108</v>
      </c>
      <c r="T65" s="10"/>
      <c r="U65" s="26" t="s">
        <v>108</v>
      </c>
      <c r="V65" s="10"/>
      <c r="W65" s="26" t="s">
        <v>108</v>
      </c>
      <c r="X65" s="10"/>
      <c r="Y65" s="26" t="s">
        <v>108</v>
      </c>
      <c r="Z65" s="46" t="str">
        <f t="shared" si="1"/>
        <v>C</v>
      </c>
      <c r="AA65" s="73" t="str">
        <f t="shared" si="0"/>
        <v>UTILIZOU O PDA CORRETAMENTE</v>
      </c>
      <c r="AB65" s="18" t="s">
        <v>108</v>
      </c>
      <c r="AC65" s="74" t="s">
        <v>1</v>
      </c>
      <c r="AD65" s="29" t="str">
        <f t="shared" si="2"/>
        <v>GUARULHOS</v>
      </c>
      <c r="AE65" s="12" t="s">
        <v>16</v>
      </c>
    </row>
    <row r="66" spans="1:31" ht="30" customHeight="1" x14ac:dyDescent="0.2">
      <c r="A66" s="93" t="s">
        <v>101</v>
      </c>
      <c r="B66" s="96">
        <v>2689586209</v>
      </c>
      <c r="C66" s="82" t="s">
        <v>65</v>
      </c>
      <c r="D66" s="82" t="s">
        <v>58</v>
      </c>
      <c r="E66" s="82" t="s">
        <v>102</v>
      </c>
      <c r="F66" s="82" t="s">
        <v>2066</v>
      </c>
      <c r="G66" s="82">
        <v>87</v>
      </c>
      <c r="H66" s="82" t="s">
        <v>1926</v>
      </c>
      <c r="I66" s="82" t="s">
        <v>220</v>
      </c>
      <c r="J66" s="82" t="s">
        <v>1979</v>
      </c>
      <c r="K66" s="82" t="s">
        <v>2067</v>
      </c>
      <c r="L66" s="86" t="s">
        <v>310</v>
      </c>
      <c r="M66" s="86">
        <v>46116.347222222219</v>
      </c>
      <c r="N66" s="82" t="s">
        <v>1980</v>
      </c>
      <c r="O66" s="85" t="s">
        <v>108</v>
      </c>
      <c r="P66" s="42"/>
      <c r="Q66" s="26" t="s">
        <v>108</v>
      </c>
      <c r="R66" s="10"/>
      <c r="S66" s="26" t="s">
        <v>108</v>
      </c>
      <c r="T66" s="10"/>
      <c r="U66" s="26" t="s">
        <v>108</v>
      </c>
      <c r="V66" s="10"/>
      <c r="W66" s="26" t="s">
        <v>108</v>
      </c>
      <c r="X66" s="10"/>
      <c r="Y66" s="26" t="s">
        <v>108</v>
      </c>
      <c r="Z66" s="46" t="str">
        <f t="shared" si="1"/>
        <v>C</v>
      </c>
      <c r="AA66" s="73" t="str">
        <f t="shared" ref="AA66:AA128" si="3">IF(AND(Y66="C",Z66="C"),"UTILIZOU O PDA CORRETAMENTE",IF(AND(Y66="C",Z66="NC"),"UTILIZOU O PDA CORRETAMENTE. NÃO HÁ FOTOS DE TODAS AS ETAPAS",IF(AND(Y66="NC",Z66="NC"),"NÃO UTILIZOU O PDA",IF(AND(Y66="NA",Z66="NA"),"NÃO AVALIADO POR FALHA DE SINCRONISMO"))))</f>
        <v>UTILIZOU O PDA CORRETAMENTE</v>
      </c>
      <c r="AB66" s="18" t="s">
        <v>108</v>
      </c>
      <c r="AC66" s="74" t="s">
        <v>1</v>
      </c>
      <c r="AD66" s="29" t="str">
        <f t="shared" si="2"/>
        <v>GUARULHOS</v>
      </c>
      <c r="AE66" s="12" t="s">
        <v>16</v>
      </c>
    </row>
    <row r="67" spans="1:31" ht="30" customHeight="1" x14ac:dyDescent="0.2">
      <c r="A67" s="82" t="s">
        <v>101</v>
      </c>
      <c r="B67" s="96">
        <v>2689599939</v>
      </c>
      <c r="C67" s="82" t="s">
        <v>60</v>
      </c>
      <c r="D67" s="82" t="s">
        <v>16</v>
      </c>
      <c r="E67" s="82" t="s">
        <v>102</v>
      </c>
      <c r="F67" s="82" t="s">
        <v>651</v>
      </c>
      <c r="G67" s="82">
        <v>263</v>
      </c>
      <c r="H67" s="82" t="s">
        <v>2068</v>
      </c>
      <c r="I67" s="82" t="s">
        <v>382</v>
      </c>
      <c r="J67" s="82" t="s">
        <v>1979</v>
      </c>
      <c r="K67" s="82" t="s">
        <v>117</v>
      </c>
      <c r="L67" s="86" t="s">
        <v>310</v>
      </c>
      <c r="M67" s="86">
        <v>46116.523611111108</v>
      </c>
      <c r="N67" s="82" t="s">
        <v>597</v>
      </c>
      <c r="O67" s="85" t="s">
        <v>108</v>
      </c>
      <c r="P67" s="42"/>
      <c r="Q67" s="26" t="s">
        <v>108</v>
      </c>
      <c r="R67" s="10"/>
      <c r="S67" s="26" t="s">
        <v>108</v>
      </c>
      <c r="T67" s="10"/>
      <c r="U67" s="26" t="s">
        <v>108</v>
      </c>
      <c r="V67" s="10"/>
      <c r="W67" s="26" t="s">
        <v>108</v>
      </c>
      <c r="X67" s="10"/>
      <c r="Y67" s="26" t="s">
        <v>108</v>
      </c>
      <c r="Z67" s="46" t="str">
        <f t="shared" ref="Z67:Z129" si="4">IF(AND(O67="",Q67="",S67="",U67="",W67=""),"",IF(OR(AND(O67&lt;&gt;"NA",O67&lt;&gt;"C",O67&lt;&gt;"NC",O67&lt;&gt;"SF",O67&lt;&gt;""),AND(Q67&lt;&gt;"NA",Q67&lt;&gt;"C",Q67&lt;&gt;"NC",Q67&lt;&gt;"SF",Q67&lt;&gt;""),AND(S67&lt;&gt;"NA",S67&lt;&gt;"C",S67&lt;&gt;"NC",S67&lt;&gt;"SF",S67&lt;&gt;""),AND(U67&lt;&gt;"NA",U67&lt;&gt;"C",U67&lt;&gt;"NC",U67&lt;&gt;"SF",U67&lt;&gt;""),AND(W67&lt;&gt;"NA",W67&lt;&gt;"C",W67&lt;&gt;"NC",W67&lt;&gt;"SF",W67&lt;&gt;"")),"FALSO",IF(AND(O67="NA",Q67="NA",S67="NA",U67="NA",W67="NA"),"NA",IF(OR(O67="NC",Q67="NC",S67="NC",U67="NC",W67="NC",O67="SF",Q67="SF",S67="SF",U67="SF",W67="SF"),"NC",IF(OR(O67="C",Q67="C",S67="C",U67="C",W67="C"),"C","")))))</f>
        <v>C</v>
      </c>
      <c r="AA67" s="73" t="str">
        <f t="shared" si="3"/>
        <v>UTILIZOU O PDA CORRETAMENTE</v>
      </c>
      <c r="AB67" s="18" t="s">
        <v>108</v>
      </c>
      <c r="AC67" s="74" t="s">
        <v>1</v>
      </c>
      <c r="AD67" s="29" t="str">
        <f t="shared" ref="AD67:AD129" si="5">E67</f>
        <v>GUARULHOS</v>
      </c>
      <c r="AE67" s="12" t="s">
        <v>16</v>
      </c>
    </row>
    <row r="68" spans="1:31" ht="30" customHeight="1" x14ac:dyDescent="0.2">
      <c r="A68" s="82" t="s">
        <v>101</v>
      </c>
      <c r="B68" s="96">
        <v>2689605019</v>
      </c>
      <c r="C68" s="82" t="s">
        <v>60</v>
      </c>
      <c r="D68" s="82" t="s">
        <v>16</v>
      </c>
      <c r="E68" s="82" t="s">
        <v>102</v>
      </c>
      <c r="F68" s="82" t="s">
        <v>2069</v>
      </c>
      <c r="G68" s="82">
        <v>1</v>
      </c>
      <c r="H68" s="82"/>
      <c r="I68" s="82" t="s">
        <v>1120</v>
      </c>
      <c r="J68" s="82" t="s">
        <v>1979</v>
      </c>
      <c r="K68" s="82"/>
      <c r="L68" s="86" t="s">
        <v>310</v>
      </c>
      <c r="M68" s="86">
        <v>46116.526388888888</v>
      </c>
      <c r="N68" s="82" t="s">
        <v>185</v>
      </c>
      <c r="O68" s="85" t="s">
        <v>108</v>
      </c>
      <c r="P68" s="42"/>
      <c r="Q68" s="26" t="s">
        <v>108</v>
      </c>
      <c r="R68" s="10"/>
      <c r="S68" s="26" t="s">
        <v>108</v>
      </c>
      <c r="T68" s="10"/>
      <c r="U68" s="26" t="s">
        <v>108</v>
      </c>
      <c r="V68" s="10"/>
      <c r="W68" s="26" t="s">
        <v>108</v>
      </c>
      <c r="X68" s="10"/>
      <c r="Y68" s="26" t="s">
        <v>108</v>
      </c>
      <c r="Z68" s="46" t="str">
        <f t="shared" si="4"/>
        <v>C</v>
      </c>
      <c r="AA68" s="73" t="str">
        <f t="shared" si="3"/>
        <v>UTILIZOU O PDA CORRETAMENTE</v>
      </c>
      <c r="AB68" s="18" t="s">
        <v>108</v>
      </c>
      <c r="AC68" s="74" t="s">
        <v>1</v>
      </c>
      <c r="AD68" s="29" t="str">
        <f t="shared" si="5"/>
        <v>GUARULHOS</v>
      </c>
      <c r="AE68" s="12" t="s">
        <v>16</v>
      </c>
    </row>
    <row r="69" spans="1:31" ht="30" customHeight="1" x14ac:dyDescent="0.2">
      <c r="A69" s="82" t="s">
        <v>101</v>
      </c>
      <c r="B69" s="96">
        <v>2689605080</v>
      </c>
      <c r="C69" s="82" t="s">
        <v>60</v>
      </c>
      <c r="D69" s="82" t="s">
        <v>16</v>
      </c>
      <c r="E69" s="82" t="s">
        <v>102</v>
      </c>
      <c r="F69" s="82" t="s">
        <v>2070</v>
      </c>
      <c r="G69" s="82">
        <v>749</v>
      </c>
      <c r="H69" s="82" t="s">
        <v>2071</v>
      </c>
      <c r="I69" s="82" t="s">
        <v>450</v>
      </c>
      <c r="J69" s="82" t="s">
        <v>1979</v>
      </c>
      <c r="K69" s="82" t="s">
        <v>117</v>
      </c>
      <c r="L69" s="86" t="s">
        <v>310</v>
      </c>
      <c r="M69" s="86">
        <v>46116.552083333336</v>
      </c>
      <c r="N69" s="82" t="s">
        <v>1993</v>
      </c>
      <c r="O69" s="85" t="s">
        <v>108</v>
      </c>
      <c r="P69" s="42"/>
      <c r="Q69" s="26" t="s">
        <v>108</v>
      </c>
      <c r="R69" s="10"/>
      <c r="S69" s="26" t="s">
        <v>108</v>
      </c>
      <c r="T69" s="10"/>
      <c r="U69" s="26" t="s">
        <v>108</v>
      </c>
      <c r="V69" s="10"/>
      <c r="W69" s="26" t="s">
        <v>108</v>
      </c>
      <c r="X69" s="10"/>
      <c r="Y69" s="26" t="s">
        <v>108</v>
      </c>
      <c r="Z69" s="46" t="str">
        <f t="shared" si="4"/>
        <v>C</v>
      </c>
      <c r="AA69" s="73" t="str">
        <f t="shared" si="3"/>
        <v>UTILIZOU O PDA CORRETAMENTE</v>
      </c>
      <c r="AB69" s="18" t="s">
        <v>108</v>
      </c>
      <c r="AC69" s="74" t="s">
        <v>1</v>
      </c>
      <c r="AD69" s="29" t="str">
        <f t="shared" si="5"/>
        <v>GUARULHOS</v>
      </c>
      <c r="AE69" s="12" t="s">
        <v>16</v>
      </c>
    </row>
    <row r="70" spans="1:31" ht="30" customHeight="1" x14ac:dyDescent="0.2">
      <c r="A70" s="82" t="s">
        <v>101</v>
      </c>
      <c r="B70" s="96">
        <v>2689604456</v>
      </c>
      <c r="C70" s="82" t="s">
        <v>60</v>
      </c>
      <c r="D70" s="82" t="s">
        <v>16</v>
      </c>
      <c r="E70" s="82" t="s">
        <v>102</v>
      </c>
      <c r="F70" s="82" t="s">
        <v>2072</v>
      </c>
      <c r="G70" s="82">
        <v>60</v>
      </c>
      <c r="H70" s="82"/>
      <c r="I70" s="82" t="s">
        <v>154</v>
      </c>
      <c r="J70" s="82" t="s">
        <v>1979</v>
      </c>
      <c r="K70" s="82"/>
      <c r="L70" s="86" t="s">
        <v>310</v>
      </c>
      <c r="M70" s="86">
        <v>46116.552777777775</v>
      </c>
      <c r="N70" s="82" t="s">
        <v>1980</v>
      </c>
      <c r="O70" s="85" t="s">
        <v>108</v>
      </c>
      <c r="P70" s="42"/>
      <c r="Q70" s="26" t="s">
        <v>108</v>
      </c>
      <c r="R70" s="10"/>
      <c r="S70" s="26" t="s">
        <v>108</v>
      </c>
      <c r="T70" s="10"/>
      <c r="U70" s="26" t="s">
        <v>108</v>
      </c>
      <c r="V70" s="10"/>
      <c r="W70" s="26" t="s">
        <v>108</v>
      </c>
      <c r="X70" s="10"/>
      <c r="Y70" s="26" t="s">
        <v>108</v>
      </c>
      <c r="Z70" s="46" t="str">
        <f t="shared" si="4"/>
        <v>C</v>
      </c>
      <c r="AA70" s="73" t="str">
        <f t="shared" si="3"/>
        <v>UTILIZOU O PDA CORRETAMENTE</v>
      </c>
      <c r="AB70" s="18" t="s">
        <v>108</v>
      </c>
      <c r="AC70" s="74" t="s">
        <v>1</v>
      </c>
      <c r="AD70" s="29" t="str">
        <f t="shared" si="5"/>
        <v>GUARULHOS</v>
      </c>
      <c r="AE70" s="12" t="s">
        <v>16</v>
      </c>
    </row>
    <row r="71" spans="1:31" ht="30" customHeight="1" x14ac:dyDescent="0.2">
      <c r="A71" s="82" t="s">
        <v>101</v>
      </c>
      <c r="B71" s="96">
        <v>2689603741</v>
      </c>
      <c r="C71" s="82" t="s">
        <v>64</v>
      </c>
      <c r="D71" s="82" t="s">
        <v>16</v>
      </c>
      <c r="E71" s="82" t="s">
        <v>102</v>
      </c>
      <c r="F71" s="82" t="s">
        <v>2073</v>
      </c>
      <c r="G71" s="82">
        <v>11</v>
      </c>
      <c r="H71" s="82" t="s">
        <v>2074</v>
      </c>
      <c r="I71" s="82" t="s">
        <v>1266</v>
      </c>
      <c r="J71" s="82" t="s">
        <v>1975</v>
      </c>
      <c r="K71" s="82"/>
      <c r="L71" s="86" t="s">
        <v>310</v>
      </c>
      <c r="M71" s="86">
        <v>46116.626388888886</v>
      </c>
      <c r="N71" s="82" t="s">
        <v>767</v>
      </c>
      <c r="O71" s="85" t="s">
        <v>108</v>
      </c>
      <c r="P71" s="42"/>
      <c r="Q71" s="26" t="s">
        <v>108</v>
      </c>
      <c r="R71" s="10"/>
      <c r="S71" s="26" t="s">
        <v>108</v>
      </c>
      <c r="T71" s="10"/>
      <c r="U71" s="26" t="s">
        <v>108</v>
      </c>
      <c r="V71" s="10"/>
      <c r="W71" s="26" t="s">
        <v>108</v>
      </c>
      <c r="X71" s="10"/>
      <c r="Y71" s="26" t="s">
        <v>108</v>
      </c>
      <c r="Z71" s="46" t="str">
        <f t="shared" si="4"/>
        <v>C</v>
      </c>
      <c r="AA71" s="73" t="str">
        <f t="shared" si="3"/>
        <v>UTILIZOU O PDA CORRETAMENTE</v>
      </c>
      <c r="AB71" s="18" t="s">
        <v>108</v>
      </c>
      <c r="AC71" s="74" t="s">
        <v>1</v>
      </c>
      <c r="AD71" s="29" t="str">
        <f t="shared" si="5"/>
        <v>GUARULHOS</v>
      </c>
      <c r="AE71" s="12" t="s">
        <v>16</v>
      </c>
    </row>
    <row r="72" spans="1:31" ht="30" customHeight="1" x14ac:dyDescent="0.2">
      <c r="A72" s="82" t="s">
        <v>101</v>
      </c>
      <c r="B72" s="96">
        <v>2689598567</v>
      </c>
      <c r="C72" s="82" t="s">
        <v>65</v>
      </c>
      <c r="D72" s="82" t="s">
        <v>58</v>
      </c>
      <c r="E72" s="82" t="s">
        <v>102</v>
      </c>
      <c r="F72" s="82" t="s">
        <v>2075</v>
      </c>
      <c r="G72" s="82">
        <v>56</v>
      </c>
      <c r="H72" s="82" t="s">
        <v>2076</v>
      </c>
      <c r="I72" s="82" t="s">
        <v>2077</v>
      </c>
      <c r="J72" s="82" t="s">
        <v>1979</v>
      </c>
      <c r="K72" s="82" t="s">
        <v>117</v>
      </c>
      <c r="L72" s="86" t="s">
        <v>310</v>
      </c>
      <c r="M72" s="86">
        <v>46116.40347222222</v>
      </c>
      <c r="N72" s="82" t="s">
        <v>185</v>
      </c>
      <c r="O72" s="85" t="s">
        <v>108</v>
      </c>
      <c r="P72" s="42"/>
      <c r="Q72" s="26" t="s">
        <v>108</v>
      </c>
      <c r="R72" s="10"/>
      <c r="S72" s="26" t="s">
        <v>108</v>
      </c>
      <c r="T72" s="10"/>
      <c r="U72" s="26" t="s">
        <v>108</v>
      </c>
      <c r="V72" s="10"/>
      <c r="W72" s="26" t="s">
        <v>108</v>
      </c>
      <c r="X72" s="10"/>
      <c r="Y72" s="26" t="s">
        <v>108</v>
      </c>
      <c r="Z72" s="46" t="str">
        <f t="shared" si="4"/>
        <v>C</v>
      </c>
      <c r="AA72" s="73" t="str">
        <f t="shared" si="3"/>
        <v>UTILIZOU O PDA CORRETAMENTE</v>
      </c>
      <c r="AB72" s="18" t="s">
        <v>108</v>
      </c>
      <c r="AC72" s="74" t="s">
        <v>1</v>
      </c>
      <c r="AD72" s="29" t="str">
        <f t="shared" si="5"/>
        <v>GUARULHOS</v>
      </c>
      <c r="AE72" s="12" t="s">
        <v>16</v>
      </c>
    </row>
    <row r="73" spans="1:31" ht="30" customHeight="1" x14ac:dyDescent="0.2">
      <c r="A73" s="82" t="s">
        <v>101</v>
      </c>
      <c r="B73" s="96">
        <v>2689601491</v>
      </c>
      <c r="C73" s="82" t="s">
        <v>65</v>
      </c>
      <c r="D73" s="82" t="s">
        <v>58</v>
      </c>
      <c r="E73" s="82" t="s">
        <v>102</v>
      </c>
      <c r="F73" s="82" t="s">
        <v>2078</v>
      </c>
      <c r="G73" s="82">
        <v>399</v>
      </c>
      <c r="H73" s="82" t="s">
        <v>2079</v>
      </c>
      <c r="I73" s="82" t="s">
        <v>2080</v>
      </c>
      <c r="J73" s="82" t="s">
        <v>1979</v>
      </c>
      <c r="K73" s="82"/>
      <c r="L73" s="86" t="s">
        <v>310</v>
      </c>
      <c r="M73" s="86">
        <v>46116.495833333334</v>
      </c>
      <c r="N73" s="82" t="s">
        <v>1993</v>
      </c>
      <c r="O73" s="85" t="s">
        <v>108</v>
      </c>
      <c r="P73" s="42"/>
      <c r="Q73" s="26" t="s">
        <v>108</v>
      </c>
      <c r="R73" s="10"/>
      <c r="S73" s="26" t="s">
        <v>108</v>
      </c>
      <c r="T73" s="10"/>
      <c r="U73" s="26" t="s">
        <v>108</v>
      </c>
      <c r="V73" s="10"/>
      <c r="W73" s="26" t="s">
        <v>108</v>
      </c>
      <c r="X73" s="10"/>
      <c r="Y73" s="26" t="s">
        <v>108</v>
      </c>
      <c r="Z73" s="46" t="str">
        <f t="shared" si="4"/>
        <v>C</v>
      </c>
      <c r="AA73" s="73" t="str">
        <f t="shared" si="3"/>
        <v>UTILIZOU O PDA CORRETAMENTE</v>
      </c>
      <c r="AB73" s="18" t="s">
        <v>108</v>
      </c>
      <c r="AC73" s="74" t="s">
        <v>1</v>
      </c>
      <c r="AD73" s="29" t="str">
        <f t="shared" si="5"/>
        <v>GUARULHOS</v>
      </c>
      <c r="AE73" s="12" t="s">
        <v>16</v>
      </c>
    </row>
    <row r="74" spans="1:31" ht="30" customHeight="1" x14ac:dyDescent="0.2">
      <c r="A74" s="82" t="s">
        <v>101</v>
      </c>
      <c r="B74" s="96">
        <v>2614311408</v>
      </c>
      <c r="C74" s="82" t="s">
        <v>65</v>
      </c>
      <c r="D74" s="82" t="s">
        <v>58</v>
      </c>
      <c r="E74" s="82" t="s">
        <v>102</v>
      </c>
      <c r="F74" s="82" t="s">
        <v>2081</v>
      </c>
      <c r="G74" s="82">
        <v>174</v>
      </c>
      <c r="H74" s="82" t="s">
        <v>2082</v>
      </c>
      <c r="I74" s="82" t="s">
        <v>158</v>
      </c>
      <c r="J74" s="82" t="s">
        <v>1979</v>
      </c>
      <c r="K74" s="82" t="s">
        <v>117</v>
      </c>
      <c r="L74" s="86" t="s">
        <v>310</v>
      </c>
      <c r="M74" s="86">
        <v>46116.53125</v>
      </c>
      <c r="N74" s="82" t="s">
        <v>2042</v>
      </c>
      <c r="O74" s="85" t="s">
        <v>108</v>
      </c>
      <c r="P74" s="42"/>
      <c r="Q74" s="26" t="s">
        <v>108</v>
      </c>
      <c r="R74" s="10"/>
      <c r="S74" s="26" t="s">
        <v>108</v>
      </c>
      <c r="T74" s="10"/>
      <c r="U74" s="26" t="s">
        <v>108</v>
      </c>
      <c r="V74" s="10"/>
      <c r="W74" s="26" t="s">
        <v>108</v>
      </c>
      <c r="X74" s="10"/>
      <c r="Y74" s="26" t="s">
        <v>108</v>
      </c>
      <c r="Z74" s="46" t="str">
        <f t="shared" si="4"/>
        <v>C</v>
      </c>
      <c r="AA74" s="73" t="str">
        <f t="shared" si="3"/>
        <v>UTILIZOU O PDA CORRETAMENTE</v>
      </c>
      <c r="AB74" s="18" t="s">
        <v>108</v>
      </c>
      <c r="AC74" s="74" t="s">
        <v>1</v>
      </c>
      <c r="AD74" s="29" t="str">
        <f t="shared" si="5"/>
        <v>GUARULHOS</v>
      </c>
      <c r="AE74" s="12" t="s">
        <v>16</v>
      </c>
    </row>
    <row r="75" spans="1:31" ht="30" customHeight="1" x14ac:dyDescent="0.2">
      <c r="A75" s="82" t="s">
        <v>101</v>
      </c>
      <c r="B75" s="96">
        <v>2689600028</v>
      </c>
      <c r="C75" s="82" t="s">
        <v>65</v>
      </c>
      <c r="D75" s="82" t="s">
        <v>58</v>
      </c>
      <c r="E75" s="82" t="s">
        <v>102</v>
      </c>
      <c r="F75" s="82" t="s">
        <v>938</v>
      </c>
      <c r="G75" s="82">
        <v>92</v>
      </c>
      <c r="H75" s="82" t="s">
        <v>234</v>
      </c>
      <c r="I75" s="82" t="s">
        <v>430</v>
      </c>
      <c r="J75" s="82" t="s">
        <v>1979</v>
      </c>
      <c r="K75" s="82" t="s">
        <v>2067</v>
      </c>
      <c r="L75" s="86" t="s">
        <v>310</v>
      </c>
      <c r="M75" s="86">
        <v>46116.540972222225</v>
      </c>
      <c r="N75" s="82" t="s">
        <v>1980</v>
      </c>
      <c r="O75" s="85" t="s">
        <v>108</v>
      </c>
      <c r="P75" s="42"/>
      <c r="Q75" s="26" t="s">
        <v>108</v>
      </c>
      <c r="R75" s="10"/>
      <c r="S75" s="26" t="s">
        <v>108</v>
      </c>
      <c r="T75" s="10"/>
      <c r="U75" s="26" t="s">
        <v>108</v>
      </c>
      <c r="V75" s="10"/>
      <c r="W75" s="26" t="s">
        <v>108</v>
      </c>
      <c r="X75" s="10"/>
      <c r="Y75" s="26" t="s">
        <v>108</v>
      </c>
      <c r="Z75" s="46" t="str">
        <f t="shared" si="4"/>
        <v>C</v>
      </c>
      <c r="AA75" s="73" t="str">
        <f t="shared" si="3"/>
        <v>UTILIZOU O PDA CORRETAMENTE</v>
      </c>
      <c r="AB75" s="18" t="s">
        <v>108</v>
      </c>
      <c r="AC75" s="74" t="s">
        <v>1</v>
      </c>
      <c r="AD75" s="29" t="str">
        <f t="shared" si="5"/>
        <v>GUARULHOS</v>
      </c>
      <c r="AE75" s="12" t="s">
        <v>16</v>
      </c>
    </row>
    <row r="76" spans="1:31" ht="30" customHeight="1" x14ac:dyDescent="0.2">
      <c r="A76" s="82" t="s">
        <v>101</v>
      </c>
      <c r="B76" s="96">
        <v>2689602961</v>
      </c>
      <c r="C76" s="82" t="s">
        <v>65</v>
      </c>
      <c r="D76" s="82" t="s">
        <v>58</v>
      </c>
      <c r="E76" s="82" t="s">
        <v>102</v>
      </c>
      <c r="F76" s="82" t="s">
        <v>228</v>
      </c>
      <c r="G76" s="82">
        <v>559</v>
      </c>
      <c r="H76" s="82" t="s">
        <v>232</v>
      </c>
      <c r="I76" s="82" t="s">
        <v>229</v>
      </c>
      <c r="J76" s="82" t="s">
        <v>1979</v>
      </c>
      <c r="K76" s="82" t="s">
        <v>117</v>
      </c>
      <c r="L76" s="86" t="s">
        <v>310</v>
      </c>
      <c r="M76" s="86">
        <v>46116.588888888888</v>
      </c>
      <c r="N76" s="82" t="s">
        <v>1993</v>
      </c>
      <c r="O76" s="85" t="s">
        <v>108</v>
      </c>
      <c r="P76" s="42"/>
      <c r="Q76" s="26" t="s">
        <v>108</v>
      </c>
      <c r="R76" s="10"/>
      <c r="S76" s="26" t="s">
        <v>108</v>
      </c>
      <c r="T76" s="10"/>
      <c r="U76" s="26" t="s">
        <v>108</v>
      </c>
      <c r="V76" s="10"/>
      <c r="W76" s="26" t="s">
        <v>108</v>
      </c>
      <c r="X76" s="10"/>
      <c r="Y76" s="26" t="s">
        <v>108</v>
      </c>
      <c r="Z76" s="46" t="str">
        <f t="shared" si="4"/>
        <v>C</v>
      </c>
      <c r="AA76" s="73" t="str">
        <f t="shared" si="3"/>
        <v>UTILIZOU O PDA CORRETAMENTE</v>
      </c>
      <c r="AB76" s="18" t="s">
        <v>108</v>
      </c>
      <c r="AC76" s="74" t="s">
        <v>1</v>
      </c>
      <c r="AD76" s="29" t="str">
        <f t="shared" si="5"/>
        <v>GUARULHOS</v>
      </c>
      <c r="AE76" s="12" t="s">
        <v>16</v>
      </c>
    </row>
    <row r="77" spans="1:31" ht="30" customHeight="1" x14ac:dyDescent="0.2">
      <c r="A77" s="82" t="s">
        <v>101</v>
      </c>
      <c r="B77" s="96">
        <v>2689602471</v>
      </c>
      <c r="C77" s="82" t="s">
        <v>65</v>
      </c>
      <c r="D77" s="82" t="s">
        <v>58</v>
      </c>
      <c r="E77" s="82" t="s">
        <v>102</v>
      </c>
      <c r="F77" s="82" t="s">
        <v>2083</v>
      </c>
      <c r="G77" s="82">
        <v>379</v>
      </c>
      <c r="H77" s="82" t="s">
        <v>2084</v>
      </c>
      <c r="I77" s="82" t="s">
        <v>809</v>
      </c>
      <c r="J77" s="82" t="s">
        <v>1979</v>
      </c>
      <c r="K77" s="82"/>
      <c r="L77" s="86" t="s">
        <v>310</v>
      </c>
      <c r="M77" s="86">
        <v>46116.543749999997</v>
      </c>
      <c r="N77" s="82" t="s">
        <v>2042</v>
      </c>
      <c r="O77" s="85" t="s">
        <v>108</v>
      </c>
      <c r="P77" s="42"/>
      <c r="Q77" s="26" t="s">
        <v>108</v>
      </c>
      <c r="R77" s="10"/>
      <c r="S77" s="26" t="s">
        <v>108</v>
      </c>
      <c r="T77" s="10"/>
      <c r="U77" s="26" t="s">
        <v>108</v>
      </c>
      <c r="V77" s="10"/>
      <c r="W77" s="26" t="s">
        <v>108</v>
      </c>
      <c r="X77" s="10"/>
      <c r="Y77" s="26" t="s">
        <v>108</v>
      </c>
      <c r="Z77" s="46" t="str">
        <f t="shared" si="4"/>
        <v>C</v>
      </c>
      <c r="AA77" s="73" t="str">
        <f t="shared" si="3"/>
        <v>UTILIZOU O PDA CORRETAMENTE</v>
      </c>
      <c r="AB77" s="18" t="s">
        <v>108</v>
      </c>
      <c r="AC77" s="74" t="s">
        <v>1</v>
      </c>
      <c r="AD77" s="29" t="str">
        <f t="shared" si="5"/>
        <v>GUARULHOS</v>
      </c>
      <c r="AE77" s="12" t="s">
        <v>16</v>
      </c>
    </row>
    <row r="78" spans="1:31" ht="30" customHeight="1" x14ac:dyDescent="0.2">
      <c r="A78" s="82" t="s">
        <v>101</v>
      </c>
      <c r="B78" s="96">
        <v>2689605448</v>
      </c>
      <c r="C78" s="82" t="s">
        <v>65</v>
      </c>
      <c r="D78" s="82" t="s">
        <v>58</v>
      </c>
      <c r="E78" s="82" t="s">
        <v>102</v>
      </c>
      <c r="F78" s="82" t="s">
        <v>2085</v>
      </c>
      <c r="G78" s="82">
        <v>90</v>
      </c>
      <c r="H78" s="82" t="s">
        <v>121</v>
      </c>
      <c r="I78" s="82" t="s">
        <v>118</v>
      </c>
      <c r="J78" s="82" t="s">
        <v>1979</v>
      </c>
      <c r="K78" s="82" t="s">
        <v>2067</v>
      </c>
      <c r="L78" s="86" t="s">
        <v>310</v>
      </c>
      <c r="M78" s="86">
        <v>46116.620138888888</v>
      </c>
      <c r="N78" s="82" t="s">
        <v>1980</v>
      </c>
      <c r="O78" s="85" t="s">
        <v>108</v>
      </c>
      <c r="P78" s="42"/>
      <c r="Q78" s="26" t="s">
        <v>108</v>
      </c>
      <c r="R78" s="10"/>
      <c r="S78" s="26" t="s">
        <v>108</v>
      </c>
      <c r="T78" s="10"/>
      <c r="U78" s="26" t="s">
        <v>108</v>
      </c>
      <c r="V78" s="10"/>
      <c r="W78" s="26" t="s">
        <v>108</v>
      </c>
      <c r="X78" s="10"/>
      <c r="Y78" s="26" t="s">
        <v>108</v>
      </c>
      <c r="Z78" s="46" t="str">
        <f t="shared" si="4"/>
        <v>C</v>
      </c>
      <c r="AA78" s="73" t="str">
        <f t="shared" si="3"/>
        <v>UTILIZOU O PDA CORRETAMENTE</v>
      </c>
      <c r="AB78" s="18" t="s">
        <v>108</v>
      </c>
      <c r="AC78" s="74" t="s">
        <v>1</v>
      </c>
      <c r="AD78" s="29" t="str">
        <f t="shared" si="5"/>
        <v>GUARULHOS</v>
      </c>
      <c r="AE78" s="12" t="s">
        <v>16</v>
      </c>
    </row>
    <row r="79" spans="1:31" ht="30" customHeight="1" x14ac:dyDescent="0.2">
      <c r="A79" s="82" t="s">
        <v>101</v>
      </c>
      <c r="B79" s="96">
        <v>2689603558</v>
      </c>
      <c r="C79" s="82" t="s">
        <v>65</v>
      </c>
      <c r="D79" s="82" t="s">
        <v>58</v>
      </c>
      <c r="E79" s="82" t="s">
        <v>102</v>
      </c>
      <c r="F79" s="82" t="s">
        <v>2086</v>
      </c>
      <c r="G79" s="82">
        <v>123</v>
      </c>
      <c r="H79" s="82"/>
      <c r="I79" s="82" t="s">
        <v>229</v>
      </c>
      <c r="J79" s="82" t="s">
        <v>1979</v>
      </c>
      <c r="K79" s="82"/>
      <c r="L79" s="86" t="s">
        <v>310</v>
      </c>
      <c r="M79" s="86">
        <v>46116.628472222219</v>
      </c>
      <c r="N79" s="82" t="s">
        <v>1993</v>
      </c>
      <c r="O79" s="85" t="s">
        <v>108</v>
      </c>
      <c r="P79" s="42"/>
      <c r="Q79" s="26" t="s">
        <v>108</v>
      </c>
      <c r="R79" s="10"/>
      <c r="S79" s="26" t="s">
        <v>108</v>
      </c>
      <c r="T79" s="10"/>
      <c r="U79" s="26" t="s">
        <v>108</v>
      </c>
      <c r="V79" s="10"/>
      <c r="W79" s="26" t="s">
        <v>108</v>
      </c>
      <c r="X79" s="10"/>
      <c r="Y79" s="26" t="s">
        <v>108</v>
      </c>
      <c r="Z79" s="46" t="str">
        <f t="shared" si="4"/>
        <v>C</v>
      </c>
      <c r="AA79" s="73" t="str">
        <f t="shared" si="3"/>
        <v>UTILIZOU O PDA CORRETAMENTE</v>
      </c>
      <c r="AB79" s="18" t="s">
        <v>108</v>
      </c>
      <c r="AC79" s="74" t="s">
        <v>1</v>
      </c>
      <c r="AD79" s="29" t="str">
        <f t="shared" si="5"/>
        <v>GUARULHOS</v>
      </c>
      <c r="AE79" s="12" t="s">
        <v>16</v>
      </c>
    </row>
    <row r="80" spans="1:31" ht="30" customHeight="1" x14ac:dyDescent="0.2">
      <c r="A80" s="82" t="s">
        <v>101</v>
      </c>
      <c r="B80" s="82">
        <v>2614318460</v>
      </c>
      <c r="C80" s="82" t="s">
        <v>67</v>
      </c>
      <c r="D80" s="82" t="s">
        <v>58</v>
      </c>
      <c r="E80" s="82" t="s">
        <v>102</v>
      </c>
      <c r="F80" s="82" t="s">
        <v>2086</v>
      </c>
      <c r="G80" s="82">
        <v>123</v>
      </c>
      <c r="H80" s="82" t="s">
        <v>117</v>
      </c>
      <c r="I80" s="82" t="s">
        <v>229</v>
      </c>
      <c r="J80" s="82" t="s">
        <v>1984</v>
      </c>
      <c r="K80" s="82" t="s">
        <v>2087</v>
      </c>
      <c r="L80" s="86" t="s">
        <v>310</v>
      </c>
      <c r="M80" s="86">
        <v>46116.651388888888</v>
      </c>
      <c r="N80" s="82" t="s">
        <v>1993</v>
      </c>
      <c r="O80" s="85" t="s">
        <v>14</v>
      </c>
      <c r="P80" s="42"/>
      <c r="Q80" s="26" t="s">
        <v>14</v>
      </c>
      <c r="R80" s="10"/>
      <c r="S80" s="26" t="s">
        <v>14</v>
      </c>
      <c r="T80" s="10"/>
      <c r="U80" s="26" t="s">
        <v>14</v>
      </c>
      <c r="V80" s="10"/>
      <c r="W80" s="26" t="s">
        <v>14</v>
      </c>
      <c r="X80" s="10"/>
      <c r="Y80" s="26" t="s">
        <v>14</v>
      </c>
      <c r="Z80" s="46" t="str">
        <f t="shared" si="4"/>
        <v>NA</v>
      </c>
      <c r="AA80" s="73" t="str">
        <f t="shared" si="3"/>
        <v>NÃO AVALIADO POR FALHA DE SINCRONISMO</v>
      </c>
      <c r="AB80" s="18" t="s">
        <v>108</v>
      </c>
      <c r="AC80" s="74" t="s">
        <v>1</v>
      </c>
      <c r="AD80" s="29" t="str">
        <f t="shared" si="5"/>
        <v>GUARULHOS</v>
      </c>
      <c r="AE80" s="12" t="s">
        <v>16</v>
      </c>
    </row>
    <row r="81" spans="1:31" ht="30" customHeight="1" x14ac:dyDescent="0.2">
      <c r="A81" s="82" t="s">
        <v>101</v>
      </c>
      <c r="B81" s="96">
        <v>2689589855</v>
      </c>
      <c r="C81" s="82" t="s">
        <v>59</v>
      </c>
      <c r="D81" s="82" t="s">
        <v>16</v>
      </c>
      <c r="E81" s="82" t="s">
        <v>102</v>
      </c>
      <c r="F81" s="82" t="s">
        <v>1762</v>
      </c>
      <c r="G81" s="82">
        <v>158</v>
      </c>
      <c r="H81" s="82"/>
      <c r="I81" s="82" t="s">
        <v>345</v>
      </c>
      <c r="J81" s="82" t="s">
        <v>1975</v>
      </c>
      <c r="K81" s="82"/>
      <c r="L81" s="86" t="s">
        <v>310</v>
      </c>
      <c r="M81" s="86">
        <v>46116.601388888892</v>
      </c>
      <c r="N81" s="82" t="s">
        <v>205</v>
      </c>
      <c r="O81" s="85" t="s">
        <v>108</v>
      </c>
      <c r="P81" s="42"/>
      <c r="Q81" s="26" t="s">
        <v>108</v>
      </c>
      <c r="R81" s="10"/>
      <c r="S81" s="26" t="s">
        <v>108</v>
      </c>
      <c r="T81" s="10"/>
      <c r="U81" s="26" t="s">
        <v>108</v>
      </c>
      <c r="V81" s="10"/>
      <c r="W81" s="26" t="s">
        <v>108</v>
      </c>
      <c r="X81" s="10"/>
      <c r="Y81" s="26" t="s">
        <v>108</v>
      </c>
      <c r="Z81" s="46" t="str">
        <f t="shared" si="4"/>
        <v>C</v>
      </c>
      <c r="AA81" s="73" t="str">
        <f t="shared" si="3"/>
        <v>UTILIZOU O PDA CORRETAMENTE</v>
      </c>
      <c r="AB81" s="18" t="s">
        <v>108</v>
      </c>
      <c r="AC81" s="74" t="s">
        <v>1</v>
      </c>
      <c r="AD81" s="29" t="str">
        <f t="shared" si="5"/>
        <v>GUARULHOS</v>
      </c>
      <c r="AE81" s="12" t="s">
        <v>16</v>
      </c>
    </row>
    <row r="82" spans="1:31" ht="30" customHeight="1" x14ac:dyDescent="0.2">
      <c r="A82" s="82" t="s">
        <v>101</v>
      </c>
      <c r="B82" s="96">
        <v>2614303233</v>
      </c>
      <c r="C82" s="82" t="s">
        <v>59</v>
      </c>
      <c r="D82" s="82" t="s">
        <v>16</v>
      </c>
      <c r="E82" s="82" t="s">
        <v>102</v>
      </c>
      <c r="F82" s="82" t="s">
        <v>1762</v>
      </c>
      <c r="G82" s="82">
        <v>178</v>
      </c>
      <c r="H82" s="82" t="s">
        <v>117</v>
      </c>
      <c r="I82" s="82" t="s">
        <v>345</v>
      </c>
      <c r="J82" s="82" t="s">
        <v>1975</v>
      </c>
      <c r="K82" s="82" t="s">
        <v>117</v>
      </c>
      <c r="L82" s="86" t="s">
        <v>310</v>
      </c>
      <c r="M82" s="86">
        <v>46116.65347222222</v>
      </c>
      <c r="N82" s="82" t="s">
        <v>205</v>
      </c>
      <c r="O82" s="85" t="s">
        <v>108</v>
      </c>
      <c r="P82" s="42"/>
      <c r="Q82" s="26" t="s">
        <v>108</v>
      </c>
      <c r="R82" s="10"/>
      <c r="S82" s="26" t="s">
        <v>108</v>
      </c>
      <c r="T82" s="10"/>
      <c r="U82" s="26" t="s">
        <v>108</v>
      </c>
      <c r="V82" s="10"/>
      <c r="W82" s="26" t="s">
        <v>214</v>
      </c>
      <c r="X82" s="10"/>
      <c r="Y82" s="26" t="s">
        <v>108</v>
      </c>
      <c r="Z82" s="46" t="str">
        <f t="shared" si="4"/>
        <v>NC</v>
      </c>
      <c r="AA82" s="73" t="str">
        <f t="shared" si="3"/>
        <v>UTILIZOU O PDA CORRETAMENTE. NÃO HÁ FOTOS DE TODAS AS ETAPAS</v>
      </c>
      <c r="AB82" s="18" t="s">
        <v>108</v>
      </c>
      <c r="AC82" s="74" t="s">
        <v>1</v>
      </c>
      <c r="AD82" s="29" t="str">
        <f t="shared" si="5"/>
        <v>GUARULHOS</v>
      </c>
      <c r="AE82" s="12" t="s">
        <v>16</v>
      </c>
    </row>
    <row r="83" spans="1:31" ht="30" customHeight="1" x14ac:dyDescent="0.2">
      <c r="A83" s="82" t="s">
        <v>101</v>
      </c>
      <c r="B83" s="96">
        <v>2614319156</v>
      </c>
      <c r="C83" s="82" t="s">
        <v>60</v>
      </c>
      <c r="D83" s="82" t="s">
        <v>16</v>
      </c>
      <c r="E83" s="82" t="s">
        <v>102</v>
      </c>
      <c r="F83" s="82" t="s">
        <v>215</v>
      </c>
      <c r="G83" s="82">
        <v>696</v>
      </c>
      <c r="H83" s="82" t="s">
        <v>153</v>
      </c>
      <c r="I83" s="82" t="s">
        <v>216</v>
      </c>
      <c r="J83" s="82" t="s">
        <v>1979</v>
      </c>
      <c r="K83" s="82" t="s">
        <v>117</v>
      </c>
      <c r="L83" s="86" t="s">
        <v>316</v>
      </c>
      <c r="M83" s="86">
        <v>46146.417361111111</v>
      </c>
      <c r="N83" s="82" t="s">
        <v>185</v>
      </c>
      <c r="O83" s="85" t="s">
        <v>108</v>
      </c>
      <c r="P83" s="42"/>
      <c r="Q83" s="26" t="s">
        <v>108</v>
      </c>
      <c r="R83" s="10"/>
      <c r="S83" s="26" t="s">
        <v>108</v>
      </c>
      <c r="T83" s="10"/>
      <c r="U83" s="26" t="s">
        <v>108</v>
      </c>
      <c r="V83" s="10"/>
      <c r="W83" s="26" t="s">
        <v>108</v>
      </c>
      <c r="X83" s="10"/>
      <c r="Y83" s="26" t="s">
        <v>108</v>
      </c>
      <c r="Z83" s="46" t="str">
        <f t="shared" si="4"/>
        <v>C</v>
      </c>
      <c r="AA83" s="73" t="str">
        <f t="shared" si="3"/>
        <v>UTILIZOU O PDA CORRETAMENTE</v>
      </c>
      <c r="AB83" s="18" t="s">
        <v>108</v>
      </c>
      <c r="AC83" s="74" t="s">
        <v>1</v>
      </c>
      <c r="AD83" s="29" t="str">
        <f t="shared" si="5"/>
        <v>GUARULHOS</v>
      </c>
      <c r="AE83" s="12" t="s">
        <v>16</v>
      </c>
    </row>
    <row r="84" spans="1:31" ht="30" customHeight="1" x14ac:dyDescent="0.2">
      <c r="A84" s="82" t="s">
        <v>101</v>
      </c>
      <c r="B84" s="96">
        <v>2689624927</v>
      </c>
      <c r="C84" s="82" t="s">
        <v>61</v>
      </c>
      <c r="D84" s="82" t="s">
        <v>58</v>
      </c>
      <c r="E84" s="82" t="s">
        <v>102</v>
      </c>
      <c r="F84" s="82" t="s">
        <v>2088</v>
      </c>
      <c r="G84" s="82">
        <v>40</v>
      </c>
      <c r="H84" s="82" t="s">
        <v>117</v>
      </c>
      <c r="I84" s="82" t="s">
        <v>247</v>
      </c>
      <c r="J84" s="82" t="s">
        <v>2089</v>
      </c>
      <c r="K84" s="82" t="s">
        <v>117</v>
      </c>
      <c r="L84" s="86" t="s">
        <v>316</v>
      </c>
      <c r="M84" s="86">
        <v>46146.473611111112</v>
      </c>
      <c r="N84" s="82" t="s">
        <v>185</v>
      </c>
      <c r="O84" s="85" t="s">
        <v>108</v>
      </c>
      <c r="P84" s="42"/>
      <c r="Q84" s="26" t="s">
        <v>108</v>
      </c>
      <c r="R84" s="10"/>
      <c r="S84" s="26" t="s">
        <v>108</v>
      </c>
      <c r="T84" s="10"/>
      <c r="U84" s="26" t="s">
        <v>108</v>
      </c>
      <c r="V84" s="10"/>
      <c r="W84" s="26" t="s">
        <v>108</v>
      </c>
      <c r="X84" s="10"/>
      <c r="Y84" s="26" t="s">
        <v>108</v>
      </c>
      <c r="Z84" s="46" t="str">
        <f t="shared" si="4"/>
        <v>C</v>
      </c>
      <c r="AA84" s="73" t="str">
        <f t="shared" si="3"/>
        <v>UTILIZOU O PDA CORRETAMENTE</v>
      </c>
      <c r="AB84" s="18" t="s">
        <v>108</v>
      </c>
      <c r="AC84" s="74" t="s">
        <v>1</v>
      </c>
      <c r="AD84" s="29" t="str">
        <f t="shared" si="5"/>
        <v>GUARULHOS</v>
      </c>
      <c r="AE84" s="12" t="s">
        <v>16</v>
      </c>
    </row>
    <row r="85" spans="1:31" ht="30" customHeight="1" x14ac:dyDescent="0.2">
      <c r="A85" s="82" t="s">
        <v>101</v>
      </c>
      <c r="B85" s="96">
        <v>2689627491</v>
      </c>
      <c r="C85" s="82" t="s">
        <v>60</v>
      </c>
      <c r="D85" s="82" t="s">
        <v>16</v>
      </c>
      <c r="E85" s="82" t="s">
        <v>102</v>
      </c>
      <c r="F85" s="82" t="s">
        <v>2090</v>
      </c>
      <c r="G85" s="82">
        <v>35</v>
      </c>
      <c r="H85" s="82"/>
      <c r="I85" s="82" t="s">
        <v>713</v>
      </c>
      <c r="J85" s="82" t="s">
        <v>1979</v>
      </c>
      <c r="K85" s="82"/>
      <c r="L85" s="86" t="s">
        <v>316</v>
      </c>
      <c r="M85" s="86">
        <v>46146.446527777778</v>
      </c>
      <c r="N85" s="82" t="s">
        <v>185</v>
      </c>
      <c r="O85" s="85" t="s">
        <v>108</v>
      </c>
      <c r="P85" s="42"/>
      <c r="Q85" s="26" t="s">
        <v>108</v>
      </c>
      <c r="R85" s="10"/>
      <c r="S85" s="26" t="s">
        <v>108</v>
      </c>
      <c r="T85" s="10"/>
      <c r="U85" s="26" t="s">
        <v>108</v>
      </c>
      <c r="V85" s="10"/>
      <c r="W85" s="26" t="s">
        <v>108</v>
      </c>
      <c r="X85" s="10"/>
      <c r="Y85" s="26" t="s">
        <v>108</v>
      </c>
      <c r="Z85" s="46" t="str">
        <f t="shared" si="4"/>
        <v>C</v>
      </c>
      <c r="AA85" s="73" t="str">
        <f t="shared" si="3"/>
        <v>UTILIZOU O PDA CORRETAMENTE</v>
      </c>
      <c r="AB85" s="18" t="s">
        <v>108</v>
      </c>
      <c r="AC85" s="74" t="s">
        <v>1</v>
      </c>
      <c r="AD85" s="29" t="str">
        <f t="shared" si="5"/>
        <v>GUARULHOS</v>
      </c>
      <c r="AE85" s="12" t="s">
        <v>16</v>
      </c>
    </row>
    <row r="86" spans="1:31" ht="30" customHeight="1" x14ac:dyDescent="0.2">
      <c r="A86" s="82" t="s">
        <v>101</v>
      </c>
      <c r="B86" s="96">
        <v>2614318277</v>
      </c>
      <c r="C86" s="82" t="s">
        <v>65</v>
      </c>
      <c r="D86" s="82" t="s">
        <v>58</v>
      </c>
      <c r="E86" s="82" t="s">
        <v>102</v>
      </c>
      <c r="F86" s="82" t="s">
        <v>2091</v>
      </c>
      <c r="G86" s="82">
        <v>73</v>
      </c>
      <c r="H86" s="82" t="s">
        <v>117</v>
      </c>
      <c r="I86" s="82" t="s">
        <v>149</v>
      </c>
      <c r="J86" s="82" t="s">
        <v>1979</v>
      </c>
      <c r="K86" s="82" t="s">
        <v>117</v>
      </c>
      <c r="L86" s="86" t="s">
        <v>316</v>
      </c>
      <c r="M86" s="86">
        <v>46146.373611111114</v>
      </c>
      <c r="N86" s="82" t="s">
        <v>1993</v>
      </c>
      <c r="O86" s="85" t="s">
        <v>108</v>
      </c>
      <c r="P86" s="42"/>
      <c r="Q86" s="26" t="s">
        <v>108</v>
      </c>
      <c r="R86" s="10"/>
      <c r="S86" s="26" t="s">
        <v>108</v>
      </c>
      <c r="T86" s="10"/>
      <c r="U86" s="26" t="s">
        <v>108</v>
      </c>
      <c r="V86" s="10"/>
      <c r="W86" s="26" t="s">
        <v>108</v>
      </c>
      <c r="X86" s="10"/>
      <c r="Y86" s="26" t="s">
        <v>108</v>
      </c>
      <c r="Z86" s="46" t="str">
        <f t="shared" si="4"/>
        <v>C</v>
      </c>
      <c r="AA86" s="73" t="str">
        <f t="shared" si="3"/>
        <v>UTILIZOU O PDA CORRETAMENTE</v>
      </c>
      <c r="AB86" s="18" t="s">
        <v>108</v>
      </c>
      <c r="AC86" s="74" t="s">
        <v>1</v>
      </c>
      <c r="AD86" s="29" t="str">
        <f t="shared" si="5"/>
        <v>GUARULHOS</v>
      </c>
      <c r="AE86" s="12" t="s">
        <v>16</v>
      </c>
    </row>
    <row r="87" spans="1:31" ht="30" customHeight="1" x14ac:dyDescent="0.2">
      <c r="A87" s="82" t="s">
        <v>101</v>
      </c>
      <c r="B87" s="96">
        <v>2689628747</v>
      </c>
      <c r="C87" s="82" t="s">
        <v>60</v>
      </c>
      <c r="D87" s="82" t="s">
        <v>16</v>
      </c>
      <c r="E87" s="82" t="s">
        <v>102</v>
      </c>
      <c r="F87" s="82" t="s">
        <v>2092</v>
      </c>
      <c r="G87" s="82">
        <v>937</v>
      </c>
      <c r="H87" s="82" t="s">
        <v>2093</v>
      </c>
      <c r="I87" s="82" t="s">
        <v>713</v>
      </c>
      <c r="J87" s="82" t="s">
        <v>1979</v>
      </c>
      <c r="K87" s="82"/>
      <c r="L87" s="86" t="s">
        <v>316</v>
      </c>
      <c r="M87" s="86">
        <v>46146.456944444442</v>
      </c>
      <c r="N87" s="82" t="s">
        <v>185</v>
      </c>
      <c r="O87" s="85" t="s">
        <v>108</v>
      </c>
      <c r="P87" s="42"/>
      <c r="Q87" s="26" t="s">
        <v>108</v>
      </c>
      <c r="R87" s="10"/>
      <c r="S87" s="26" t="s">
        <v>108</v>
      </c>
      <c r="T87" s="10"/>
      <c r="U87" s="26" t="s">
        <v>108</v>
      </c>
      <c r="V87" s="10"/>
      <c r="W87" s="26" t="s">
        <v>108</v>
      </c>
      <c r="X87" s="10"/>
      <c r="Y87" s="26" t="s">
        <v>108</v>
      </c>
      <c r="Z87" s="46" t="str">
        <f t="shared" si="4"/>
        <v>C</v>
      </c>
      <c r="AA87" s="73" t="str">
        <f t="shared" si="3"/>
        <v>UTILIZOU O PDA CORRETAMENTE</v>
      </c>
      <c r="AB87" s="18" t="s">
        <v>108</v>
      </c>
      <c r="AC87" s="74" t="s">
        <v>1</v>
      </c>
      <c r="AD87" s="29" t="str">
        <f t="shared" si="5"/>
        <v>GUARULHOS</v>
      </c>
      <c r="AE87" s="12" t="s">
        <v>16</v>
      </c>
    </row>
    <row r="88" spans="1:31" ht="30" customHeight="1" x14ac:dyDescent="0.2">
      <c r="A88" s="82" t="s">
        <v>101</v>
      </c>
      <c r="B88" s="96">
        <v>2689624062</v>
      </c>
      <c r="C88" s="82" t="s">
        <v>60</v>
      </c>
      <c r="D88" s="82" t="s">
        <v>16</v>
      </c>
      <c r="E88" s="82" t="s">
        <v>102</v>
      </c>
      <c r="F88" s="82" t="s">
        <v>2094</v>
      </c>
      <c r="G88" s="82">
        <v>100</v>
      </c>
      <c r="H88" s="82" t="s">
        <v>2095</v>
      </c>
      <c r="I88" s="82" t="s">
        <v>486</v>
      </c>
      <c r="J88" s="82" t="s">
        <v>1975</v>
      </c>
      <c r="K88" s="82" t="s">
        <v>2096</v>
      </c>
      <c r="L88" s="86" t="s">
        <v>316</v>
      </c>
      <c r="M88" s="86">
        <v>46146.401388888888</v>
      </c>
      <c r="N88" s="82" t="s">
        <v>231</v>
      </c>
      <c r="O88" s="85" t="s">
        <v>108</v>
      </c>
      <c r="P88" s="42"/>
      <c r="Q88" s="26" t="s">
        <v>108</v>
      </c>
      <c r="R88" s="10"/>
      <c r="S88" s="26" t="s">
        <v>108</v>
      </c>
      <c r="T88" s="10"/>
      <c r="U88" s="26" t="s">
        <v>108</v>
      </c>
      <c r="V88" s="10"/>
      <c r="W88" s="26" t="s">
        <v>214</v>
      </c>
      <c r="X88" s="10"/>
      <c r="Y88" s="26" t="s">
        <v>108</v>
      </c>
      <c r="Z88" s="46" t="str">
        <f t="shared" si="4"/>
        <v>NC</v>
      </c>
      <c r="AA88" s="73" t="str">
        <f t="shared" si="3"/>
        <v>UTILIZOU O PDA CORRETAMENTE. NÃO HÁ FOTOS DE TODAS AS ETAPAS</v>
      </c>
      <c r="AB88" s="18" t="s">
        <v>108</v>
      </c>
      <c r="AC88" s="74" t="s">
        <v>1</v>
      </c>
      <c r="AD88" s="29" t="str">
        <f t="shared" si="5"/>
        <v>GUARULHOS</v>
      </c>
      <c r="AE88" s="12" t="s">
        <v>16</v>
      </c>
    </row>
    <row r="89" spans="1:31" ht="30" customHeight="1" x14ac:dyDescent="0.2">
      <c r="A89" s="82" t="s">
        <v>101</v>
      </c>
      <c r="B89" s="96">
        <v>2689629856</v>
      </c>
      <c r="C89" s="82" t="s">
        <v>60</v>
      </c>
      <c r="D89" s="82" t="s">
        <v>16</v>
      </c>
      <c r="E89" s="82" t="s">
        <v>102</v>
      </c>
      <c r="F89" s="82" t="s">
        <v>1234</v>
      </c>
      <c r="G89" s="82">
        <v>351</v>
      </c>
      <c r="H89" s="82" t="s">
        <v>2097</v>
      </c>
      <c r="I89" s="82" t="s">
        <v>277</v>
      </c>
      <c r="J89" s="82" t="s">
        <v>1979</v>
      </c>
      <c r="K89" s="82"/>
      <c r="L89" s="86" t="s">
        <v>316</v>
      </c>
      <c r="M89" s="86">
        <v>46146.509722222225</v>
      </c>
      <c r="N89" s="82" t="s">
        <v>597</v>
      </c>
      <c r="O89" s="85" t="s">
        <v>108</v>
      </c>
      <c r="P89" s="42"/>
      <c r="Q89" s="26" t="s">
        <v>108</v>
      </c>
      <c r="R89" s="10"/>
      <c r="S89" s="26" t="s">
        <v>108</v>
      </c>
      <c r="T89" s="10"/>
      <c r="U89" s="26" t="s">
        <v>108</v>
      </c>
      <c r="V89" s="10"/>
      <c r="W89" s="26" t="s">
        <v>108</v>
      </c>
      <c r="X89" s="10"/>
      <c r="Y89" s="26" t="s">
        <v>108</v>
      </c>
      <c r="Z89" s="46" t="str">
        <f t="shared" si="4"/>
        <v>C</v>
      </c>
      <c r="AA89" s="73" t="str">
        <f t="shared" si="3"/>
        <v>UTILIZOU O PDA CORRETAMENTE</v>
      </c>
      <c r="AB89" s="18" t="s">
        <v>108</v>
      </c>
      <c r="AC89" s="74" t="s">
        <v>1</v>
      </c>
      <c r="AD89" s="29" t="str">
        <f t="shared" si="5"/>
        <v>GUARULHOS</v>
      </c>
      <c r="AE89" s="12" t="s">
        <v>16</v>
      </c>
    </row>
    <row r="90" spans="1:31" ht="30" customHeight="1" x14ac:dyDescent="0.2">
      <c r="A90" s="82" t="s">
        <v>101</v>
      </c>
      <c r="B90" s="96">
        <v>2689630377</v>
      </c>
      <c r="C90" s="82" t="s">
        <v>60</v>
      </c>
      <c r="D90" s="82" t="s">
        <v>16</v>
      </c>
      <c r="E90" s="82" t="s">
        <v>102</v>
      </c>
      <c r="F90" s="82" t="s">
        <v>651</v>
      </c>
      <c r="G90" s="82">
        <v>570</v>
      </c>
      <c r="H90" s="82" t="s">
        <v>2098</v>
      </c>
      <c r="I90" s="82" t="s">
        <v>382</v>
      </c>
      <c r="J90" s="82" t="s">
        <v>1979</v>
      </c>
      <c r="K90" s="82" t="s">
        <v>117</v>
      </c>
      <c r="L90" s="86" t="s">
        <v>316</v>
      </c>
      <c r="M90" s="86">
        <v>46146.494444444441</v>
      </c>
      <c r="N90" s="82" t="s">
        <v>597</v>
      </c>
      <c r="O90" s="85" t="s">
        <v>108</v>
      </c>
      <c r="P90" s="42"/>
      <c r="Q90" s="26" t="s">
        <v>214</v>
      </c>
      <c r="R90" s="10"/>
      <c r="S90" s="26" t="s">
        <v>108</v>
      </c>
      <c r="T90" s="10"/>
      <c r="U90" s="26" t="s">
        <v>108</v>
      </c>
      <c r="V90" s="10"/>
      <c r="W90" s="26" t="s">
        <v>108</v>
      </c>
      <c r="X90" s="10"/>
      <c r="Y90" s="26" t="s">
        <v>108</v>
      </c>
      <c r="Z90" s="46" t="str">
        <f t="shared" si="4"/>
        <v>NC</v>
      </c>
      <c r="AA90" s="73" t="str">
        <f t="shared" si="3"/>
        <v>UTILIZOU O PDA CORRETAMENTE. NÃO HÁ FOTOS DE TODAS AS ETAPAS</v>
      </c>
      <c r="AB90" s="18" t="s">
        <v>108</v>
      </c>
      <c r="AC90" s="74" t="s">
        <v>1</v>
      </c>
      <c r="AD90" s="29" t="str">
        <f t="shared" si="5"/>
        <v>GUARULHOS</v>
      </c>
      <c r="AE90" s="12" t="s">
        <v>16</v>
      </c>
    </row>
    <row r="91" spans="1:31" ht="30" customHeight="1" x14ac:dyDescent="0.2">
      <c r="A91" s="82" t="s">
        <v>101</v>
      </c>
      <c r="B91" s="82">
        <v>2614387717</v>
      </c>
      <c r="C91" s="82" t="s">
        <v>62</v>
      </c>
      <c r="D91" s="82" t="s">
        <v>58</v>
      </c>
      <c r="E91" s="82" t="s">
        <v>102</v>
      </c>
      <c r="F91" s="82" t="s">
        <v>2099</v>
      </c>
      <c r="G91" s="82">
        <v>23</v>
      </c>
      <c r="H91" s="82"/>
      <c r="I91" s="82" t="s">
        <v>1125</v>
      </c>
      <c r="J91" s="82" t="s">
        <v>2011</v>
      </c>
      <c r="K91" s="82" t="s">
        <v>2100</v>
      </c>
      <c r="L91" s="86" t="s">
        <v>316</v>
      </c>
      <c r="M91" s="86">
        <v>46146.469444444447</v>
      </c>
      <c r="N91" s="82" t="s">
        <v>209</v>
      </c>
      <c r="O91" s="85" t="s">
        <v>14</v>
      </c>
      <c r="P91" s="42"/>
      <c r="Q91" s="26" t="s">
        <v>14</v>
      </c>
      <c r="R91" s="10"/>
      <c r="S91" s="26" t="s">
        <v>14</v>
      </c>
      <c r="T91" s="10"/>
      <c r="U91" s="26" t="s">
        <v>14</v>
      </c>
      <c r="V91" s="10"/>
      <c r="W91" s="26" t="s">
        <v>14</v>
      </c>
      <c r="X91" s="10"/>
      <c r="Y91" s="26" t="s">
        <v>14</v>
      </c>
      <c r="Z91" s="46" t="str">
        <f t="shared" si="4"/>
        <v>NA</v>
      </c>
      <c r="AA91" s="73" t="str">
        <f t="shared" si="3"/>
        <v>NÃO AVALIADO POR FALHA DE SINCRONISMO</v>
      </c>
      <c r="AB91" s="18" t="s">
        <v>108</v>
      </c>
      <c r="AC91" s="74" t="s">
        <v>1</v>
      </c>
      <c r="AD91" s="29" t="str">
        <f t="shared" si="5"/>
        <v>GUARULHOS</v>
      </c>
      <c r="AE91" s="12" t="s">
        <v>16</v>
      </c>
    </row>
    <row r="92" spans="1:31" ht="30" customHeight="1" x14ac:dyDescent="0.2">
      <c r="A92" s="82" t="s">
        <v>101</v>
      </c>
      <c r="B92" s="96">
        <v>2614350577</v>
      </c>
      <c r="C92" s="82" t="s">
        <v>65</v>
      </c>
      <c r="D92" s="82" t="s">
        <v>58</v>
      </c>
      <c r="E92" s="82" t="s">
        <v>102</v>
      </c>
      <c r="F92" s="82" t="s">
        <v>2101</v>
      </c>
      <c r="G92" s="82">
        <v>211</v>
      </c>
      <c r="H92" s="82" t="s">
        <v>2102</v>
      </c>
      <c r="I92" s="82" t="s">
        <v>2103</v>
      </c>
      <c r="J92" s="82" t="s">
        <v>1979</v>
      </c>
      <c r="K92" s="82" t="s">
        <v>2007</v>
      </c>
      <c r="L92" s="86" t="s">
        <v>316</v>
      </c>
      <c r="M92" s="86">
        <v>46146.52847222222</v>
      </c>
      <c r="N92" s="82" t="s">
        <v>597</v>
      </c>
      <c r="O92" s="85" t="s">
        <v>108</v>
      </c>
      <c r="P92" s="42"/>
      <c r="Q92" s="26" t="s">
        <v>108</v>
      </c>
      <c r="R92" s="10"/>
      <c r="S92" s="26" t="s">
        <v>108</v>
      </c>
      <c r="T92" s="10"/>
      <c r="U92" s="26" t="s">
        <v>108</v>
      </c>
      <c r="V92" s="10"/>
      <c r="W92" s="26" t="s">
        <v>108</v>
      </c>
      <c r="X92" s="10"/>
      <c r="Y92" s="26" t="s">
        <v>108</v>
      </c>
      <c r="Z92" s="46" t="s">
        <v>108</v>
      </c>
      <c r="AA92" s="73" t="str">
        <f t="shared" si="3"/>
        <v>UTILIZOU O PDA CORRETAMENTE</v>
      </c>
      <c r="AB92" s="18" t="s">
        <v>108</v>
      </c>
      <c r="AC92" s="74" t="s">
        <v>1</v>
      </c>
      <c r="AD92" s="29" t="str">
        <f t="shared" si="5"/>
        <v>GUARULHOS</v>
      </c>
      <c r="AE92" s="12" t="s">
        <v>16</v>
      </c>
    </row>
    <row r="93" spans="1:31" ht="30" customHeight="1" x14ac:dyDescent="0.2">
      <c r="A93" s="82" t="s">
        <v>101</v>
      </c>
      <c r="B93" s="96">
        <v>2689616133</v>
      </c>
      <c r="C93" s="82" t="s">
        <v>65</v>
      </c>
      <c r="D93" s="82" t="s">
        <v>58</v>
      </c>
      <c r="E93" s="82" t="s">
        <v>102</v>
      </c>
      <c r="F93" s="82" t="s">
        <v>373</v>
      </c>
      <c r="G93" s="82">
        <v>204</v>
      </c>
      <c r="H93" s="82" t="s">
        <v>2104</v>
      </c>
      <c r="I93" s="82" t="s">
        <v>374</v>
      </c>
      <c r="J93" s="82" t="s">
        <v>1979</v>
      </c>
      <c r="K93" s="82" t="s">
        <v>2007</v>
      </c>
      <c r="L93" s="86" t="s">
        <v>316</v>
      </c>
      <c r="M93" s="86">
        <v>46146.470138888886</v>
      </c>
      <c r="N93" s="82" t="s">
        <v>597</v>
      </c>
      <c r="O93" s="85" t="s">
        <v>108</v>
      </c>
      <c r="P93" s="42"/>
      <c r="Q93" s="26" t="s">
        <v>108</v>
      </c>
      <c r="R93" s="10"/>
      <c r="S93" s="26" t="s">
        <v>108</v>
      </c>
      <c r="T93" s="10"/>
      <c r="U93" s="26" t="s">
        <v>108</v>
      </c>
      <c r="V93" s="10"/>
      <c r="W93" s="26" t="s">
        <v>108</v>
      </c>
      <c r="X93" s="10"/>
      <c r="Y93" s="26" t="s">
        <v>108</v>
      </c>
      <c r="Z93" s="46" t="str">
        <f t="shared" si="4"/>
        <v>C</v>
      </c>
      <c r="AA93" s="73" t="str">
        <f t="shared" si="3"/>
        <v>UTILIZOU O PDA CORRETAMENTE</v>
      </c>
      <c r="AB93" s="18" t="s">
        <v>108</v>
      </c>
      <c r="AC93" s="74" t="s">
        <v>1</v>
      </c>
      <c r="AD93" s="29" t="str">
        <f t="shared" si="5"/>
        <v>GUARULHOS</v>
      </c>
      <c r="AE93" s="12" t="s">
        <v>16</v>
      </c>
    </row>
    <row r="94" spans="1:31" ht="30" customHeight="1" x14ac:dyDescent="0.2">
      <c r="A94" s="82" t="s">
        <v>101</v>
      </c>
      <c r="B94" s="82">
        <v>2689609651</v>
      </c>
      <c r="C94" s="82" t="s">
        <v>60</v>
      </c>
      <c r="D94" s="82" t="s">
        <v>16</v>
      </c>
      <c r="E94" s="82" t="s">
        <v>102</v>
      </c>
      <c r="F94" s="82" t="s">
        <v>2105</v>
      </c>
      <c r="G94" s="82">
        <v>216</v>
      </c>
      <c r="H94" s="82" t="s">
        <v>2106</v>
      </c>
      <c r="I94" s="82" t="s">
        <v>104</v>
      </c>
      <c r="J94" s="82" t="s">
        <v>1975</v>
      </c>
      <c r="K94" s="82" t="s">
        <v>2107</v>
      </c>
      <c r="L94" s="86" t="s">
        <v>316</v>
      </c>
      <c r="M94" s="86">
        <v>46146.478472222225</v>
      </c>
      <c r="N94" s="82" t="s">
        <v>231</v>
      </c>
      <c r="O94" s="85" t="s">
        <v>14</v>
      </c>
      <c r="P94" s="42"/>
      <c r="Q94" s="26" t="s">
        <v>14</v>
      </c>
      <c r="R94" s="10"/>
      <c r="S94" s="26" t="s">
        <v>14</v>
      </c>
      <c r="T94" s="10"/>
      <c r="U94" s="26" t="s">
        <v>14</v>
      </c>
      <c r="V94" s="10"/>
      <c r="W94" s="26" t="s">
        <v>14</v>
      </c>
      <c r="X94" s="10"/>
      <c r="Y94" s="26" t="s">
        <v>14</v>
      </c>
      <c r="Z94" s="46" t="str">
        <f t="shared" si="4"/>
        <v>NA</v>
      </c>
      <c r="AA94" s="73" t="str">
        <f t="shared" si="3"/>
        <v>NÃO AVALIADO POR FALHA DE SINCRONISMO</v>
      </c>
      <c r="AB94" s="18" t="s">
        <v>108</v>
      </c>
      <c r="AC94" s="74" t="s">
        <v>1</v>
      </c>
      <c r="AD94" s="29" t="str">
        <f t="shared" si="5"/>
        <v>GUARULHOS</v>
      </c>
      <c r="AE94" s="12" t="s">
        <v>16</v>
      </c>
    </row>
    <row r="95" spans="1:31" ht="30" customHeight="1" x14ac:dyDescent="0.2">
      <c r="A95" s="82" t="s">
        <v>101</v>
      </c>
      <c r="B95" s="96">
        <v>2614316501</v>
      </c>
      <c r="C95" s="82" t="s">
        <v>65</v>
      </c>
      <c r="D95" s="82" t="s">
        <v>58</v>
      </c>
      <c r="E95" s="82" t="s">
        <v>102</v>
      </c>
      <c r="F95" s="82" t="s">
        <v>350</v>
      </c>
      <c r="G95" s="82">
        <v>1203</v>
      </c>
      <c r="H95" s="82" t="s">
        <v>351</v>
      </c>
      <c r="I95" s="82" t="s">
        <v>352</v>
      </c>
      <c r="J95" s="82" t="s">
        <v>1979</v>
      </c>
      <c r="K95" s="82" t="s">
        <v>2108</v>
      </c>
      <c r="L95" s="86" t="s">
        <v>316</v>
      </c>
      <c r="M95" s="86">
        <v>46146.55</v>
      </c>
      <c r="N95" s="82" t="s">
        <v>180</v>
      </c>
      <c r="O95" s="85" t="s">
        <v>14</v>
      </c>
      <c r="P95" s="42" t="s">
        <v>2109</v>
      </c>
      <c r="Q95" s="26" t="s">
        <v>14</v>
      </c>
      <c r="R95" s="42" t="s">
        <v>2109</v>
      </c>
      <c r="S95" s="26" t="s">
        <v>14</v>
      </c>
      <c r="T95" s="42" t="s">
        <v>2109</v>
      </c>
      <c r="U95" s="26" t="s">
        <v>14</v>
      </c>
      <c r="V95" s="42" t="s">
        <v>2109</v>
      </c>
      <c r="W95" s="26" t="s">
        <v>14</v>
      </c>
      <c r="X95" s="42" t="s">
        <v>2109</v>
      </c>
      <c r="Y95" s="26" t="s">
        <v>14</v>
      </c>
      <c r="Z95" s="46" t="str">
        <f t="shared" si="4"/>
        <v>NA</v>
      </c>
      <c r="AA95" s="73" t="str">
        <f t="shared" si="3"/>
        <v>NÃO AVALIADO POR FALHA DE SINCRONISMO</v>
      </c>
      <c r="AB95" s="18" t="s">
        <v>14</v>
      </c>
      <c r="AC95" s="74" t="s">
        <v>1</v>
      </c>
      <c r="AD95" s="29" t="str">
        <f t="shared" si="5"/>
        <v>GUARULHOS</v>
      </c>
      <c r="AE95" s="12" t="s">
        <v>16</v>
      </c>
    </row>
    <row r="96" spans="1:31" ht="30" customHeight="1" x14ac:dyDescent="0.2">
      <c r="A96" s="82" t="s">
        <v>101</v>
      </c>
      <c r="B96" s="96">
        <v>2689630457</v>
      </c>
      <c r="C96" s="82" t="s">
        <v>62</v>
      </c>
      <c r="D96" s="82" t="s">
        <v>58</v>
      </c>
      <c r="E96" s="82" t="s">
        <v>102</v>
      </c>
      <c r="F96" s="82" t="s">
        <v>373</v>
      </c>
      <c r="G96" s="82">
        <v>176</v>
      </c>
      <c r="H96" s="82" t="s">
        <v>138</v>
      </c>
      <c r="I96" s="82" t="s">
        <v>374</v>
      </c>
      <c r="J96" s="82" t="s">
        <v>2011</v>
      </c>
      <c r="K96" s="82" t="s">
        <v>117</v>
      </c>
      <c r="L96" s="86" t="s">
        <v>316</v>
      </c>
      <c r="M96" s="86">
        <v>46146.628472222219</v>
      </c>
      <c r="N96" s="82" t="s">
        <v>144</v>
      </c>
      <c r="O96" s="85" t="s">
        <v>214</v>
      </c>
      <c r="P96" s="42"/>
      <c r="Q96" s="26" t="s">
        <v>214</v>
      </c>
      <c r="R96" s="10"/>
      <c r="S96" s="26" t="s">
        <v>214</v>
      </c>
      <c r="T96" s="10"/>
      <c r="U96" s="26" t="s">
        <v>214</v>
      </c>
      <c r="V96" s="10"/>
      <c r="W96" s="26" t="s">
        <v>214</v>
      </c>
      <c r="X96" s="10"/>
      <c r="Y96" s="26" t="s">
        <v>114</v>
      </c>
      <c r="Z96" s="46" t="str">
        <f t="shared" si="4"/>
        <v>NC</v>
      </c>
      <c r="AA96" s="73" t="str">
        <f t="shared" si="3"/>
        <v>NÃO UTILIZOU O PDA</v>
      </c>
      <c r="AB96" s="18" t="s">
        <v>108</v>
      </c>
      <c r="AC96" s="74" t="s">
        <v>1</v>
      </c>
      <c r="AD96" s="29" t="str">
        <f t="shared" si="5"/>
        <v>GUARULHOS</v>
      </c>
      <c r="AE96" s="12" t="s">
        <v>16</v>
      </c>
    </row>
    <row r="97" spans="1:31" ht="30" customHeight="1" x14ac:dyDescent="0.2">
      <c r="A97" s="82" t="s">
        <v>101</v>
      </c>
      <c r="B97" s="96">
        <v>2613753689</v>
      </c>
      <c r="C97" s="82" t="s">
        <v>66</v>
      </c>
      <c r="D97" s="82" t="s">
        <v>58</v>
      </c>
      <c r="E97" s="82" t="s">
        <v>102</v>
      </c>
      <c r="F97" s="82" t="s">
        <v>384</v>
      </c>
      <c r="G97" s="82">
        <v>298</v>
      </c>
      <c r="H97" s="82" t="s">
        <v>2110</v>
      </c>
      <c r="I97" s="82" t="s">
        <v>118</v>
      </c>
      <c r="J97" s="82" t="s">
        <v>1989</v>
      </c>
      <c r="K97" s="88" t="s">
        <v>386</v>
      </c>
      <c r="L97" s="86" t="s">
        <v>377</v>
      </c>
      <c r="M97" s="86">
        <v>46177.292361111111</v>
      </c>
      <c r="N97" s="82" t="s">
        <v>119</v>
      </c>
      <c r="O97" s="85" t="s">
        <v>14</v>
      </c>
      <c r="P97" s="42"/>
      <c r="Q97" s="26" t="s">
        <v>14</v>
      </c>
      <c r="R97" s="10"/>
      <c r="S97" s="26" t="s">
        <v>14</v>
      </c>
      <c r="T97" s="10"/>
      <c r="U97" s="26" t="s">
        <v>14</v>
      </c>
      <c r="V97" s="10"/>
      <c r="W97" s="26" t="s">
        <v>14</v>
      </c>
      <c r="X97" s="10"/>
      <c r="Y97" s="26" t="s">
        <v>14</v>
      </c>
      <c r="Z97" s="46" t="str">
        <f t="shared" si="4"/>
        <v>NA</v>
      </c>
      <c r="AA97" s="73" t="str">
        <f t="shared" si="3"/>
        <v>NÃO AVALIADO POR FALHA DE SINCRONISMO</v>
      </c>
      <c r="AB97" s="18" t="s">
        <v>108</v>
      </c>
      <c r="AC97" s="74" t="s">
        <v>1</v>
      </c>
      <c r="AD97" s="29" t="str">
        <f t="shared" si="5"/>
        <v>GUARULHOS</v>
      </c>
      <c r="AE97" s="12" t="s">
        <v>16</v>
      </c>
    </row>
    <row r="98" spans="1:31" ht="30" customHeight="1" x14ac:dyDescent="0.2">
      <c r="A98" s="82" t="s">
        <v>101</v>
      </c>
      <c r="B98" s="96">
        <v>2613753024</v>
      </c>
      <c r="C98" s="82" t="s">
        <v>66</v>
      </c>
      <c r="D98" s="82" t="s">
        <v>58</v>
      </c>
      <c r="E98" s="82" t="s">
        <v>102</v>
      </c>
      <c r="F98" s="82" t="s">
        <v>384</v>
      </c>
      <c r="G98" s="82">
        <v>298</v>
      </c>
      <c r="H98" s="82" t="s">
        <v>421</v>
      </c>
      <c r="I98" s="82" t="s">
        <v>118</v>
      </c>
      <c r="J98" s="82" t="s">
        <v>1989</v>
      </c>
      <c r="K98" s="88" t="s">
        <v>386</v>
      </c>
      <c r="L98" s="86" t="s">
        <v>377</v>
      </c>
      <c r="M98" s="86">
        <v>46177.292361111111</v>
      </c>
      <c r="N98" s="82" t="s">
        <v>119</v>
      </c>
      <c r="O98" s="85" t="s">
        <v>14</v>
      </c>
      <c r="P98" s="42"/>
      <c r="Q98" s="26" t="s">
        <v>14</v>
      </c>
      <c r="R98" s="10"/>
      <c r="S98" s="26" t="s">
        <v>14</v>
      </c>
      <c r="T98" s="10"/>
      <c r="U98" s="26" t="s">
        <v>14</v>
      </c>
      <c r="V98" s="10"/>
      <c r="W98" s="26" t="s">
        <v>14</v>
      </c>
      <c r="X98" s="10"/>
      <c r="Y98" s="26" t="s">
        <v>14</v>
      </c>
      <c r="Z98" s="46" t="str">
        <f t="shared" si="4"/>
        <v>NA</v>
      </c>
      <c r="AA98" s="73" t="str">
        <f t="shared" si="3"/>
        <v>NÃO AVALIADO POR FALHA DE SINCRONISMO</v>
      </c>
      <c r="AB98" s="18" t="s">
        <v>108</v>
      </c>
      <c r="AC98" s="74" t="s">
        <v>1</v>
      </c>
      <c r="AD98" s="29" t="str">
        <f t="shared" si="5"/>
        <v>GUARULHOS</v>
      </c>
      <c r="AE98" s="12" t="s">
        <v>16</v>
      </c>
    </row>
    <row r="99" spans="1:31" ht="30" customHeight="1" x14ac:dyDescent="0.2">
      <c r="A99" s="82" t="s">
        <v>101</v>
      </c>
      <c r="B99" s="96">
        <v>2612561652</v>
      </c>
      <c r="C99" s="82" t="s">
        <v>66</v>
      </c>
      <c r="D99" s="82" t="s">
        <v>58</v>
      </c>
      <c r="E99" s="82" t="s">
        <v>102</v>
      </c>
      <c r="F99" s="82" t="s">
        <v>1062</v>
      </c>
      <c r="G99" s="82">
        <v>154</v>
      </c>
      <c r="H99" s="82" t="s">
        <v>260</v>
      </c>
      <c r="I99" s="82" t="s">
        <v>1063</v>
      </c>
      <c r="J99" s="82" t="s">
        <v>1989</v>
      </c>
      <c r="K99" s="82" t="s">
        <v>2111</v>
      </c>
      <c r="L99" s="86" t="s">
        <v>377</v>
      </c>
      <c r="M99" s="86">
        <v>46177.292361111111</v>
      </c>
      <c r="N99" s="82" t="s">
        <v>119</v>
      </c>
      <c r="O99" s="85" t="s">
        <v>14</v>
      </c>
      <c r="P99" s="1"/>
      <c r="Q99" s="28" t="s">
        <v>14</v>
      </c>
      <c r="R99" s="18"/>
      <c r="S99" s="28" t="s">
        <v>14</v>
      </c>
      <c r="T99" s="18"/>
      <c r="U99" s="28" t="s">
        <v>14</v>
      </c>
      <c r="V99" s="18"/>
      <c r="W99" s="28" t="s">
        <v>14</v>
      </c>
      <c r="X99" s="18"/>
      <c r="Y99" s="28" t="s">
        <v>14</v>
      </c>
      <c r="Z99" s="46" t="str">
        <f t="shared" si="4"/>
        <v>NA</v>
      </c>
      <c r="AA99" s="73" t="str">
        <f t="shared" si="3"/>
        <v>NÃO AVALIADO POR FALHA DE SINCRONISMO</v>
      </c>
      <c r="AB99" s="18" t="s">
        <v>108</v>
      </c>
      <c r="AC99" s="38" t="s">
        <v>1</v>
      </c>
      <c r="AD99" s="29" t="str">
        <f t="shared" si="5"/>
        <v>GUARULHOS</v>
      </c>
      <c r="AE99" s="21" t="s">
        <v>16</v>
      </c>
    </row>
    <row r="100" spans="1:31" ht="30" customHeight="1" x14ac:dyDescent="0.2">
      <c r="A100" s="82" t="s">
        <v>101</v>
      </c>
      <c r="B100" s="96">
        <v>2612278679</v>
      </c>
      <c r="C100" s="82" t="s">
        <v>66</v>
      </c>
      <c r="D100" s="82" t="s">
        <v>58</v>
      </c>
      <c r="E100" s="82" t="s">
        <v>102</v>
      </c>
      <c r="F100" s="82" t="s">
        <v>1062</v>
      </c>
      <c r="G100" s="82">
        <v>154</v>
      </c>
      <c r="H100" s="82" t="s">
        <v>174</v>
      </c>
      <c r="I100" s="82" t="s">
        <v>1063</v>
      </c>
      <c r="J100" s="82" t="s">
        <v>1989</v>
      </c>
      <c r="K100" s="82" t="s">
        <v>2112</v>
      </c>
      <c r="L100" s="86" t="s">
        <v>377</v>
      </c>
      <c r="M100" s="86">
        <v>46177.292361111111</v>
      </c>
      <c r="N100" s="82" t="s">
        <v>119</v>
      </c>
      <c r="O100" s="85" t="s">
        <v>14</v>
      </c>
      <c r="P100" s="1"/>
      <c r="Q100" s="28" t="s">
        <v>14</v>
      </c>
      <c r="R100" s="18"/>
      <c r="S100" s="28" t="s">
        <v>14</v>
      </c>
      <c r="T100" s="18"/>
      <c r="U100" s="28" t="s">
        <v>14</v>
      </c>
      <c r="V100" s="18"/>
      <c r="W100" s="28" t="s">
        <v>14</v>
      </c>
      <c r="X100" s="18"/>
      <c r="Y100" s="28" t="s">
        <v>14</v>
      </c>
      <c r="Z100" s="46" t="str">
        <f t="shared" si="4"/>
        <v>NA</v>
      </c>
      <c r="AA100" s="73" t="str">
        <f t="shared" si="3"/>
        <v>NÃO AVALIADO POR FALHA DE SINCRONISMO</v>
      </c>
      <c r="AB100" s="18" t="s">
        <v>108</v>
      </c>
      <c r="AC100" s="38" t="s">
        <v>1</v>
      </c>
      <c r="AD100" s="29" t="str">
        <f t="shared" si="5"/>
        <v>GUARULHOS</v>
      </c>
      <c r="AE100" s="21" t="s">
        <v>16</v>
      </c>
    </row>
    <row r="101" spans="1:31" ht="30" customHeight="1" x14ac:dyDescent="0.2">
      <c r="A101" s="82" t="s">
        <v>101</v>
      </c>
      <c r="B101" s="96">
        <v>2612563303</v>
      </c>
      <c r="C101" s="82" t="s">
        <v>66</v>
      </c>
      <c r="D101" s="82" t="s">
        <v>58</v>
      </c>
      <c r="E101" s="82" t="s">
        <v>102</v>
      </c>
      <c r="F101" s="82" t="s">
        <v>1062</v>
      </c>
      <c r="G101" s="82">
        <v>154</v>
      </c>
      <c r="H101" s="82" t="s">
        <v>138</v>
      </c>
      <c r="I101" s="82" t="s">
        <v>1063</v>
      </c>
      <c r="J101" s="82" t="s">
        <v>1989</v>
      </c>
      <c r="K101" s="82" t="s">
        <v>2113</v>
      </c>
      <c r="L101" s="86" t="s">
        <v>377</v>
      </c>
      <c r="M101" s="86">
        <v>46177.292361111111</v>
      </c>
      <c r="N101" s="82" t="s">
        <v>119</v>
      </c>
      <c r="O101" s="85" t="s">
        <v>14</v>
      </c>
      <c r="P101" s="1"/>
      <c r="Q101" s="28" t="s">
        <v>14</v>
      </c>
      <c r="R101" s="18"/>
      <c r="S101" s="28" t="s">
        <v>14</v>
      </c>
      <c r="T101" s="18"/>
      <c r="U101" s="28" t="s">
        <v>14</v>
      </c>
      <c r="V101" s="18"/>
      <c r="W101" s="28" t="s">
        <v>14</v>
      </c>
      <c r="X101" s="18"/>
      <c r="Y101" s="28" t="s">
        <v>14</v>
      </c>
      <c r="Z101" s="46" t="str">
        <f t="shared" si="4"/>
        <v>NA</v>
      </c>
      <c r="AA101" s="73" t="str">
        <f t="shared" si="3"/>
        <v>NÃO AVALIADO POR FALHA DE SINCRONISMO</v>
      </c>
      <c r="AB101" s="18" t="s">
        <v>108</v>
      </c>
      <c r="AC101" s="38" t="s">
        <v>1</v>
      </c>
      <c r="AD101" s="29" t="str">
        <f t="shared" si="5"/>
        <v>GUARULHOS</v>
      </c>
      <c r="AE101" s="21" t="s">
        <v>16</v>
      </c>
    </row>
    <row r="102" spans="1:31" ht="30" customHeight="1" x14ac:dyDescent="0.2">
      <c r="A102" s="82" t="s">
        <v>101</v>
      </c>
      <c r="B102" s="96">
        <v>2689639940</v>
      </c>
      <c r="C102" s="82" t="s">
        <v>60</v>
      </c>
      <c r="D102" s="82" t="s">
        <v>16</v>
      </c>
      <c r="E102" s="82" t="s">
        <v>102</v>
      </c>
      <c r="F102" s="82" t="s">
        <v>2114</v>
      </c>
      <c r="G102" s="82">
        <v>37</v>
      </c>
      <c r="H102" s="82" t="s">
        <v>1064</v>
      </c>
      <c r="I102" s="82" t="s">
        <v>1120</v>
      </c>
      <c r="J102" s="82" t="s">
        <v>1979</v>
      </c>
      <c r="K102" s="82"/>
      <c r="L102" s="86" t="s">
        <v>377</v>
      </c>
      <c r="M102" s="86">
        <v>46177.479861111111</v>
      </c>
      <c r="N102" s="82" t="s">
        <v>2042</v>
      </c>
      <c r="O102" s="85" t="s">
        <v>108</v>
      </c>
      <c r="P102" s="1"/>
      <c r="Q102" s="28" t="s">
        <v>108</v>
      </c>
      <c r="R102" s="18"/>
      <c r="S102" s="28" t="s">
        <v>108</v>
      </c>
      <c r="T102" s="18"/>
      <c r="U102" s="28" t="s">
        <v>108</v>
      </c>
      <c r="V102" s="18"/>
      <c r="W102" s="28" t="s">
        <v>108</v>
      </c>
      <c r="X102" s="18"/>
      <c r="Y102" s="28" t="s">
        <v>108</v>
      </c>
      <c r="Z102" s="46" t="str">
        <f t="shared" si="4"/>
        <v>C</v>
      </c>
      <c r="AA102" s="73" t="str">
        <f t="shared" si="3"/>
        <v>UTILIZOU O PDA CORRETAMENTE</v>
      </c>
      <c r="AB102" s="18" t="s">
        <v>108</v>
      </c>
      <c r="AC102" s="38" t="s">
        <v>1</v>
      </c>
      <c r="AD102" s="29" t="str">
        <f t="shared" si="5"/>
        <v>GUARULHOS</v>
      </c>
      <c r="AE102" s="21" t="s">
        <v>16</v>
      </c>
    </row>
    <row r="103" spans="1:31" ht="30" customHeight="1" x14ac:dyDescent="0.2">
      <c r="A103" s="82" t="s">
        <v>101</v>
      </c>
      <c r="B103" s="96">
        <v>2689636488</v>
      </c>
      <c r="C103" s="82" t="s">
        <v>60</v>
      </c>
      <c r="D103" s="82" t="s">
        <v>16</v>
      </c>
      <c r="E103" s="82" t="s">
        <v>102</v>
      </c>
      <c r="F103" s="82" t="s">
        <v>2115</v>
      </c>
      <c r="G103" s="82">
        <v>84</v>
      </c>
      <c r="H103" s="82" t="s">
        <v>2116</v>
      </c>
      <c r="I103" s="82" t="s">
        <v>216</v>
      </c>
      <c r="J103" s="82" t="s">
        <v>1979</v>
      </c>
      <c r="K103" s="82" t="s">
        <v>117</v>
      </c>
      <c r="L103" s="86" t="s">
        <v>377</v>
      </c>
      <c r="M103" s="86">
        <v>46177.441666666666</v>
      </c>
      <c r="N103" s="82" t="s">
        <v>2042</v>
      </c>
      <c r="O103" s="85" t="s">
        <v>108</v>
      </c>
      <c r="P103" s="1"/>
      <c r="Q103" s="28" t="s">
        <v>108</v>
      </c>
      <c r="R103" s="18"/>
      <c r="S103" s="28" t="s">
        <v>108</v>
      </c>
      <c r="T103" s="18"/>
      <c r="U103" s="28" t="s">
        <v>108</v>
      </c>
      <c r="V103" s="18"/>
      <c r="W103" s="28" t="s">
        <v>108</v>
      </c>
      <c r="X103" s="18"/>
      <c r="Y103" s="28" t="s">
        <v>108</v>
      </c>
      <c r="Z103" s="46" t="str">
        <f t="shared" si="4"/>
        <v>C</v>
      </c>
      <c r="AA103" s="73" t="str">
        <f t="shared" si="3"/>
        <v>UTILIZOU O PDA CORRETAMENTE</v>
      </c>
      <c r="AB103" s="18" t="s">
        <v>108</v>
      </c>
      <c r="AC103" s="38" t="s">
        <v>1</v>
      </c>
      <c r="AD103" s="29" t="str">
        <f t="shared" si="5"/>
        <v>GUARULHOS</v>
      </c>
      <c r="AE103" s="21" t="s">
        <v>16</v>
      </c>
    </row>
    <row r="104" spans="1:31" ht="30" customHeight="1" x14ac:dyDescent="0.2">
      <c r="A104" s="82" t="s">
        <v>101</v>
      </c>
      <c r="B104" s="96">
        <v>2689644728</v>
      </c>
      <c r="C104" s="82" t="s">
        <v>60</v>
      </c>
      <c r="D104" s="82" t="s">
        <v>16</v>
      </c>
      <c r="E104" s="82" t="s">
        <v>102</v>
      </c>
      <c r="F104" s="82" t="s">
        <v>2117</v>
      </c>
      <c r="G104" s="82">
        <v>393</v>
      </c>
      <c r="H104" s="82" t="s">
        <v>2118</v>
      </c>
      <c r="I104" s="82" t="s">
        <v>989</v>
      </c>
      <c r="J104" s="82" t="s">
        <v>1979</v>
      </c>
      <c r="K104" s="82"/>
      <c r="L104" s="86" t="s">
        <v>377</v>
      </c>
      <c r="M104" s="86">
        <v>46177.574305555558</v>
      </c>
      <c r="N104" s="82" t="s">
        <v>2042</v>
      </c>
      <c r="O104" s="85" t="s">
        <v>108</v>
      </c>
      <c r="P104" s="1"/>
      <c r="Q104" s="28" t="s">
        <v>108</v>
      </c>
      <c r="R104" s="18"/>
      <c r="S104" s="28" t="s">
        <v>108</v>
      </c>
      <c r="T104" s="18"/>
      <c r="U104" s="28" t="s">
        <v>108</v>
      </c>
      <c r="V104" s="18"/>
      <c r="W104" s="28" t="s">
        <v>108</v>
      </c>
      <c r="X104" s="18"/>
      <c r="Y104" s="28" t="s">
        <v>108</v>
      </c>
      <c r="Z104" s="46" t="str">
        <f t="shared" si="4"/>
        <v>C</v>
      </c>
      <c r="AA104" s="73" t="str">
        <f t="shared" si="3"/>
        <v>UTILIZOU O PDA CORRETAMENTE</v>
      </c>
      <c r="AB104" s="18" t="s">
        <v>108</v>
      </c>
      <c r="AC104" s="38" t="s">
        <v>1</v>
      </c>
      <c r="AD104" s="29" t="str">
        <f t="shared" si="5"/>
        <v>GUARULHOS</v>
      </c>
      <c r="AE104" s="21" t="s">
        <v>16</v>
      </c>
    </row>
    <row r="105" spans="1:31" ht="30" customHeight="1" x14ac:dyDescent="0.2">
      <c r="A105" s="82" t="s">
        <v>101</v>
      </c>
      <c r="B105" s="96">
        <v>2614402823</v>
      </c>
      <c r="C105" s="82" t="s">
        <v>60</v>
      </c>
      <c r="D105" s="82" t="s">
        <v>16</v>
      </c>
      <c r="E105" s="82" t="s">
        <v>102</v>
      </c>
      <c r="F105" s="82" t="s">
        <v>2117</v>
      </c>
      <c r="G105" s="82">
        <v>16</v>
      </c>
      <c r="H105" s="82" t="s">
        <v>2119</v>
      </c>
      <c r="I105" s="82" t="s">
        <v>989</v>
      </c>
      <c r="J105" s="82" t="s">
        <v>1979</v>
      </c>
      <c r="K105" s="82"/>
      <c r="L105" s="86" t="s">
        <v>377</v>
      </c>
      <c r="M105" s="86">
        <v>46177.554861111108</v>
      </c>
      <c r="N105" s="82" t="s">
        <v>2042</v>
      </c>
      <c r="O105" s="85" t="s">
        <v>108</v>
      </c>
      <c r="P105" s="1"/>
      <c r="Q105" s="28" t="s">
        <v>108</v>
      </c>
      <c r="R105" s="18"/>
      <c r="S105" s="28" t="s">
        <v>214</v>
      </c>
      <c r="T105" s="18"/>
      <c r="U105" s="28" t="s">
        <v>108</v>
      </c>
      <c r="V105" s="18"/>
      <c r="W105" s="28" t="s">
        <v>108</v>
      </c>
      <c r="X105" s="18"/>
      <c r="Y105" s="28" t="s">
        <v>108</v>
      </c>
      <c r="Z105" s="46" t="str">
        <f t="shared" si="4"/>
        <v>NC</v>
      </c>
      <c r="AA105" s="73" t="str">
        <f t="shared" si="3"/>
        <v>UTILIZOU O PDA CORRETAMENTE. NÃO HÁ FOTOS DE TODAS AS ETAPAS</v>
      </c>
      <c r="AB105" s="18" t="s">
        <v>108</v>
      </c>
      <c r="AC105" s="38" t="s">
        <v>1</v>
      </c>
      <c r="AD105" s="29" t="str">
        <f t="shared" si="5"/>
        <v>GUARULHOS</v>
      </c>
      <c r="AE105" s="21" t="s">
        <v>16</v>
      </c>
    </row>
    <row r="106" spans="1:31" ht="30" customHeight="1" x14ac:dyDescent="0.2">
      <c r="A106" s="82" t="s">
        <v>101</v>
      </c>
      <c r="B106" s="96">
        <v>2689657723</v>
      </c>
      <c r="C106" s="82" t="s">
        <v>60</v>
      </c>
      <c r="D106" s="82" t="s">
        <v>16</v>
      </c>
      <c r="E106" s="82" t="s">
        <v>102</v>
      </c>
      <c r="F106" s="82" t="s">
        <v>1229</v>
      </c>
      <c r="G106" s="82">
        <v>278</v>
      </c>
      <c r="H106" s="82" t="s">
        <v>2120</v>
      </c>
      <c r="I106" s="82" t="s">
        <v>989</v>
      </c>
      <c r="J106" s="82" t="s">
        <v>1979</v>
      </c>
      <c r="K106" s="82" t="s">
        <v>117</v>
      </c>
      <c r="L106" s="86" t="s">
        <v>377</v>
      </c>
      <c r="M106" s="86">
        <v>46177.561111111114</v>
      </c>
      <c r="N106" s="82" t="s">
        <v>2042</v>
      </c>
      <c r="O106" s="85" t="s">
        <v>108</v>
      </c>
      <c r="P106" s="1"/>
      <c r="Q106" s="28" t="s">
        <v>108</v>
      </c>
      <c r="R106" s="18"/>
      <c r="S106" s="28" t="s">
        <v>108</v>
      </c>
      <c r="T106" s="18"/>
      <c r="U106" s="28" t="s">
        <v>108</v>
      </c>
      <c r="V106" s="18"/>
      <c r="W106" s="28" t="s">
        <v>108</v>
      </c>
      <c r="X106" s="18"/>
      <c r="Y106" s="28" t="s">
        <v>108</v>
      </c>
      <c r="Z106" s="46" t="str">
        <f t="shared" si="4"/>
        <v>C</v>
      </c>
      <c r="AA106" s="73" t="str">
        <f t="shared" si="3"/>
        <v>UTILIZOU O PDA CORRETAMENTE</v>
      </c>
      <c r="AB106" s="18" t="s">
        <v>108</v>
      </c>
      <c r="AC106" s="38" t="s">
        <v>1</v>
      </c>
      <c r="AD106" s="29" t="str">
        <f t="shared" si="5"/>
        <v>GUARULHOS</v>
      </c>
      <c r="AE106" s="21" t="s">
        <v>16</v>
      </c>
    </row>
    <row r="107" spans="1:31" ht="30" customHeight="1" x14ac:dyDescent="0.2">
      <c r="A107" s="82" t="s">
        <v>101</v>
      </c>
      <c r="B107" s="96">
        <v>2614438108</v>
      </c>
      <c r="C107" s="82" t="s">
        <v>61</v>
      </c>
      <c r="D107" s="82" t="s">
        <v>58</v>
      </c>
      <c r="E107" s="82" t="s">
        <v>102</v>
      </c>
      <c r="F107" s="82" t="s">
        <v>1697</v>
      </c>
      <c r="G107" s="82">
        <v>112</v>
      </c>
      <c r="H107" s="82" t="s">
        <v>110</v>
      </c>
      <c r="I107" s="82" t="s">
        <v>1593</v>
      </c>
      <c r="J107" s="82" t="s">
        <v>2089</v>
      </c>
      <c r="K107" s="82"/>
      <c r="L107" s="86" t="s">
        <v>377</v>
      </c>
      <c r="M107" s="86">
        <v>46177.557638888888</v>
      </c>
      <c r="N107" s="82" t="s">
        <v>1980</v>
      </c>
      <c r="O107" s="85" t="s">
        <v>108</v>
      </c>
      <c r="P107" s="1"/>
      <c r="Q107" s="28" t="s">
        <v>108</v>
      </c>
      <c r="R107" s="18"/>
      <c r="S107" s="28" t="s">
        <v>108</v>
      </c>
      <c r="T107" s="18"/>
      <c r="U107" s="28" t="s">
        <v>108</v>
      </c>
      <c r="V107" s="18"/>
      <c r="W107" s="28" t="s">
        <v>108</v>
      </c>
      <c r="X107" s="18"/>
      <c r="Y107" s="28" t="s">
        <v>108</v>
      </c>
      <c r="Z107" s="46" t="str">
        <f t="shared" si="4"/>
        <v>C</v>
      </c>
      <c r="AA107" s="73" t="str">
        <f t="shared" si="3"/>
        <v>UTILIZOU O PDA CORRETAMENTE</v>
      </c>
      <c r="AB107" s="18" t="s">
        <v>108</v>
      </c>
      <c r="AC107" s="38" t="s">
        <v>1</v>
      </c>
      <c r="AD107" s="29" t="str">
        <f t="shared" si="5"/>
        <v>GUARULHOS</v>
      </c>
      <c r="AE107" s="21" t="s">
        <v>16</v>
      </c>
    </row>
    <row r="108" spans="1:31" ht="30" customHeight="1" x14ac:dyDescent="0.2">
      <c r="A108" s="82" t="s">
        <v>101</v>
      </c>
      <c r="B108" s="82">
        <v>2689662280</v>
      </c>
      <c r="C108" s="82" t="s">
        <v>60</v>
      </c>
      <c r="D108" s="82" t="s">
        <v>16</v>
      </c>
      <c r="E108" s="82" t="s">
        <v>102</v>
      </c>
      <c r="F108" s="82" t="s">
        <v>2121</v>
      </c>
      <c r="G108" s="82">
        <v>244</v>
      </c>
      <c r="H108" s="82" t="s">
        <v>2122</v>
      </c>
      <c r="I108" s="82" t="s">
        <v>204</v>
      </c>
      <c r="J108" s="82" t="s">
        <v>1979</v>
      </c>
      <c r="K108" s="82" t="s">
        <v>2123</v>
      </c>
      <c r="L108" s="86" t="s">
        <v>377</v>
      </c>
      <c r="M108" s="86">
        <v>46177.547222222223</v>
      </c>
      <c r="N108" s="82" t="s">
        <v>1980</v>
      </c>
      <c r="O108" s="85" t="s">
        <v>214</v>
      </c>
      <c r="P108" s="42"/>
      <c r="Q108" s="26" t="s">
        <v>214</v>
      </c>
      <c r="R108" s="10"/>
      <c r="S108" s="26" t="s">
        <v>214</v>
      </c>
      <c r="T108" s="10"/>
      <c r="U108" s="26" t="s">
        <v>214</v>
      </c>
      <c r="V108" s="10"/>
      <c r="W108" s="26" t="s">
        <v>214</v>
      </c>
      <c r="X108" s="10"/>
      <c r="Y108" s="26" t="s">
        <v>114</v>
      </c>
      <c r="Z108" s="46" t="str">
        <f t="shared" si="4"/>
        <v>NC</v>
      </c>
      <c r="AA108" s="73" t="str">
        <f t="shared" si="3"/>
        <v>NÃO UTILIZOU O PDA</v>
      </c>
      <c r="AB108" s="18" t="s">
        <v>108</v>
      </c>
      <c r="AC108" s="38" t="s">
        <v>1</v>
      </c>
      <c r="AD108" s="29" t="str">
        <f t="shared" si="5"/>
        <v>GUARULHOS</v>
      </c>
      <c r="AE108" s="21" t="s">
        <v>16</v>
      </c>
    </row>
    <row r="109" spans="1:31" ht="30" customHeight="1" x14ac:dyDescent="0.2">
      <c r="A109" s="82" t="s">
        <v>101</v>
      </c>
      <c r="B109" s="96">
        <v>2689636113</v>
      </c>
      <c r="C109" s="82" t="s">
        <v>65</v>
      </c>
      <c r="D109" s="82" t="s">
        <v>58</v>
      </c>
      <c r="E109" s="82" t="s">
        <v>102</v>
      </c>
      <c r="F109" s="82" t="s">
        <v>2124</v>
      </c>
      <c r="G109" s="82">
        <v>300</v>
      </c>
      <c r="H109" s="82" t="s">
        <v>2125</v>
      </c>
      <c r="I109" s="82" t="s">
        <v>1631</v>
      </c>
      <c r="J109" s="82" t="s">
        <v>1979</v>
      </c>
      <c r="K109" s="82"/>
      <c r="L109" s="86" t="s">
        <v>377</v>
      </c>
      <c r="M109" s="86">
        <v>46177.402777777781</v>
      </c>
      <c r="N109" s="82" t="s">
        <v>1993</v>
      </c>
      <c r="O109" s="85" t="s">
        <v>108</v>
      </c>
      <c r="P109" s="1"/>
      <c r="Q109" s="28" t="s">
        <v>108</v>
      </c>
      <c r="R109" s="18"/>
      <c r="S109" s="28" t="s">
        <v>108</v>
      </c>
      <c r="T109" s="18"/>
      <c r="U109" s="28" t="s">
        <v>108</v>
      </c>
      <c r="V109" s="18"/>
      <c r="W109" s="28" t="s">
        <v>108</v>
      </c>
      <c r="X109" s="18"/>
      <c r="Y109" s="28" t="s">
        <v>108</v>
      </c>
      <c r="Z109" s="46" t="str">
        <f t="shared" si="4"/>
        <v>C</v>
      </c>
      <c r="AA109" s="73" t="str">
        <f t="shared" si="3"/>
        <v>UTILIZOU O PDA CORRETAMENTE</v>
      </c>
      <c r="AB109" s="18" t="s">
        <v>108</v>
      </c>
      <c r="AC109" s="38" t="s">
        <v>1</v>
      </c>
      <c r="AD109" s="29" t="str">
        <f t="shared" si="5"/>
        <v>GUARULHOS</v>
      </c>
      <c r="AE109" s="21" t="s">
        <v>16</v>
      </c>
    </row>
    <row r="110" spans="1:31" ht="30" customHeight="1" x14ac:dyDescent="0.2">
      <c r="A110" s="82" t="s">
        <v>101</v>
      </c>
      <c r="B110" s="96">
        <v>2614440772</v>
      </c>
      <c r="C110" s="82" t="s">
        <v>67</v>
      </c>
      <c r="D110" s="82" t="s">
        <v>58</v>
      </c>
      <c r="E110" s="82" t="s">
        <v>102</v>
      </c>
      <c r="F110" s="82" t="s">
        <v>2126</v>
      </c>
      <c r="G110" s="82">
        <v>31</v>
      </c>
      <c r="H110" s="82" t="s">
        <v>121</v>
      </c>
      <c r="I110" s="82" t="s">
        <v>1179</v>
      </c>
      <c r="J110" s="82" t="s">
        <v>1984</v>
      </c>
      <c r="K110" s="82" t="s">
        <v>117</v>
      </c>
      <c r="L110" s="86" t="s">
        <v>377</v>
      </c>
      <c r="M110" s="86">
        <v>46177.462500000001</v>
      </c>
      <c r="N110" s="82" t="s">
        <v>597</v>
      </c>
      <c r="O110" s="85" t="s">
        <v>108</v>
      </c>
      <c r="P110" s="1"/>
      <c r="Q110" s="28" t="s">
        <v>108</v>
      </c>
      <c r="R110" s="18"/>
      <c r="S110" s="28" t="s">
        <v>108</v>
      </c>
      <c r="T110" s="18"/>
      <c r="U110" s="28" t="s">
        <v>108</v>
      </c>
      <c r="V110" s="18"/>
      <c r="W110" s="28" t="s">
        <v>108</v>
      </c>
      <c r="X110" s="18"/>
      <c r="Y110" s="28" t="s">
        <v>108</v>
      </c>
      <c r="Z110" s="46" t="str">
        <f t="shared" si="4"/>
        <v>C</v>
      </c>
      <c r="AA110" s="73" t="str">
        <f t="shared" si="3"/>
        <v>UTILIZOU O PDA CORRETAMENTE</v>
      </c>
      <c r="AB110" s="18" t="s">
        <v>108</v>
      </c>
      <c r="AC110" s="38" t="s">
        <v>1</v>
      </c>
      <c r="AD110" s="29" t="str">
        <f t="shared" si="5"/>
        <v>GUARULHOS</v>
      </c>
      <c r="AE110" s="21" t="s">
        <v>16</v>
      </c>
    </row>
    <row r="111" spans="1:31" ht="30" customHeight="1" x14ac:dyDescent="0.2">
      <c r="A111" s="82" t="s">
        <v>101</v>
      </c>
      <c r="B111" s="96">
        <v>2689649432</v>
      </c>
      <c r="C111" s="82" t="s">
        <v>65</v>
      </c>
      <c r="D111" s="82" t="s">
        <v>58</v>
      </c>
      <c r="E111" s="82" t="s">
        <v>102</v>
      </c>
      <c r="F111" s="82" t="s">
        <v>2127</v>
      </c>
      <c r="G111" s="82">
        <v>80</v>
      </c>
      <c r="H111" s="82" t="s">
        <v>1182</v>
      </c>
      <c r="I111" s="82" t="s">
        <v>134</v>
      </c>
      <c r="J111" s="82" t="s">
        <v>1979</v>
      </c>
      <c r="K111" s="82"/>
      <c r="L111" s="86" t="s">
        <v>377</v>
      </c>
      <c r="M111" s="86">
        <v>46177.42083333333</v>
      </c>
      <c r="N111" s="82" t="s">
        <v>1993</v>
      </c>
      <c r="O111" s="85" t="s">
        <v>108</v>
      </c>
      <c r="P111" s="1"/>
      <c r="Q111" s="28" t="s">
        <v>108</v>
      </c>
      <c r="R111" s="18"/>
      <c r="S111" s="28" t="s">
        <v>108</v>
      </c>
      <c r="T111" s="18"/>
      <c r="U111" s="28" t="s">
        <v>108</v>
      </c>
      <c r="V111" s="18"/>
      <c r="W111" s="28" t="s">
        <v>108</v>
      </c>
      <c r="X111" s="18"/>
      <c r="Y111" s="28" t="s">
        <v>108</v>
      </c>
      <c r="Z111" s="46" t="str">
        <f t="shared" si="4"/>
        <v>C</v>
      </c>
      <c r="AA111" s="73" t="s">
        <v>2128</v>
      </c>
      <c r="AB111" s="18" t="s">
        <v>108</v>
      </c>
      <c r="AC111" s="38" t="s">
        <v>1</v>
      </c>
      <c r="AD111" s="29" t="str">
        <f t="shared" si="5"/>
        <v>GUARULHOS</v>
      </c>
      <c r="AE111" s="21" t="s">
        <v>16</v>
      </c>
    </row>
    <row r="112" spans="1:31" ht="30" customHeight="1" x14ac:dyDescent="0.2">
      <c r="A112" s="82" t="s">
        <v>101</v>
      </c>
      <c r="B112" s="96">
        <v>2614439160</v>
      </c>
      <c r="C112" s="82" t="s">
        <v>65</v>
      </c>
      <c r="D112" s="82" t="s">
        <v>58</v>
      </c>
      <c r="E112" s="82" t="s">
        <v>102</v>
      </c>
      <c r="F112" s="82" t="s">
        <v>1270</v>
      </c>
      <c r="G112" s="82">
        <v>128</v>
      </c>
      <c r="H112" s="82" t="s">
        <v>598</v>
      </c>
      <c r="I112" s="82" t="s">
        <v>134</v>
      </c>
      <c r="J112" s="82" t="s">
        <v>1979</v>
      </c>
      <c r="K112" s="82" t="s">
        <v>117</v>
      </c>
      <c r="L112" s="86" t="s">
        <v>377</v>
      </c>
      <c r="M112" s="86">
        <v>46177.435416666667</v>
      </c>
      <c r="N112" s="82" t="s">
        <v>1993</v>
      </c>
      <c r="O112" s="85" t="s">
        <v>108</v>
      </c>
      <c r="P112" s="1"/>
      <c r="Q112" s="28" t="s">
        <v>108</v>
      </c>
      <c r="R112" s="18"/>
      <c r="S112" s="28" t="s">
        <v>108</v>
      </c>
      <c r="T112" s="18"/>
      <c r="U112" s="28" t="s">
        <v>108</v>
      </c>
      <c r="V112" s="18"/>
      <c r="W112" s="28" t="s">
        <v>108</v>
      </c>
      <c r="X112" s="18"/>
      <c r="Y112" s="28" t="s">
        <v>108</v>
      </c>
      <c r="Z112" s="46" t="str">
        <f t="shared" si="4"/>
        <v>C</v>
      </c>
      <c r="AA112" s="73" t="str">
        <f t="shared" si="3"/>
        <v>UTILIZOU O PDA CORRETAMENTE</v>
      </c>
      <c r="AB112" s="18" t="s">
        <v>108</v>
      </c>
      <c r="AC112" s="38" t="s">
        <v>1</v>
      </c>
      <c r="AD112" s="29" t="str">
        <f t="shared" si="5"/>
        <v>GUARULHOS</v>
      </c>
      <c r="AE112" s="21" t="s">
        <v>16</v>
      </c>
    </row>
    <row r="113" spans="1:31" ht="30" customHeight="1" x14ac:dyDescent="0.2">
      <c r="A113" s="82" t="s">
        <v>101</v>
      </c>
      <c r="B113" s="96">
        <v>2614458416</v>
      </c>
      <c r="C113" s="82" t="s">
        <v>60</v>
      </c>
      <c r="D113" s="82" t="s">
        <v>16</v>
      </c>
      <c r="E113" s="82" t="s">
        <v>102</v>
      </c>
      <c r="F113" s="82" t="s">
        <v>2129</v>
      </c>
      <c r="G113" s="82">
        <v>57</v>
      </c>
      <c r="H113" s="82" t="s">
        <v>1873</v>
      </c>
      <c r="I113" s="82" t="s">
        <v>479</v>
      </c>
      <c r="J113" s="82" t="s">
        <v>1979</v>
      </c>
      <c r="K113" s="82"/>
      <c r="L113" s="86" t="s">
        <v>377</v>
      </c>
      <c r="M113" s="86">
        <v>46177.652083333334</v>
      </c>
      <c r="N113" s="82" t="s">
        <v>597</v>
      </c>
      <c r="O113" s="85" t="s">
        <v>108</v>
      </c>
      <c r="P113" s="1"/>
      <c r="Q113" s="28" t="s">
        <v>108</v>
      </c>
      <c r="R113" s="18"/>
      <c r="S113" s="28" t="s">
        <v>214</v>
      </c>
      <c r="T113" s="18"/>
      <c r="U113" s="28" t="s">
        <v>108</v>
      </c>
      <c r="V113" s="18"/>
      <c r="W113" s="28" t="s">
        <v>108</v>
      </c>
      <c r="X113" s="18"/>
      <c r="Y113" s="28" t="s">
        <v>108</v>
      </c>
      <c r="Z113" s="46" t="str">
        <f t="shared" si="4"/>
        <v>NC</v>
      </c>
      <c r="AA113" s="73" t="str">
        <f t="shared" si="3"/>
        <v>UTILIZOU O PDA CORRETAMENTE. NÃO HÁ FOTOS DE TODAS AS ETAPAS</v>
      </c>
      <c r="AB113" s="18" t="s">
        <v>108</v>
      </c>
      <c r="AC113" s="38" t="s">
        <v>1</v>
      </c>
      <c r="AD113" s="29" t="str">
        <f t="shared" si="5"/>
        <v>GUARULHOS</v>
      </c>
      <c r="AE113" s="21" t="s">
        <v>16</v>
      </c>
    </row>
    <row r="114" spans="1:31" ht="30" customHeight="1" x14ac:dyDescent="0.2">
      <c r="A114" s="82" t="s">
        <v>101</v>
      </c>
      <c r="B114" s="96">
        <v>2614468854</v>
      </c>
      <c r="C114" s="82" t="s">
        <v>67</v>
      </c>
      <c r="D114" s="82" t="s">
        <v>58</v>
      </c>
      <c r="E114" s="82" t="s">
        <v>102</v>
      </c>
      <c r="F114" s="82" t="s">
        <v>161</v>
      </c>
      <c r="G114" s="82">
        <v>339</v>
      </c>
      <c r="H114" s="82" t="s">
        <v>2130</v>
      </c>
      <c r="I114" s="82" t="s">
        <v>162</v>
      </c>
      <c r="J114" s="82" t="s">
        <v>1984</v>
      </c>
      <c r="K114" s="88" t="s">
        <v>2131</v>
      </c>
      <c r="L114" s="86" t="s">
        <v>377</v>
      </c>
      <c r="M114" s="86">
        <v>46177.542361111111</v>
      </c>
      <c r="N114" s="82" t="s">
        <v>119</v>
      </c>
      <c r="O114" s="85" t="s">
        <v>108</v>
      </c>
      <c r="P114" s="1"/>
      <c r="Q114" s="28" t="s">
        <v>108</v>
      </c>
      <c r="R114" s="18"/>
      <c r="S114" s="28" t="s">
        <v>108</v>
      </c>
      <c r="T114" s="18"/>
      <c r="U114" s="28" t="s">
        <v>108</v>
      </c>
      <c r="V114" s="18"/>
      <c r="W114" s="28" t="s">
        <v>108</v>
      </c>
      <c r="X114" s="18"/>
      <c r="Y114" s="28" t="s">
        <v>108</v>
      </c>
      <c r="Z114" s="46" t="str">
        <f t="shared" si="4"/>
        <v>C</v>
      </c>
      <c r="AA114" s="73" t="str">
        <f t="shared" si="3"/>
        <v>UTILIZOU O PDA CORRETAMENTE</v>
      </c>
      <c r="AB114" s="18" t="s">
        <v>108</v>
      </c>
      <c r="AC114" s="38" t="s">
        <v>1</v>
      </c>
      <c r="AD114" s="29" t="str">
        <f t="shared" si="5"/>
        <v>GUARULHOS</v>
      </c>
      <c r="AE114" s="21" t="s">
        <v>16</v>
      </c>
    </row>
    <row r="115" spans="1:31" ht="30" customHeight="1" x14ac:dyDescent="0.2">
      <c r="A115" s="82" t="s">
        <v>101</v>
      </c>
      <c r="B115" s="96">
        <v>2614466247</v>
      </c>
      <c r="C115" s="82" t="s">
        <v>60</v>
      </c>
      <c r="D115" s="82" t="s">
        <v>16</v>
      </c>
      <c r="E115" s="82" t="s">
        <v>102</v>
      </c>
      <c r="F115" s="82" t="s">
        <v>2132</v>
      </c>
      <c r="G115" s="82">
        <v>105</v>
      </c>
      <c r="H115" s="82"/>
      <c r="I115" s="82" t="s">
        <v>382</v>
      </c>
      <c r="J115" s="82" t="s">
        <v>1979</v>
      </c>
      <c r="K115" s="82"/>
      <c r="L115" s="86" t="s">
        <v>377</v>
      </c>
      <c r="M115" s="86">
        <v>46177.636111111111</v>
      </c>
      <c r="N115" s="82" t="s">
        <v>597</v>
      </c>
      <c r="O115" s="85" t="s">
        <v>108</v>
      </c>
      <c r="P115" s="1"/>
      <c r="Q115" s="28" t="s">
        <v>108</v>
      </c>
      <c r="R115" s="18"/>
      <c r="S115" s="28" t="s">
        <v>108</v>
      </c>
      <c r="T115" s="18"/>
      <c r="U115" s="28" t="s">
        <v>108</v>
      </c>
      <c r="V115" s="18"/>
      <c r="W115" s="28" t="s">
        <v>108</v>
      </c>
      <c r="X115" s="18"/>
      <c r="Y115" s="28" t="s">
        <v>108</v>
      </c>
      <c r="Z115" s="46" t="str">
        <f t="shared" si="4"/>
        <v>C</v>
      </c>
      <c r="AA115" s="73" t="str">
        <f t="shared" si="3"/>
        <v>UTILIZOU O PDA CORRETAMENTE</v>
      </c>
      <c r="AB115" s="18" t="s">
        <v>108</v>
      </c>
      <c r="AC115" s="38" t="s">
        <v>1</v>
      </c>
      <c r="AD115" s="29" t="str">
        <f t="shared" si="5"/>
        <v>GUARULHOS</v>
      </c>
      <c r="AE115" s="21" t="s">
        <v>16</v>
      </c>
    </row>
    <row r="116" spans="1:31" ht="30" customHeight="1" x14ac:dyDescent="0.2">
      <c r="A116" s="82" t="s">
        <v>101</v>
      </c>
      <c r="B116" s="96">
        <v>2689690120</v>
      </c>
      <c r="C116" s="82" t="s">
        <v>60</v>
      </c>
      <c r="D116" s="82" t="s">
        <v>16</v>
      </c>
      <c r="E116" s="82" t="s">
        <v>102</v>
      </c>
      <c r="F116" s="82" t="s">
        <v>2133</v>
      </c>
      <c r="G116" s="82">
        <v>89</v>
      </c>
      <c r="H116" s="82" t="s">
        <v>2134</v>
      </c>
      <c r="I116" s="82" t="s">
        <v>989</v>
      </c>
      <c r="J116" s="82" t="s">
        <v>1979</v>
      </c>
      <c r="K116" s="82" t="s">
        <v>117</v>
      </c>
      <c r="L116" s="86" t="s">
        <v>377</v>
      </c>
      <c r="M116" s="86">
        <v>46177.581944444442</v>
      </c>
      <c r="N116" s="82" t="s">
        <v>2042</v>
      </c>
      <c r="O116" s="85" t="s">
        <v>108</v>
      </c>
      <c r="P116" s="1"/>
      <c r="Q116" s="28" t="s">
        <v>108</v>
      </c>
      <c r="R116" s="18"/>
      <c r="S116" s="28" t="s">
        <v>108</v>
      </c>
      <c r="T116" s="18"/>
      <c r="U116" s="28" t="s">
        <v>108</v>
      </c>
      <c r="V116" s="18"/>
      <c r="W116" s="28" t="s">
        <v>108</v>
      </c>
      <c r="X116" s="18"/>
      <c r="Y116" s="28" t="s">
        <v>108</v>
      </c>
      <c r="Z116" s="46" t="str">
        <f t="shared" si="4"/>
        <v>C</v>
      </c>
      <c r="AA116" s="73" t="str">
        <f t="shared" si="3"/>
        <v>UTILIZOU O PDA CORRETAMENTE</v>
      </c>
      <c r="AB116" s="18" t="s">
        <v>108</v>
      </c>
      <c r="AC116" s="38" t="s">
        <v>1</v>
      </c>
      <c r="AD116" s="29" t="str">
        <f t="shared" si="5"/>
        <v>GUARULHOS</v>
      </c>
      <c r="AE116" s="21" t="s">
        <v>16</v>
      </c>
    </row>
    <row r="117" spans="1:31" ht="30" customHeight="1" x14ac:dyDescent="0.2">
      <c r="A117" s="82" t="s">
        <v>101</v>
      </c>
      <c r="B117" s="96">
        <v>2614473563</v>
      </c>
      <c r="C117" s="82" t="s">
        <v>63</v>
      </c>
      <c r="D117" s="82" t="s">
        <v>16</v>
      </c>
      <c r="E117" s="82" t="s">
        <v>102</v>
      </c>
      <c r="F117" s="82" t="s">
        <v>2135</v>
      </c>
      <c r="G117" s="82">
        <v>61</v>
      </c>
      <c r="H117" s="82"/>
      <c r="I117" s="82" t="s">
        <v>247</v>
      </c>
      <c r="J117" s="82" t="s">
        <v>2044</v>
      </c>
      <c r="K117" s="82" t="s">
        <v>2136</v>
      </c>
      <c r="L117" s="86" t="s">
        <v>377</v>
      </c>
      <c r="M117" s="86">
        <v>46177.584027777775</v>
      </c>
      <c r="N117" s="82" t="s">
        <v>2137</v>
      </c>
      <c r="O117" s="85" t="s">
        <v>108</v>
      </c>
      <c r="P117" s="1"/>
      <c r="Q117" s="28" t="s">
        <v>108</v>
      </c>
      <c r="R117" s="18"/>
      <c r="S117" s="28" t="s">
        <v>108</v>
      </c>
      <c r="T117" s="18"/>
      <c r="U117" s="28" t="s">
        <v>108</v>
      </c>
      <c r="V117" s="18"/>
      <c r="W117" s="28" t="s">
        <v>108</v>
      </c>
      <c r="X117" s="18"/>
      <c r="Y117" s="28" t="s">
        <v>108</v>
      </c>
      <c r="Z117" s="46" t="str">
        <f t="shared" si="4"/>
        <v>C</v>
      </c>
      <c r="AA117" s="73" t="str">
        <f t="shared" si="3"/>
        <v>UTILIZOU O PDA CORRETAMENTE</v>
      </c>
      <c r="AB117" s="18" t="s">
        <v>108</v>
      </c>
      <c r="AC117" s="38" t="s">
        <v>1</v>
      </c>
      <c r="AD117" s="29" t="str">
        <f t="shared" si="5"/>
        <v>GUARULHOS</v>
      </c>
      <c r="AE117" s="21" t="s">
        <v>16</v>
      </c>
    </row>
    <row r="118" spans="1:31" ht="30" customHeight="1" x14ac:dyDescent="0.2">
      <c r="A118" s="82" t="s">
        <v>101</v>
      </c>
      <c r="B118" s="96">
        <v>2689688165</v>
      </c>
      <c r="C118" s="82" t="s">
        <v>60</v>
      </c>
      <c r="D118" s="82" t="s">
        <v>16</v>
      </c>
      <c r="E118" s="82" t="s">
        <v>102</v>
      </c>
      <c r="F118" s="82" t="s">
        <v>2138</v>
      </c>
      <c r="G118" s="82">
        <v>539</v>
      </c>
      <c r="H118" s="82" t="s">
        <v>2139</v>
      </c>
      <c r="I118" s="82" t="s">
        <v>267</v>
      </c>
      <c r="J118" s="82" t="s">
        <v>1979</v>
      </c>
      <c r="K118" s="82"/>
      <c r="L118" s="86" t="s">
        <v>377</v>
      </c>
      <c r="M118" s="86">
        <v>46177.661805555559</v>
      </c>
      <c r="N118" s="82" t="s">
        <v>2140</v>
      </c>
      <c r="O118" s="85" t="s">
        <v>108</v>
      </c>
      <c r="P118" s="1"/>
      <c r="Q118" s="28" t="s">
        <v>108</v>
      </c>
      <c r="R118" s="18"/>
      <c r="S118" s="28" t="s">
        <v>108</v>
      </c>
      <c r="T118" s="18"/>
      <c r="U118" s="28" t="s">
        <v>108</v>
      </c>
      <c r="V118" s="18"/>
      <c r="W118" s="28" t="s">
        <v>108</v>
      </c>
      <c r="X118" s="18"/>
      <c r="Y118" s="28" t="s">
        <v>108</v>
      </c>
      <c r="Z118" s="46" t="str">
        <f t="shared" si="4"/>
        <v>C</v>
      </c>
      <c r="AA118" s="73" t="str">
        <f t="shared" si="3"/>
        <v>UTILIZOU O PDA CORRETAMENTE</v>
      </c>
      <c r="AB118" s="18" t="s">
        <v>108</v>
      </c>
      <c r="AC118" s="38" t="s">
        <v>1</v>
      </c>
      <c r="AD118" s="29" t="str">
        <f t="shared" si="5"/>
        <v>GUARULHOS</v>
      </c>
      <c r="AE118" s="21" t="s">
        <v>16</v>
      </c>
    </row>
    <row r="119" spans="1:31" ht="30" customHeight="1" x14ac:dyDescent="0.2">
      <c r="A119" s="82" t="s">
        <v>101</v>
      </c>
      <c r="B119" s="96">
        <v>2614472465</v>
      </c>
      <c r="C119" s="82" t="s">
        <v>2141</v>
      </c>
      <c r="D119" s="82" t="s">
        <v>16</v>
      </c>
      <c r="E119" s="82" t="s">
        <v>102</v>
      </c>
      <c r="F119" s="82" t="s">
        <v>476</v>
      </c>
      <c r="G119" s="82">
        <v>521</v>
      </c>
      <c r="H119" s="82" t="s">
        <v>138</v>
      </c>
      <c r="I119" s="82" t="s">
        <v>2142</v>
      </c>
      <c r="J119" s="82" t="s">
        <v>1975</v>
      </c>
      <c r="K119" s="82" t="s">
        <v>117</v>
      </c>
      <c r="L119" s="86" t="s">
        <v>377</v>
      </c>
      <c r="M119" s="86">
        <v>46177.633333333331</v>
      </c>
      <c r="N119" s="82" t="s">
        <v>2140</v>
      </c>
      <c r="O119" s="85" t="s">
        <v>108</v>
      </c>
      <c r="P119" s="1"/>
      <c r="Q119" s="28" t="s">
        <v>108</v>
      </c>
      <c r="R119" s="18"/>
      <c r="S119" s="28" t="s">
        <v>108</v>
      </c>
      <c r="T119" s="18"/>
      <c r="U119" s="28" t="s">
        <v>108</v>
      </c>
      <c r="V119" s="18"/>
      <c r="W119" s="28" t="s">
        <v>108</v>
      </c>
      <c r="X119" s="18"/>
      <c r="Y119" s="28" t="s">
        <v>108</v>
      </c>
      <c r="Z119" s="46" t="str">
        <f t="shared" si="4"/>
        <v>C</v>
      </c>
      <c r="AA119" s="73" t="str">
        <f t="shared" si="3"/>
        <v>UTILIZOU O PDA CORRETAMENTE</v>
      </c>
      <c r="AB119" s="18" t="s">
        <v>108</v>
      </c>
      <c r="AC119" s="38" t="s">
        <v>1</v>
      </c>
      <c r="AD119" s="29" t="str">
        <f t="shared" si="5"/>
        <v>GUARULHOS</v>
      </c>
      <c r="AE119" s="21" t="s">
        <v>16</v>
      </c>
    </row>
    <row r="120" spans="1:31" ht="30" customHeight="1" x14ac:dyDescent="0.2">
      <c r="A120" s="82" t="s">
        <v>101</v>
      </c>
      <c r="B120" s="82">
        <v>2689681439</v>
      </c>
      <c r="C120" s="82" t="s">
        <v>65</v>
      </c>
      <c r="D120" s="82" t="s">
        <v>58</v>
      </c>
      <c r="E120" s="82" t="s">
        <v>102</v>
      </c>
      <c r="F120" s="82" t="s">
        <v>2143</v>
      </c>
      <c r="G120" s="82">
        <v>110</v>
      </c>
      <c r="H120" s="82" t="s">
        <v>385</v>
      </c>
      <c r="I120" s="82" t="s">
        <v>154</v>
      </c>
      <c r="J120" s="82" t="s">
        <v>1979</v>
      </c>
      <c r="K120" s="82" t="s">
        <v>2144</v>
      </c>
      <c r="L120" s="86" t="s">
        <v>377</v>
      </c>
      <c r="M120" s="86">
        <v>46177.542361111111</v>
      </c>
      <c r="N120" s="82" t="s">
        <v>1980</v>
      </c>
      <c r="O120" s="85" t="s">
        <v>214</v>
      </c>
      <c r="P120" s="42"/>
      <c r="Q120" s="26" t="s">
        <v>214</v>
      </c>
      <c r="R120" s="10"/>
      <c r="S120" s="26" t="s">
        <v>214</v>
      </c>
      <c r="T120" s="10"/>
      <c r="U120" s="26" t="s">
        <v>214</v>
      </c>
      <c r="V120" s="10"/>
      <c r="W120" s="26" t="s">
        <v>214</v>
      </c>
      <c r="X120" s="10"/>
      <c r="Y120" s="26" t="s">
        <v>114</v>
      </c>
      <c r="Z120" s="46" t="str">
        <f t="shared" si="4"/>
        <v>NC</v>
      </c>
      <c r="AA120" s="73" t="str">
        <f t="shared" si="3"/>
        <v>NÃO UTILIZOU O PDA</v>
      </c>
      <c r="AB120" s="18" t="s">
        <v>108</v>
      </c>
      <c r="AC120" s="38" t="s">
        <v>1</v>
      </c>
      <c r="AD120" s="29" t="str">
        <f t="shared" si="5"/>
        <v>GUARULHOS</v>
      </c>
      <c r="AE120" s="21" t="s">
        <v>16</v>
      </c>
    </row>
    <row r="121" spans="1:31" ht="30" customHeight="1" x14ac:dyDescent="0.2">
      <c r="A121" s="82" t="s">
        <v>101</v>
      </c>
      <c r="B121" s="82">
        <v>2689676404</v>
      </c>
      <c r="C121" s="82" t="s">
        <v>65</v>
      </c>
      <c r="D121" s="82" t="s">
        <v>58</v>
      </c>
      <c r="E121" s="82" t="s">
        <v>102</v>
      </c>
      <c r="F121" s="82" t="s">
        <v>1994</v>
      </c>
      <c r="G121" s="82">
        <v>218</v>
      </c>
      <c r="H121" s="82" t="s">
        <v>1145</v>
      </c>
      <c r="I121" s="82" t="s">
        <v>220</v>
      </c>
      <c r="J121" s="82" t="s">
        <v>1979</v>
      </c>
      <c r="K121" s="82" t="s">
        <v>2145</v>
      </c>
      <c r="L121" s="86" t="s">
        <v>377</v>
      </c>
      <c r="M121" s="86">
        <v>46177.544444444444</v>
      </c>
      <c r="N121" s="82" t="s">
        <v>1980</v>
      </c>
      <c r="O121" s="85" t="s">
        <v>214</v>
      </c>
      <c r="P121" s="42"/>
      <c r="Q121" s="26" t="s">
        <v>214</v>
      </c>
      <c r="R121" s="10"/>
      <c r="S121" s="26" t="s">
        <v>214</v>
      </c>
      <c r="T121" s="10"/>
      <c r="U121" s="26" t="s">
        <v>214</v>
      </c>
      <c r="V121" s="10"/>
      <c r="W121" s="26" t="s">
        <v>214</v>
      </c>
      <c r="X121" s="10"/>
      <c r="Y121" s="26" t="s">
        <v>114</v>
      </c>
      <c r="Z121" s="46" t="str">
        <f t="shared" si="4"/>
        <v>NC</v>
      </c>
      <c r="AA121" s="73" t="str">
        <f t="shared" si="3"/>
        <v>NÃO UTILIZOU O PDA</v>
      </c>
      <c r="AB121" s="18" t="s">
        <v>108</v>
      </c>
      <c r="AC121" s="38" t="s">
        <v>1</v>
      </c>
      <c r="AD121" s="29" t="str">
        <f t="shared" si="5"/>
        <v>GUARULHOS</v>
      </c>
      <c r="AE121" s="21" t="s">
        <v>16</v>
      </c>
    </row>
    <row r="122" spans="1:31" ht="30" customHeight="1" x14ac:dyDescent="0.2">
      <c r="A122" s="82" t="s">
        <v>101</v>
      </c>
      <c r="B122" s="96">
        <v>2614438185</v>
      </c>
      <c r="C122" s="82" t="s">
        <v>65</v>
      </c>
      <c r="D122" s="82" t="s">
        <v>58</v>
      </c>
      <c r="E122" s="82" t="s">
        <v>102</v>
      </c>
      <c r="F122" s="82" t="s">
        <v>125</v>
      </c>
      <c r="G122" s="82">
        <v>191</v>
      </c>
      <c r="H122" s="82" t="s">
        <v>2146</v>
      </c>
      <c r="I122" s="82" t="s">
        <v>127</v>
      </c>
      <c r="J122" s="82" t="s">
        <v>1979</v>
      </c>
      <c r="K122" s="82"/>
      <c r="L122" s="86" t="s">
        <v>377</v>
      </c>
      <c r="M122" s="86">
        <v>46177.524305555555</v>
      </c>
      <c r="N122" s="82" t="s">
        <v>1993</v>
      </c>
      <c r="O122" s="85" t="s">
        <v>108</v>
      </c>
      <c r="P122" s="1"/>
      <c r="Q122" s="28" t="s">
        <v>214</v>
      </c>
      <c r="R122" s="18"/>
      <c r="S122" s="28" t="s">
        <v>108</v>
      </c>
      <c r="T122" s="18"/>
      <c r="U122" s="28" t="s">
        <v>108</v>
      </c>
      <c r="V122" s="18"/>
      <c r="W122" s="28" t="s">
        <v>108</v>
      </c>
      <c r="X122" s="18"/>
      <c r="Y122" s="28" t="s">
        <v>108</v>
      </c>
      <c r="Z122" s="46" t="str">
        <f t="shared" si="4"/>
        <v>NC</v>
      </c>
      <c r="AA122" s="73" t="str">
        <f t="shared" si="3"/>
        <v>UTILIZOU O PDA CORRETAMENTE. NÃO HÁ FOTOS DE TODAS AS ETAPAS</v>
      </c>
      <c r="AB122" s="18" t="s">
        <v>108</v>
      </c>
      <c r="AC122" s="38" t="s">
        <v>1</v>
      </c>
      <c r="AD122" s="29" t="str">
        <f t="shared" si="5"/>
        <v>GUARULHOS</v>
      </c>
      <c r="AE122" s="21" t="s">
        <v>16</v>
      </c>
    </row>
    <row r="123" spans="1:31" ht="30" customHeight="1" x14ac:dyDescent="0.2">
      <c r="A123" s="82" t="s">
        <v>101</v>
      </c>
      <c r="B123" s="82">
        <v>2614442035</v>
      </c>
      <c r="C123" s="82" t="s">
        <v>65</v>
      </c>
      <c r="D123" s="82" t="s">
        <v>58</v>
      </c>
      <c r="E123" s="82" t="s">
        <v>102</v>
      </c>
      <c r="F123" s="82" t="s">
        <v>2147</v>
      </c>
      <c r="G123" s="82">
        <v>456</v>
      </c>
      <c r="H123" s="82" t="s">
        <v>117</v>
      </c>
      <c r="I123" s="82" t="s">
        <v>2148</v>
      </c>
      <c r="J123" s="82" t="s">
        <v>1979</v>
      </c>
      <c r="K123" s="82" t="s">
        <v>2149</v>
      </c>
      <c r="L123" s="86" t="s">
        <v>377</v>
      </c>
      <c r="M123" s="86">
        <v>46177.579861111109</v>
      </c>
      <c r="N123" s="82" t="s">
        <v>1993</v>
      </c>
      <c r="O123" s="85" t="s">
        <v>14</v>
      </c>
      <c r="P123" s="42"/>
      <c r="Q123" s="26" t="s">
        <v>14</v>
      </c>
      <c r="R123" s="10"/>
      <c r="S123" s="26" t="s">
        <v>14</v>
      </c>
      <c r="T123" s="10"/>
      <c r="U123" s="26" t="s">
        <v>14</v>
      </c>
      <c r="V123" s="10"/>
      <c r="W123" s="26" t="s">
        <v>14</v>
      </c>
      <c r="X123" s="10"/>
      <c r="Y123" s="26" t="s">
        <v>14</v>
      </c>
      <c r="Z123" s="46" t="str">
        <f t="shared" si="4"/>
        <v>NA</v>
      </c>
      <c r="AA123" s="73" t="str">
        <f t="shared" si="3"/>
        <v>NÃO AVALIADO POR FALHA DE SINCRONISMO</v>
      </c>
      <c r="AB123" s="18" t="s">
        <v>108</v>
      </c>
      <c r="AC123" s="38" t="s">
        <v>1</v>
      </c>
      <c r="AD123" s="29" t="str">
        <f t="shared" si="5"/>
        <v>GUARULHOS</v>
      </c>
      <c r="AE123" s="21" t="s">
        <v>16</v>
      </c>
    </row>
    <row r="124" spans="1:31" ht="30" customHeight="1" x14ac:dyDescent="0.2">
      <c r="A124" s="82" t="s">
        <v>101</v>
      </c>
      <c r="B124" s="96">
        <v>2689654155</v>
      </c>
      <c r="C124" s="82" t="s">
        <v>60</v>
      </c>
      <c r="D124" s="82" t="s">
        <v>16</v>
      </c>
      <c r="E124" s="82" t="s">
        <v>102</v>
      </c>
      <c r="F124" s="82" t="s">
        <v>2150</v>
      </c>
      <c r="G124" s="82">
        <v>72</v>
      </c>
      <c r="H124" s="82">
        <v>62</v>
      </c>
      <c r="I124" s="82" t="s">
        <v>104</v>
      </c>
      <c r="J124" s="82" t="s">
        <v>1979</v>
      </c>
      <c r="K124" s="82"/>
      <c r="L124" s="86" t="s">
        <v>377</v>
      </c>
      <c r="M124" s="86">
        <v>46177.43472222222</v>
      </c>
      <c r="N124" s="82" t="s">
        <v>146</v>
      </c>
      <c r="O124" s="85" t="s">
        <v>108</v>
      </c>
      <c r="P124" s="1"/>
      <c r="Q124" s="28" t="s">
        <v>108</v>
      </c>
      <c r="R124" s="18"/>
      <c r="S124" s="28" t="s">
        <v>108</v>
      </c>
      <c r="T124" s="18"/>
      <c r="U124" s="28" t="s">
        <v>108</v>
      </c>
      <c r="V124" s="18"/>
      <c r="W124" s="28" t="s">
        <v>108</v>
      </c>
      <c r="X124" s="18"/>
      <c r="Y124" s="28" t="s">
        <v>108</v>
      </c>
      <c r="Z124" s="46" t="str">
        <f t="shared" si="4"/>
        <v>C</v>
      </c>
      <c r="AA124" s="73" t="str">
        <f t="shared" si="3"/>
        <v>UTILIZOU O PDA CORRETAMENTE</v>
      </c>
      <c r="AB124" s="18" t="s">
        <v>108</v>
      </c>
      <c r="AC124" s="38" t="s">
        <v>1</v>
      </c>
      <c r="AD124" s="29" t="str">
        <f t="shared" si="5"/>
        <v>GUARULHOS</v>
      </c>
      <c r="AE124" s="21" t="s">
        <v>16</v>
      </c>
    </row>
    <row r="125" spans="1:31" ht="30" customHeight="1" x14ac:dyDescent="0.2">
      <c r="A125" s="82" t="s">
        <v>101</v>
      </c>
      <c r="B125" s="96">
        <v>2614471325</v>
      </c>
      <c r="C125" s="82" t="s">
        <v>64</v>
      </c>
      <c r="D125" s="82" t="s">
        <v>16</v>
      </c>
      <c r="E125" s="82" t="s">
        <v>102</v>
      </c>
      <c r="F125" s="82" t="s">
        <v>2151</v>
      </c>
      <c r="G125" s="82">
        <v>149</v>
      </c>
      <c r="H125" s="82" t="s">
        <v>792</v>
      </c>
      <c r="I125" s="82" t="s">
        <v>989</v>
      </c>
      <c r="J125" s="82" t="s">
        <v>1977</v>
      </c>
      <c r="K125" s="82" t="s">
        <v>117</v>
      </c>
      <c r="L125" s="86" t="s">
        <v>377</v>
      </c>
      <c r="M125" s="86">
        <v>46177.661111111112</v>
      </c>
      <c r="N125" s="82" t="s">
        <v>180</v>
      </c>
      <c r="O125" s="85" t="s">
        <v>108</v>
      </c>
      <c r="P125" s="1"/>
      <c r="Q125" s="28" t="s">
        <v>108</v>
      </c>
      <c r="R125" s="18"/>
      <c r="S125" s="28" t="s">
        <v>108</v>
      </c>
      <c r="T125" s="18"/>
      <c r="U125" s="28" t="s">
        <v>108</v>
      </c>
      <c r="V125" s="18"/>
      <c r="W125" s="28" t="s">
        <v>108</v>
      </c>
      <c r="X125" s="18"/>
      <c r="Y125" s="28" t="s">
        <v>108</v>
      </c>
      <c r="Z125" s="46" t="str">
        <f t="shared" si="4"/>
        <v>C</v>
      </c>
      <c r="AA125" s="73" t="str">
        <f t="shared" si="3"/>
        <v>UTILIZOU O PDA CORRETAMENTE</v>
      </c>
      <c r="AB125" s="18" t="s">
        <v>108</v>
      </c>
      <c r="AC125" s="38" t="s">
        <v>1</v>
      </c>
      <c r="AD125" s="29" t="str">
        <f t="shared" si="5"/>
        <v>GUARULHOS</v>
      </c>
      <c r="AE125" s="21" t="s">
        <v>16</v>
      </c>
    </row>
    <row r="126" spans="1:31" ht="30" customHeight="1" x14ac:dyDescent="0.2">
      <c r="A126" s="82" t="s">
        <v>101</v>
      </c>
      <c r="B126" s="96">
        <v>2614451472</v>
      </c>
      <c r="C126" s="82" t="s">
        <v>67</v>
      </c>
      <c r="D126" s="82" t="s">
        <v>58</v>
      </c>
      <c r="E126" s="82" t="s">
        <v>102</v>
      </c>
      <c r="F126" s="82" t="s">
        <v>197</v>
      </c>
      <c r="G126" s="82">
        <v>544</v>
      </c>
      <c r="H126" s="82"/>
      <c r="I126" s="82" t="s">
        <v>162</v>
      </c>
      <c r="J126" s="82" t="s">
        <v>1984</v>
      </c>
      <c r="K126" s="82"/>
      <c r="L126" s="86" t="s">
        <v>377</v>
      </c>
      <c r="M126" s="86">
        <v>46177.661111111112</v>
      </c>
      <c r="N126" s="82" t="s">
        <v>160</v>
      </c>
      <c r="O126" s="85" t="s">
        <v>108</v>
      </c>
      <c r="P126" s="1"/>
      <c r="Q126" s="28" t="s">
        <v>108</v>
      </c>
      <c r="R126" s="18"/>
      <c r="S126" s="28" t="s">
        <v>108</v>
      </c>
      <c r="T126" s="18"/>
      <c r="U126" s="28" t="s">
        <v>108</v>
      </c>
      <c r="V126" s="18"/>
      <c r="W126" s="28" t="s">
        <v>108</v>
      </c>
      <c r="X126" s="18"/>
      <c r="Y126" s="28" t="s">
        <v>108</v>
      </c>
      <c r="Z126" s="46" t="str">
        <f t="shared" si="4"/>
        <v>C</v>
      </c>
      <c r="AA126" s="73" t="str">
        <f t="shared" si="3"/>
        <v>UTILIZOU O PDA CORRETAMENTE</v>
      </c>
      <c r="AB126" s="18" t="s">
        <v>108</v>
      </c>
      <c r="AC126" s="38" t="s">
        <v>1</v>
      </c>
      <c r="AD126" s="29" t="str">
        <f t="shared" si="5"/>
        <v>GUARULHOS</v>
      </c>
      <c r="AE126" s="21" t="s">
        <v>16</v>
      </c>
    </row>
    <row r="127" spans="1:31" ht="30" customHeight="1" x14ac:dyDescent="0.2">
      <c r="A127" s="82" t="s">
        <v>101</v>
      </c>
      <c r="B127" s="96">
        <v>2614451014</v>
      </c>
      <c r="C127" s="82" t="s">
        <v>67</v>
      </c>
      <c r="D127" s="82" t="s">
        <v>58</v>
      </c>
      <c r="E127" s="82" t="s">
        <v>102</v>
      </c>
      <c r="F127" s="82" t="s">
        <v>197</v>
      </c>
      <c r="G127" s="82">
        <v>540</v>
      </c>
      <c r="H127" s="82" t="s">
        <v>117</v>
      </c>
      <c r="I127" s="82" t="s">
        <v>162</v>
      </c>
      <c r="J127" s="82" t="s">
        <v>1984</v>
      </c>
      <c r="K127" s="82" t="s">
        <v>117</v>
      </c>
      <c r="L127" s="86" t="s">
        <v>377</v>
      </c>
      <c r="M127" s="86">
        <v>46177.665972222225</v>
      </c>
      <c r="N127" s="82" t="s">
        <v>160</v>
      </c>
      <c r="O127" s="85" t="s">
        <v>108</v>
      </c>
      <c r="P127" s="1"/>
      <c r="Q127" s="28" t="s">
        <v>108</v>
      </c>
      <c r="R127" s="18"/>
      <c r="S127" s="28" t="s">
        <v>108</v>
      </c>
      <c r="T127" s="18"/>
      <c r="U127" s="28" t="s">
        <v>108</v>
      </c>
      <c r="V127" s="18"/>
      <c r="W127" s="28" t="s">
        <v>108</v>
      </c>
      <c r="X127" s="18"/>
      <c r="Y127" s="28" t="s">
        <v>108</v>
      </c>
      <c r="Z127" s="46" t="str">
        <f t="shared" si="4"/>
        <v>C</v>
      </c>
      <c r="AA127" s="73" t="str">
        <f t="shared" si="3"/>
        <v>UTILIZOU O PDA CORRETAMENTE</v>
      </c>
      <c r="AB127" s="18"/>
      <c r="AC127" s="38" t="s">
        <v>1</v>
      </c>
      <c r="AD127" s="29" t="str">
        <f t="shared" si="5"/>
        <v>GUARULHOS</v>
      </c>
      <c r="AE127" s="21" t="s">
        <v>16</v>
      </c>
    </row>
    <row r="128" spans="1:31" ht="30" customHeight="1" x14ac:dyDescent="0.2">
      <c r="A128" s="82" t="s">
        <v>101</v>
      </c>
      <c r="B128" s="96">
        <v>2614495548</v>
      </c>
      <c r="C128" s="82" t="s">
        <v>60</v>
      </c>
      <c r="D128" s="82" t="s">
        <v>16</v>
      </c>
      <c r="E128" s="82" t="s">
        <v>102</v>
      </c>
      <c r="F128" s="82" t="s">
        <v>2152</v>
      </c>
      <c r="G128" s="82">
        <v>276</v>
      </c>
      <c r="H128" s="82" t="s">
        <v>2153</v>
      </c>
      <c r="I128" s="82" t="s">
        <v>277</v>
      </c>
      <c r="J128" s="82" t="s">
        <v>1979</v>
      </c>
      <c r="K128" s="82" t="s">
        <v>117</v>
      </c>
      <c r="L128" s="86" t="s">
        <v>422</v>
      </c>
      <c r="M128" s="86">
        <v>46207.442361111112</v>
      </c>
      <c r="N128" s="82" t="s">
        <v>2140</v>
      </c>
      <c r="O128" s="85" t="s">
        <v>108</v>
      </c>
      <c r="P128" s="1"/>
      <c r="Q128" s="28" t="s">
        <v>108</v>
      </c>
      <c r="R128" s="18"/>
      <c r="S128" s="28" t="s">
        <v>108</v>
      </c>
      <c r="T128" s="18"/>
      <c r="U128" s="28" t="s">
        <v>108</v>
      </c>
      <c r="V128" s="18"/>
      <c r="W128" s="28" t="s">
        <v>108</v>
      </c>
      <c r="X128" s="18"/>
      <c r="Y128" s="28" t="s">
        <v>108</v>
      </c>
      <c r="Z128" s="46" t="str">
        <f t="shared" si="4"/>
        <v>C</v>
      </c>
      <c r="AA128" s="73" t="str">
        <f t="shared" si="3"/>
        <v>UTILIZOU O PDA CORRETAMENTE</v>
      </c>
      <c r="AB128" s="18" t="s">
        <v>108</v>
      </c>
      <c r="AC128" s="38" t="s">
        <v>1</v>
      </c>
      <c r="AD128" s="29" t="str">
        <f t="shared" si="5"/>
        <v>GUARULHOS</v>
      </c>
      <c r="AE128" s="21" t="s">
        <v>16</v>
      </c>
    </row>
    <row r="129" spans="1:31" ht="30" customHeight="1" x14ac:dyDescent="0.2">
      <c r="A129" s="82" t="s">
        <v>101</v>
      </c>
      <c r="B129" s="96">
        <v>2689741344</v>
      </c>
      <c r="C129" s="82" t="s">
        <v>64</v>
      </c>
      <c r="D129" s="82" t="s">
        <v>16</v>
      </c>
      <c r="E129" s="82" t="s">
        <v>102</v>
      </c>
      <c r="F129" s="82" t="s">
        <v>2154</v>
      </c>
      <c r="G129" s="82">
        <v>34</v>
      </c>
      <c r="H129" s="82" t="s">
        <v>1462</v>
      </c>
      <c r="I129" s="82" t="s">
        <v>486</v>
      </c>
      <c r="J129" s="82" t="s">
        <v>1975</v>
      </c>
      <c r="K129" s="82"/>
      <c r="L129" s="86" t="s">
        <v>422</v>
      </c>
      <c r="M129" s="86">
        <v>46207.379166666666</v>
      </c>
      <c r="N129" s="82" t="s">
        <v>2140</v>
      </c>
      <c r="O129" s="85" t="s">
        <v>108</v>
      </c>
      <c r="P129" s="1"/>
      <c r="Q129" s="28" t="s">
        <v>108</v>
      </c>
      <c r="R129" s="18"/>
      <c r="S129" s="28" t="s">
        <v>108</v>
      </c>
      <c r="T129" s="18"/>
      <c r="U129" s="28" t="s">
        <v>108</v>
      </c>
      <c r="V129" s="18"/>
      <c r="W129" s="28" t="s">
        <v>108</v>
      </c>
      <c r="X129" s="18"/>
      <c r="Y129" s="28" t="s">
        <v>108</v>
      </c>
      <c r="Z129" s="46" t="str">
        <f t="shared" si="4"/>
        <v>C</v>
      </c>
      <c r="AA129" s="73" t="str">
        <f t="shared" ref="AA129:AA192" si="6">IF(AND(Y129="C",Z129="C"),"UTILIZOU O PDA CORRETAMENTE",IF(AND(Y129="C",Z129="NC"),"UTILIZOU O PDA CORRETAMENTE. NÃO HÁ FOTOS DE TODAS AS ETAPAS",IF(AND(Y129="NC",Z129="NC"),"NÃO UTILIZOU O PDA",IF(AND(Y129="NA",Z129="NA"),"NÃO AVALIADO POR FALHA DE SINCRONISMO"))))</f>
        <v>UTILIZOU O PDA CORRETAMENTE</v>
      </c>
      <c r="AB129" s="18" t="s">
        <v>108</v>
      </c>
      <c r="AC129" s="38" t="s">
        <v>1</v>
      </c>
      <c r="AD129" s="29" t="str">
        <f t="shared" si="5"/>
        <v>GUARULHOS</v>
      </c>
      <c r="AE129" s="21" t="s">
        <v>16</v>
      </c>
    </row>
    <row r="130" spans="1:31" ht="30" customHeight="1" x14ac:dyDescent="0.2">
      <c r="A130" s="82" t="s">
        <v>101</v>
      </c>
      <c r="B130" s="96">
        <v>2614503588</v>
      </c>
      <c r="C130" s="82" t="s">
        <v>60</v>
      </c>
      <c r="D130" s="82" t="s">
        <v>16</v>
      </c>
      <c r="E130" s="82" t="s">
        <v>102</v>
      </c>
      <c r="F130" s="82" t="s">
        <v>651</v>
      </c>
      <c r="G130" s="82">
        <v>570</v>
      </c>
      <c r="H130" s="82" t="s">
        <v>2040</v>
      </c>
      <c r="I130" s="82" t="s">
        <v>382</v>
      </c>
      <c r="J130" s="82" t="s">
        <v>1979</v>
      </c>
      <c r="K130" s="82" t="s">
        <v>117</v>
      </c>
      <c r="L130" s="86" t="s">
        <v>422</v>
      </c>
      <c r="M130" s="86">
        <v>46207.384722222225</v>
      </c>
      <c r="N130" s="82" t="s">
        <v>2140</v>
      </c>
      <c r="O130" s="85" t="s">
        <v>108</v>
      </c>
      <c r="P130" s="1"/>
      <c r="Q130" s="28" t="s">
        <v>108</v>
      </c>
      <c r="R130" s="18"/>
      <c r="S130" s="28" t="s">
        <v>108</v>
      </c>
      <c r="T130" s="18"/>
      <c r="U130" s="28" t="s">
        <v>108</v>
      </c>
      <c r="V130" s="18"/>
      <c r="W130" s="28" t="s">
        <v>108</v>
      </c>
      <c r="X130" s="18"/>
      <c r="Y130" s="28" t="s">
        <v>108</v>
      </c>
      <c r="Z130" s="46" t="str">
        <f t="shared" ref="Z130:Z193" si="7">IF(AND(O130="",Q130="",S130="",U130="",W130=""),"",IF(OR(AND(O130&lt;&gt;"NA",O130&lt;&gt;"C",O130&lt;&gt;"NC",O130&lt;&gt;"SF",O130&lt;&gt;""),AND(Q130&lt;&gt;"NA",Q130&lt;&gt;"C",Q130&lt;&gt;"NC",Q130&lt;&gt;"SF",Q130&lt;&gt;""),AND(S130&lt;&gt;"NA",S130&lt;&gt;"C",S130&lt;&gt;"NC",S130&lt;&gt;"SF",S130&lt;&gt;""),AND(U130&lt;&gt;"NA",U130&lt;&gt;"C",U130&lt;&gt;"NC",U130&lt;&gt;"SF",U130&lt;&gt;""),AND(W130&lt;&gt;"NA",W130&lt;&gt;"C",W130&lt;&gt;"NC",W130&lt;&gt;"SF",W130&lt;&gt;"")),"FALSO",IF(AND(O130="NA",Q130="NA",S130="NA",U130="NA",W130="NA"),"NA",IF(OR(O130="NC",Q130="NC",S130="NC",U130="NC",W130="NC",O130="SF",Q130="SF",S130="SF",U130="SF",W130="SF"),"NC",IF(OR(O130="C",Q130="C",S130="C",U130="C",W130="C"),"C","")))))</f>
        <v>C</v>
      </c>
      <c r="AA130" s="73" t="str">
        <f t="shared" si="6"/>
        <v>UTILIZOU O PDA CORRETAMENTE</v>
      </c>
      <c r="AB130" s="18" t="s">
        <v>108</v>
      </c>
      <c r="AC130" s="38" t="s">
        <v>1</v>
      </c>
      <c r="AD130" s="29" t="str">
        <f t="shared" ref="AD130:AD193" si="8">E130</f>
        <v>GUARULHOS</v>
      </c>
      <c r="AE130" s="21" t="s">
        <v>16</v>
      </c>
    </row>
    <row r="131" spans="1:31" ht="30" customHeight="1" x14ac:dyDescent="0.2">
      <c r="A131" s="82" t="s">
        <v>101</v>
      </c>
      <c r="B131" s="96">
        <v>2614477593</v>
      </c>
      <c r="C131" s="82" t="s">
        <v>60</v>
      </c>
      <c r="D131" s="82" t="s">
        <v>16</v>
      </c>
      <c r="E131" s="82" t="s">
        <v>102</v>
      </c>
      <c r="F131" s="82" t="s">
        <v>1758</v>
      </c>
      <c r="G131" s="82">
        <v>209</v>
      </c>
      <c r="H131" s="82" t="s">
        <v>2155</v>
      </c>
      <c r="I131" s="82" t="s">
        <v>177</v>
      </c>
      <c r="J131" s="82" t="s">
        <v>1979</v>
      </c>
      <c r="K131" s="82"/>
      <c r="L131" s="86" t="s">
        <v>422</v>
      </c>
      <c r="M131" s="86">
        <v>46207.38958333333</v>
      </c>
      <c r="N131" s="82" t="s">
        <v>2000</v>
      </c>
      <c r="O131" s="85" t="s">
        <v>108</v>
      </c>
      <c r="P131" s="1"/>
      <c r="Q131" s="28" t="s">
        <v>108</v>
      </c>
      <c r="R131" s="18"/>
      <c r="S131" s="28" t="s">
        <v>108</v>
      </c>
      <c r="T131" s="18"/>
      <c r="U131" s="28" t="s">
        <v>108</v>
      </c>
      <c r="V131" s="18"/>
      <c r="W131" s="28" t="s">
        <v>108</v>
      </c>
      <c r="X131" s="18"/>
      <c r="Y131" s="28" t="s">
        <v>108</v>
      </c>
      <c r="Z131" s="46" t="str">
        <f t="shared" si="7"/>
        <v>C</v>
      </c>
      <c r="AA131" s="73" t="str">
        <f t="shared" si="6"/>
        <v>UTILIZOU O PDA CORRETAMENTE</v>
      </c>
      <c r="AB131" s="18"/>
      <c r="AC131" s="38" t="s">
        <v>1</v>
      </c>
      <c r="AD131" s="29" t="str">
        <f t="shared" si="8"/>
        <v>GUARULHOS</v>
      </c>
      <c r="AE131" s="21" t="s">
        <v>16</v>
      </c>
    </row>
    <row r="132" spans="1:31" ht="30" customHeight="1" x14ac:dyDescent="0.2">
      <c r="A132" s="82" t="s">
        <v>101</v>
      </c>
      <c r="B132" s="96">
        <v>2614488487</v>
      </c>
      <c r="C132" s="82" t="s">
        <v>60</v>
      </c>
      <c r="D132" s="82" t="s">
        <v>16</v>
      </c>
      <c r="E132" s="82" t="s">
        <v>102</v>
      </c>
      <c r="F132" s="82" t="s">
        <v>2156</v>
      </c>
      <c r="G132" s="82">
        <v>32</v>
      </c>
      <c r="H132" s="82" t="s">
        <v>117</v>
      </c>
      <c r="I132" s="82" t="s">
        <v>389</v>
      </c>
      <c r="J132" s="82" t="s">
        <v>1975</v>
      </c>
      <c r="K132" s="82" t="s">
        <v>117</v>
      </c>
      <c r="L132" s="86" t="s">
        <v>422</v>
      </c>
      <c r="M132" s="86">
        <v>46207.425694444442</v>
      </c>
      <c r="N132" s="82" t="s">
        <v>767</v>
      </c>
      <c r="O132" s="85" t="s">
        <v>108</v>
      </c>
      <c r="P132" s="1"/>
      <c r="Q132" s="28" t="s">
        <v>108</v>
      </c>
      <c r="R132" s="18"/>
      <c r="S132" s="28" t="s">
        <v>108</v>
      </c>
      <c r="T132" s="18"/>
      <c r="U132" s="28" t="s">
        <v>108</v>
      </c>
      <c r="V132" s="18"/>
      <c r="W132" s="28" t="s">
        <v>108</v>
      </c>
      <c r="X132" s="18"/>
      <c r="Y132" s="28" t="s">
        <v>108</v>
      </c>
      <c r="Z132" s="46" t="str">
        <f t="shared" si="7"/>
        <v>C</v>
      </c>
      <c r="AA132" s="73" t="str">
        <f t="shared" si="6"/>
        <v>UTILIZOU O PDA CORRETAMENTE</v>
      </c>
      <c r="AB132" s="18"/>
      <c r="AC132" s="38" t="s">
        <v>1</v>
      </c>
      <c r="AD132" s="29" t="str">
        <f t="shared" si="8"/>
        <v>GUARULHOS</v>
      </c>
      <c r="AE132" s="21" t="s">
        <v>16</v>
      </c>
    </row>
    <row r="133" spans="1:31" ht="30" customHeight="1" x14ac:dyDescent="0.2">
      <c r="A133" s="82" t="s">
        <v>101</v>
      </c>
      <c r="B133" s="96">
        <v>2614485463</v>
      </c>
      <c r="C133" s="82" t="s">
        <v>60</v>
      </c>
      <c r="D133" s="82" t="s">
        <v>16</v>
      </c>
      <c r="E133" s="82" t="s">
        <v>102</v>
      </c>
      <c r="F133" s="82" t="s">
        <v>2157</v>
      </c>
      <c r="G133" s="82">
        <v>173</v>
      </c>
      <c r="H133" s="82" t="s">
        <v>2158</v>
      </c>
      <c r="I133" s="82" t="s">
        <v>407</v>
      </c>
      <c r="J133" s="82" t="s">
        <v>1979</v>
      </c>
      <c r="K133" s="82"/>
      <c r="L133" s="86" t="s">
        <v>422</v>
      </c>
      <c r="M133" s="86">
        <v>46207.397916666669</v>
      </c>
      <c r="N133" s="82" t="s">
        <v>2000</v>
      </c>
      <c r="O133" s="85" t="s">
        <v>108</v>
      </c>
      <c r="P133" s="1"/>
      <c r="Q133" s="28" t="s">
        <v>108</v>
      </c>
      <c r="R133" s="18"/>
      <c r="S133" s="28" t="s">
        <v>108</v>
      </c>
      <c r="T133" s="18"/>
      <c r="U133" s="28" t="s">
        <v>108</v>
      </c>
      <c r="V133" s="18"/>
      <c r="W133" s="28" t="s">
        <v>108</v>
      </c>
      <c r="X133" s="18"/>
      <c r="Y133" s="28" t="s">
        <v>108</v>
      </c>
      <c r="Z133" s="46" t="str">
        <f t="shared" si="7"/>
        <v>C</v>
      </c>
      <c r="AA133" s="73" t="str">
        <f t="shared" si="6"/>
        <v>UTILIZOU O PDA CORRETAMENTE</v>
      </c>
      <c r="AB133" s="18" t="s">
        <v>108</v>
      </c>
      <c r="AC133" s="38" t="s">
        <v>1</v>
      </c>
      <c r="AD133" s="29" t="str">
        <f t="shared" si="8"/>
        <v>GUARULHOS</v>
      </c>
      <c r="AE133" s="21" t="s">
        <v>16</v>
      </c>
    </row>
    <row r="134" spans="1:31" ht="30" customHeight="1" x14ac:dyDescent="0.2">
      <c r="A134" s="82" t="s">
        <v>101</v>
      </c>
      <c r="B134" s="96">
        <v>2614476415</v>
      </c>
      <c r="C134" s="82" t="s">
        <v>60</v>
      </c>
      <c r="D134" s="82" t="s">
        <v>16</v>
      </c>
      <c r="E134" s="82" t="s">
        <v>102</v>
      </c>
      <c r="F134" s="82" t="s">
        <v>2159</v>
      </c>
      <c r="G134" s="82">
        <v>143</v>
      </c>
      <c r="H134" s="82" t="s">
        <v>2160</v>
      </c>
      <c r="I134" s="82" t="s">
        <v>216</v>
      </c>
      <c r="J134" s="82" t="s">
        <v>1979</v>
      </c>
      <c r="K134" s="82"/>
      <c r="L134" s="86" t="s">
        <v>422</v>
      </c>
      <c r="M134" s="86">
        <v>46207.415972222225</v>
      </c>
      <c r="N134" s="82" t="s">
        <v>185</v>
      </c>
      <c r="O134" s="85" t="s">
        <v>108</v>
      </c>
      <c r="P134" s="1"/>
      <c r="Q134" s="28" t="s">
        <v>108</v>
      </c>
      <c r="R134" s="18"/>
      <c r="S134" s="28" t="s">
        <v>108</v>
      </c>
      <c r="T134" s="18"/>
      <c r="U134" s="28" t="s">
        <v>108</v>
      </c>
      <c r="V134" s="18"/>
      <c r="W134" s="28" t="s">
        <v>108</v>
      </c>
      <c r="X134" s="18"/>
      <c r="Y134" s="28" t="s">
        <v>108</v>
      </c>
      <c r="Z134" s="46" t="str">
        <f t="shared" si="7"/>
        <v>C</v>
      </c>
      <c r="AA134" s="73" t="str">
        <f t="shared" si="6"/>
        <v>UTILIZOU O PDA CORRETAMENTE</v>
      </c>
      <c r="AB134" s="18"/>
      <c r="AC134" s="38" t="s">
        <v>1</v>
      </c>
      <c r="AD134" s="29" t="str">
        <f t="shared" si="8"/>
        <v>GUARULHOS</v>
      </c>
      <c r="AE134" s="21" t="s">
        <v>16</v>
      </c>
    </row>
    <row r="135" spans="1:31" ht="30" customHeight="1" x14ac:dyDescent="0.2">
      <c r="A135" s="82" t="s">
        <v>101</v>
      </c>
      <c r="B135" s="96">
        <v>2689701612</v>
      </c>
      <c r="C135" s="82" t="s">
        <v>60</v>
      </c>
      <c r="D135" s="82" t="s">
        <v>16</v>
      </c>
      <c r="E135" s="82" t="s">
        <v>102</v>
      </c>
      <c r="F135" s="82" t="s">
        <v>2161</v>
      </c>
      <c r="G135" s="82">
        <v>66</v>
      </c>
      <c r="H135" s="82" t="s">
        <v>117</v>
      </c>
      <c r="I135" s="82" t="s">
        <v>252</v>
      </c>
      <c r="J135" s="82" t="s">
        <v>1979</v>
      </c>
      <c r="K135" s="82" t="s">
        <v>117</v>
      </c>
      <c r="L135" s="86" t="s">
        <v>422</v>
      </c>
      <c r="M135" s="86">
        <v>46207.407638888886</v>
      </c>
      <c r="N135" s="82" t="s">
        <v>185</v>
      </c>
      <c r="O135" s="85" t="s">
        <v>108</v>
      </c>
      <c r="P135" s="1"/>
      <c r="Q135" s="28" t="s">
        <v>108</v>
      </c>
      <c r="R135" s="18"/>
      <c r="S135" s="28" t="s">
        <v>108</v>
      </c>
      <c r="T135" s="18"/>
      <c r="U135" s="28" t="s">
        <v>108</v>
      </c>
      <c r="V135" s="18"/>
      <c r="W135" s="28" t="s">
        <v>108</v>
      </c>
      <c r="X135" s="18"/>
      <c r="Y135" s="28" t="s">
        <v>108</v>
      </c>
      <c r="Z135" s="46" t="str">
        <f t="shared" si="7"/>
        <v>C</v>
      </c>
      <c r="AA135" s="73" t="str">
        <f t="shared" si="6"/>
        <v>UTILIZOU O PDA CORRETAMENTE</v>
      </c>
      <c r="AB135" s="18"/>
      <c r="AC135" s="38" t="s">
        <v>1</v>
      </c>
      <c r="AD135" s="29" t="str">
        <f t="shared" si="8"/>
        <v>GUARULHOS</v>
      </c>
      <c r="AE135" s="21" t="s">
        <v>16</v>
      </c>
    </row>
    <row r="136" spans="1:31" ht="30" customHeight="1" x14ac:dyDescent="0.2">
      <c r="A136" s="82" t="s">
        <v>101</v>
      </c>
      <c r="B136" s="96">
        <v>2614492286</v>
      </c>
      <c r="C136" s="82" t="s">
        <v>60</v>
      </c>
      <c r="D136" s="82" t="s">
        <v>16</v>
      </c>
      <c r="E136" s="82" t="s">
        <v>102</v>
      </c>
      <c r="F136" s="82" t="s">
        <v>2162</v>
      </c>
      <c r="G136" s="82">
        <v>180</v>
      </c>
      <c r="H136" s="82"/>
      <c r="I136" s="82" t="s">
        <v>204</v>
      </c>
      <c r="J136" s="82" t="s">
        <v>1979</v>
      </c>
      <c r="K136" s="82"/>
      <c r="L136" s="86" t="s">
        <v>422</v>
      </c>
      <c r="M136" s="86">
        <v>46207.413888888892</v>
      </c>
      <c r="N136" s="82" t="s">
        <v>1980</v>
      </c>
      <c r="O136" s="85" t="s">
        <v>108</v>
      </c>
      <c r="P136" s="1"/>
      <c r="Q136" s="28" t="s">
        <v>108</v>
      </c>
      <c r="R136" s="18"/>
      <c r="S136" s="28" t="s">
        <v>108</v>
      </c>
      <c r="T136" s="18"/>
      <c r="U136" s="28" t="s">
        <v>108</v>
      </c>
      <c r="V136" s="18"/>
      <c r="W136" s="28" t="s">
        <v>108</v>
      </c>
      <c r="X136" s="18"/>
      <c r="Y136" s="28" t="s">
        <v>108</v>
      </c>
      <c r="Z136" s="46" t="str">
        <f t="shared" si="7"/>
        <v>C</v>
      </c>
      <c r="AA136" s="73" t="str">
        <f t="shared" si="6"/>
        <v>UTILIZOU O PDA CORRETAMENTE</v>
      </c>
      <c r="AB136" s="18"/>
      <c r="AC136" s="38" t="s">
        <v>1</v>
      </c>
      <c r="AD136" s="29" t="str">
        <f t="shared" si="8"/>
        <v>GUARULHOS</v>
      </c>
      <c r="AE136" s="21" t="s">
        <v>16</v>
      </c>
    </row>
    <row r="137" spans="1:31" ht="30" customHeight="1" x14ac:dyDescent="0.2">
      <c r="A137" s="82" t="s">
        <v>101</v>
      </c>
      <c r="B137" s="96">
        <v>2689730253</v>
      </c>
      <c r="C137" s="82" t="s">
        <v>60</v>
      </c>
      <c r="D137" s="82" t="s">
        <v>16</v>
      </c>
      <c r="E137" s="82" t="s">
        <v>102</v>
      </c>
      <c r="F137" s="82" t="s">
        <v>2015</v>
      </c>
      <c r="G137" s="82">
        <v>326</v>
      </c>
      <c r="H137" s="82" t="s">
        <v>2163</v>
      </c>
      <c r="I137" s="82" t="s">
        <v>169</v>
      </c>
      <c r="J137" s="82" t="s">
        <v>1979</v>
      </c>
      <c r="K137" s="82" t="s">
        <v>117</v>
      </c>
      <c r="L137" s="86" t="s">
        <v>422</v>
      </c>
      <c r="M137" s="86">
        <v>46207.504166666666</v>
      </c>
      <c r="N137" s="82" t="s">
        <v>597</v>
      </c>
      <c r="O137" s="85" t="s">
        <v>108</v>
      </c>
      <c r="P137" s="1"/>
      <c r="Q137" s="28" t="s">
        <v>108</v>
      </c>
      <c r="R137" s="18"/>
      <c r="S137" s="28" t="s">
        <v>108</v>
      </c>
      <c r="T137" s="18"/>
      <c r="U137" s="28" t="s">
        <v>108</v>
      </c>
      <c r="V137" s="18"/>
      <c r="W137" s="28" t="s">
        <v>108</v>
      </c>
      <c r="X137" s="18"/>
      <c r="Y137" s="28" t="s">
        <v>108</v>
      </c>
      <c r="Z137" s="46" t="str">
        <f t="shared" si="7"/>
        <v>C</v>
      </c>
      <c r="AA137" s="73" t="str">
        <f t="shared" si="6"/>
        <v>UTILIZOU O PDA CORRETAMENTE</v>
      </c>
      <c r="AB137" s="18" t="s">
        <v>108</v>
      </c>
      <c r="AC137" s="38" t="s">
        <v>1</v>
      </c>
      <c r="AD137" s="29" t="str">
        <f t="shared" si="8"/>
        <v>GUARULHOS</v>
      </c>
      <c r="AE137" s="21" t="s">
        <v>16</v>
      </c>
    </row>
    <row r="138" spans="1:31" ht="30" customHeight="1" x14ac:dyDescent="0.2">
      <c r="A138" s="82" t="s">
        <v>101</v>
      </c>
      <c r="B138" s="96">
        <v>2614525709</v>
      </c>
      <c r="C138" s="82" t="s">
        <v>61</v>
      </c>
      <c r="D138" s="82" t="s">
        <v>58</v>
      </c>
      <c r="E138" s="82" t="s">
        <v>102</v>
      </c>
      <c r="F138" s="82" t="s">
        <v>2164</v>
      </c>
      <c r="G138" s="82">
        <v>143</v>
      </c>
      <c r="H138" s="82" t="s">
        <v>138</v>
      </c>
      <c r="I138" s="82" t="s">
        <v>212</v>
      </c>
      <c r="J138" s="82" t="s">
        <v>2089</v>
      </c>
      <c r="K138" s="82" t="s">
        <v>2165</v>
      </c>
      <c r="L138" s="86" t="s">
        <v>422</v>
      </c>
      <c r="M138" s="86">
        <v>46207.393055555556</v>
      </c>
      <c r="N138" s="82" t="s">
        <v>597</v>
      </c>
      <c r="O138" s="85" t="s">
        <v>108</v>
      </c>
      <c r="P138" s="1"/>
      <c r="Q138" s="28" t="s">
        <v>108</v>
      </c>
      <c r="R138" s="18"/>
      <c r="S138" s="28" t="s">
        <v>108</v>
      </c>
      <c r="T138" s="18"/>
      <c r="U138" s="28" t="s">
        <v>108</v>
      </c>
      <c r="V138" s="18"/>
      <c r="W138" s="28" t="s">
        <v>108</v>
      </c>
      <c r="X138" s="18"/>
      <c r="Y138" s="28" t="s">
        <v>108</v>
      </c>
      <c r="Z138" s="46" t="str">
        <f t="shared" si="7"/>
        <v>C</v>
      </c>
      <c r="AA138" s="73" t="str">
        <f t="shared" si="6"/>
        <v>UTILIZOU O PDA CORRETAMENTE</v>
      </c>
      <c r="AB138" s="18"/>
      <c r="AC138" s="38" t="s">
        <v>1</v>
      </c>
      <c r="AD138" s="29" t="str">
        <f t="shared" si="8"/>
        <v>GUARULHOS</v>
      </c>
      <c r="AE138" s="21" t="s">
        <v>16</v>
      </c>
    </row>
    <row r="139" spans="1:31" ht="30" customHeight="1" x14ac:dyDescent="0.2">
      <c r="A139" s="82" t="s">
        <v>101</v>
      </c>
      <c r="B139" s="96">
        <v>2614525739</v>
      </c>
      <c r="C139" s="82" t="s">
        <v>61</v>
      </c>
      <c r="D139" s="82" t="s">
        <v>58</v>
      </c>
      <c r="E139" s="82" t="s">
        <v>102</v>
      </c>
      <c r="F139" s="82" t="s">
        <v>2164</v>
      </c>
      <c r="G139" s="82">
        <v>143</v>
      </c>
      <c r="H139" s="82" t="s">
        <v>174</v>
      </c>
      <c r="I139" s="82" t="s">
        <v>212</v>
      </c>
      <c r="J139" s="82" t="s">
        <v>2089</v>
      </c>
      <c r="K139" s="82" t="s">
        <v>117</v>
      </c>
      <c r="L139" s="86" t="s">
        <v>422</v>
      </c>
      <c r="M139" s="86">
        <v>46207.390972222223</v>
      </c>
      <c r="N139" s="82" t="s">
        <v>597</v>
      </c>
      <c r="O139" s="85" t="s">
        <v>108</v>
      </c>
      <c r="P139" s="1"/>
      <c r="Q139" s="28" t="s">
        <v>108</v>
      </c>
      <c r="R139" s="18"/>
      <c r="S139" s="28" t="s">
        <v>108</v>
      </c>
      <c r="T139" s="18"/>
      <c r="U139" s="28" t="s">
        <v>108</v>
      </c>
      <c r="V139" s="18"/>
      <c r="W139" s="28" t="s">
        <v>108</v>
      </c>
      <c r="X139" s="18"/>
      <c r="Y139" s="28" t="s">
        <v>108</v>
      </c>
      <c r="Z139" s="46" t="str">
        <f t="shared" si="7"/>
        <v>C</v>
      </c>
      <c r="AA139" s="73" t="str">
        <f t="shared" si="6"/>
        <v>UTILIZOU O PDA CORRETAMENTE</v>
      </c>
      <c r="AB139" s="18"/>
      <c r="AC139" s="38" t="s">
        <v>1</v>
      </c>
      <c r="AD139" s="29" t="str">
        <f t="shared" si="8"/>
        <v>GUARULHOS</v>
      </c>
      <c r="AE139" s="21" t="s">
        <v>16</v>
      </c>
    </row>
    <row r="140" spans="1:31" ht="30" customHeight="1" x14ac:dyDescent="0.2">
      <c r="A140" s="82" t="s">
        <v>101</v>
      </c>
      <c r="B140" s="96">
        <v>2689769022</v>
      </c>
      <c r="C140" s="82" t="s">
        <v>63</v>
      </c>
      <c r="D140" s="82" t="s">
        <v>16</v>
      </c>
      <c r="E140" s="82" t="s">
        <v>102</v>
      </c>
      <c r="F140" s="82" t="s">
        <v>2166</v>
      </c>
      <c r="G140" s="82">
        <v>230</v>
      </c>
      <c r="H140" s="82" t="s">
        <v>241</v>
      </c>
      <c r="I140" s="82" t="s">
        <v>940</v>
      </c>
      <c r="J140" s="82" t="s">
        <v>1975</v>
      </c>
      <c r="K140" s="82" t="s">
        <v>117</v>
      </c>
      <c r="L140" s="86" t="s">
        <v>422</v>
      </c>
      <c r="M140" s="86">
        <v>46207.484027777777</v>
      </c>
      <c r="N140" s="82" t="s">
        <v>767</v>
      </c>
      <c r="O140" s="85" t="s">
        <v>108</v>
      </c>
      <c r="P140" s="1"/>
      <c r="Q140" s="28" t="s">
        <v>108</v>
      </c>
      <c r="R140" s="18"/>
      <c r="S140" s="28" t="s">
        <v>108</v>
      </c>
      <c r="T140" s="18"/>
      <c r="U140" s="28" t="s">
        <v>108</v>
      </c>
      <c r="V140" s="18"/>
      <c r="W140" s="28" t="s">
        <v>108</v>
      </c>
      <c r="X140" s="18"/>
      <c r="Y140" s="28" t="s">
        <v>108</v>
      </c>
      <c r="Z140" s="46" t="str">
        <f t="shared" si="7"/>
        <v>C</v>
      </c>
      <c r="AA140" s="73" t="str">
        <f t="shared" si="6"/>
        <v>UTILIZOU O PDA CORRETAMENTE</v>
      </c>
      <c r="AB140" s="18"/>
      <c r="AC140" s="38" t="s">
        <v>1</v>
      </c>
      <c r="AD140" s="29" t="str">
        <f t="shared" si="8"/>
        <v>GUARULHOS</v>
      </c>
      <c r="AE140" s="21" t="s">
        <v>16</v>
      </c>
    </row>
    <row r="141" spans="1:31" ht="30" customHeight="1" x14ac:dyDescent="0.2">
      <c r="A141" s="82" t="s">
        <v>101</v>
      </c>
      <c r="B141" s="96">
        <v>2689771602</v>
      </c>
      <c r="C141" s="82" t="s">
        <v>60</v>
      </c>
      <c r="D141" s="82" t="s">
        <v>16</v>
      </c>
      <c r="E141" s="82" t="s">
        <v>102</v>
      </c>
      <c r="F141" s="82" t="s">
        <v>183</v>
      </c>
      <c r="G141" s="82">
        <v>155</v>
      </c>
      <c r="H141" s="82" t="s">
        <v>2167</v>
      </c>
      <c r="I141" s="82" t="s">
        <v>184</v>
      </c>
      <c r="J141" s="82" t="s">
        <v>1979</v>
      </c>
      <c r="K141" s="82"/>
      <c r="L141" s="86" t="s">
        <v>422</v>
      </c>
      <c r="M141" s="86">
        <v>46207.467361111114</v>
      </c>
      <c r="N141" s="82" t="s">
        <v>185</v>
      </c>
      <c r="O141" s="85" t="s">
        <v>108</v>
      </c>
      <c r="P141" s="1"/>
      <c r="Q141" s="28" t="s">
        <v>108</v>
      </c>
      <c r="R141" s="18"/>
      <c r="S141" s="28" t="s">
        <v>108</v>
      </c>
      <c r="T141" s="18"/>
      <c r="U141" s="28" t="s">
        <v>108</v>
      </c>
      <c r="V141" s="18"/>
      <c r="W141" s="28" t="s">
        <v>108</v>
      </c>
      <c r="X141" s="18"/>
      <c r="Y141" s="28" t="s">
        <v>108</v>
      </c>
      <c r="Z141" s="46" t="str">
        <f t="shared" si="7"/>
        <v>C</v>
      </c>
      <c r="AA141" s="73" t="str">
        <f t="shared" si="6"/>
        <v>UTILIZOU O PDA CORRETAMENTE</v>
      </c>
      <c r="AB141" s="18"/>
      <c r="AC141" s="38" t="s">
        <v>1</v>
      </c>
      <c r="AD141" s="29" t="str">
        <f t="shared" si="8"/>
        <v>GUARULHOS</v>
      </c>
      <c r="AE141" s="21" t="s">
        <v>16</v>
      </c>
    </row>
    <row r="142" spans="1:31" ht="30" customHeight="1" x14ac:dyDescent="0.2">
      <c r="A142" s="82" t="s">
        <v>101</v>
      </c>
      <c r="B142" s="96">
        <v>2689776381</v>
      </c>
      <c r="C142" s="82" t="s">
        <v>60</v>
      </c>
      <c r="D142" s="82" t="s">
        <v>16</v>
      </c>
      <c r="E142" s="82" t="s">
        <v>102</v>
      </c>
      <c r="F142" s="82" t="s">
        <v>612</v>
      </c>
      <c r="G142" s="82">
        <v>193</v>
      </c>
      <c r="H142" s="82" t="s">
        <v>2168</v>
      </c>
      <c r="I142" s="82" t="s">
        <v>175</v>
      </c>
      <c r="J142" s="82" t="s">
        <v>1979</v>
      </c>
      <c r="K142" s="82"/>
      <c r="L142" s="86" t="s">
        <v>422</v>
      </c>
      <c r="M142" s="86">
        <v>46207.409722222219</v>
      </c>
      <c r="N142" s="82" t="s">
        <v>597</v>
      </c>
      <c r="O142" s="85" t="s">
        <v>108</v>
      </c>
      <c r="P142" s="1"/>
      <c r="Q142" s="28" t="s">
        <v>108</v>
      </c>
      <c r="R142" s="18"/>
      <c r="S142" s="28" t="s">
        <v>108</v>
      </c>
      <c r="T142" s="18"/>
      <c r="U142" s="28" t="s">
        <v>108</v>
      </c>
      <c r="V142" s="18"/>
      <c r="W142" s="28" t="s">
        <v>108</v>
      </c>
      <c r="X142" s="18"/>
      <c r="Y142" s="28" t="s">
        <v>108</v>
      </c>
      <c r="Z142" s="46" t="str">
        <f t="shared" si="7"/>
        <v>C</v>
      </c>
      <c r="AA142" s="73" t="str">
        <f t="shared" si="6"/>
        <v>UTILIZOU O PDA CORRETAMENTE</v>
      </c>
      <c r="AB142" s="18"/>
      <c r="AC142" s="38" t="s">
        <v>1</v>
      </c>
      <c r="AD142" s="29" t="str">
        <f t="shared" si="8"/>
        <v>GUARULHOS</v>
      </c>
      <c r="AE142" s="21" t="s">
        <v>16</v>
      </c>
    </row>
    <row r="143" spans="1:31" ht="30" customHeight="1" x14ac:dyDescent="0.2">
      <c r="A143" s="82" t="s">
        <v>101</v>
      </c>
      <c r="B143" s="96">
        <v>2689752076</v>
      </c>
      <c r="C143" s="82" t="s">
        <v>65</v>
      </c>
      <c r="D143" s="82" t="s">
        <v>58</v>
      </c>
      <c r="E143" s="82" t="s">
        <v>102</v>
      </c>
      <c r="F143" s="82" t="s">
        <v>2169</v>
      </c>
      <c r="G143" s="82">
        <v>34</v>
      </c>
      <c r="H143" s="82" t="s">
        <v>117</v>
      </c>
      <c r="I143" s="82" t="s">
        <v>111</v>
      </c>
      <c r="J143" s="82" t="s">
        <v>1979</v>
      </c>
      <c r="K143" s="82" t="s">
        <v>2170</v>
      </c>
      <c r="L143" s="86" t="s">
        <v>422</v>
      </c>
      <c r="M143" s="86">
        <v>46207.409722222219</v>
      </c>
      <c r="N143" s="82" t="s">
        <v>1986</v>
      </c>
      <c r="O143" s="85" t="s">
        <v>108</v>
      </c>
      <c r="P143" s="1"/>
      <c r="Q143" s="28" t="s">
        <v>108</v>
      </c>
      <c r="R143" s="18"/>
      <c r="S143" s="28" t="s">
        <v>108</v>
      </c>
      <c r="T143" s="18"/>
      <c r="U143" s="28" t="s">
        <v>108</v>
      </c>
      <c r="V143" s="18"/>
      <c r="W143" s="28" t="s">
        <v>108</v>
      </c>
      <c r="X143" s="18"/>
      <c r="Y143" s="28" t="s">
        <v>108</v>
      </c>
      <c r="Z143" s="46" t="str">
        <f t="shared" si="7"/>
        <v>C</v>
      </c>
      <c r="AA143" s="73" t="str">
        <f t="shared" si="6"/>
        <v>UTILIZOU O PDA CORRETAMENTE</v>
      </c>
      <c r="AB143" s="18"/>
      <c r="AC143" s="38" t="s">
        <v>1</v>
      </c>
      <c r="AD143" s="29" t="str">
        <f t="shared" si="8"/>
        <v>GUARULHOS</v>
      </c>
      <c r="AE143" s="21" t="s">
        <v>16</v>
      </c>
    </row>
    <row r="144" spans="1:31" ht="30" customHeight="1" x14ac:dyDescent="0.2">
      <c r="A144" s="82" t="s">
        <v>101</v>
      </c>
      <c r="B144" s="96">
        <v>2689709232</v>
      </c>
      <c r="C144" s="82" t="s">
        <v>65</v>
      </c>
      <c r="D144" s="82" t="s">
        <v>58</v>
      </c>
      <c r="E144" s="82" t="s">
        <v>102</v>
      </c>
      <c r="F144" s="82" t="s">
        <v>2171</v>
      </c>
      <c r="G144" s="82">
        <v>48</v>
      </c>
      <c r="H144" s="82" t="s">
        <v>1964</v>
      </c>
      <c r="I144" s="82" t="s">
        <v>536</v>
      </c>
      <c r="J144" s="82" t="s">
        <v>1979</v>
      </c>
      <c r="K144" s="82"/>
      <c r="L144" s="86" t="s">
        <v>422</v>
      </c>
      <c r="M144" s="86">
        <v>46207.404861111114</v>
      </c>
      <c r="N144" s="82" t="s">
        <v>131</v>
      </c>
      <c r="O144" s="85" t="s">
        <v>108</v>
      </c>
      <c r="P144" s="1"/>
      <c r="Q144" s="28" t="s">
        <v>108</v>
      </c>
      <c r="R144" s="18"/>
      <c r="S144" s="28" t="s">
        <v>108</v>
      </c>
      <c r="T144" s="18"/>
      <c r="U144" s="28" t="s">
        <v>108</v>
      </c>
      <c r="V144" s="18"/>
      <c r="W144" s="28" t="s">
        <v>108</v>
      </c>
      <c r="X144" s="18"/>
      <c r="Y144" s="28" t="s">
        <v>108</v>
      </c>
      <c r="Z144" s="46" t="str">
        <f t="shared" si="7"/>
        <v>C</v>
      </c>
      <c r="AA144" s="73" t="str">
        <f t="shared" si="6"/>
        <v>UTILIZOU O PDA CORRETAMENTE</v>
      </c>
      <c r="AB144" s="18"/>
      <c r="AC144" s="38" t="s">
        <v>1</v>
      </c>
      <c r="AD144" s="29" t="str">
        <f t="shared" si="8"/>
        <v>GUARULHOS</v>
      </c>
      <c r="AE144" s="21" t="s">
        <v>16</v>
      </c>
    </row>
    <row r="145" spans="1:31" ht="30" customHeight="1" x14ac:dyDescent="0.2">
      <c r="A145" s="82" t="s">
        <v>101</v>
      </c>
      <c r="B145" s="96">
        <v>2689771975</v>
      </c>
      <c r="C145" s="82" t="s">
        <v>65</v>
      </c>
      <c r="D145" s="82" t="s">
        <v>58</v>
      </c>
      <c r="E145" s="82" t="s">
        <v>102</v>
      </c>
      <c r="F145" s="82" t="s">
        <v>2172</v>
      </c>
      <c r="G145" s="82">
        <v>138</v>
      </c>
      <c r="H145" s="82" t="s">
        <v>2173</v>
      </c>
      <c r="I145" s="82" t="s">
        <v>154</v>
      </c>
      <c r="J145" s="82" t="s">
        <v>1979</v>
      </c>
      <c r="K145" s="82" t="s">
        <v>2067</v>
      </c>
      <c r="L145" s="86" t="s">
        <v>422</v>
      </c>
      <c r="M145" s="86">
        <v>46207.427083333336</v>
      </c>
      <c r="N145" s="82" t="s">
        <v>1980</v>
      </c>
      <c r="O145" s="85" t="s">
        <v>108</v>
      </c>
      <c r="P145" s="1"/>
      <c r="Q145" s="28" t="s">
        <v>108</v>
      </c>
      <c r="R145" s="18"/>
      <c r="S145" s="28" t="s">
        <v>108</v>
      </c>
      <c r="T145" s="18"/>
      <c r="U145" s="28" t="s">
        <v>108</v>
      </c>
      <c r="V145" s="18"/>
      <c r="W145" s="28" t="s">
        <v>108</v>
      </c>
      <c r="X145" s="18"/>
      <c r="Y145" s="28" t="s">
        <v>108</v>
      </c>
      <c r="Z145" s="46" t="str">
        <f t="shared" si="7"/>
        <v>C</v>
      </c>
      <c r="AA145" s="73" t="str">
        <f t="shared" si="6"/>
        <v>UTILIZOU O PDA CORRETAMENTE</v>
      </c>
      <c r="AB145" s="18"/>
      <c r="AC145" s="38" t="s">
        <v>1</v>
      </c>
      <c r="AD145" s="29" t="str">
        <f t="shared" si="8"/>
        <v>GUARULHOS</v>
      </c>
      <c r="AE145" s="21" t="s">
        <v>16</v>
      </c>
    </row>
    <row r="146" spans="1:31" ht="30" customHeight="1" x14ac:dyDescent="0.2">
      <c r="A146" s="82" t="s">
        <v>101</v>
      </c>
      <c r="B146" s="96">
        <v>2614624275</v>
      </c>
      <c r="C146" s="82" t="s">
        <v>60</v>
      </c>
      <c r="D146" s="82" t="s">
        <v>16</v>
      </c>
      <c r="E146" s="82" t="s">
        <v>102</v>
      </c>
      <c r="F146" s="82" t="s">
        <v>2174</v>
      </c>
      <c r="G146" s="82">
        <v>237</v>
      </c>
      <c r="H146" s="82" t="s">
        <v>2175</v>
      </c>
      <c r="I146" s="82" t="s">
        <v>264</v>
      </c>
      <c r="J146" s="82" t="s">
        <v>1979</v>
      </c>
      <c r="K146" s="82"/>
      <c r="L146" s="86" t="s">
        <v>422</v>
      </c>
      <c r="M146" s="86">
        <v>46207.484027777777</v>
      </c>
      <c r="N146" s="82" t="s">
        <v>185</v>
      </c>
      <c r="O146" s="85" t="s">
        <v>108</v>
      </c>
      <c r="P146" s="1"/>
      <c r="Q146" s="28" t="s">
        <v>108</v>
      </c>
      <c r="R146" s="18"/>
      <c r="S146" s="28" t="s">
        <v>108</v>
      </c>
      <c r="T146" s="18"/>
      <c r="U146" s="28" t="s">
        <v>108</v>
      </c>
      <c r="V146" s="18"/>
      <c r="W146" s="28" t="s">
        <v>108</v>
      </c>
      <c r="X146" s="18"/>
      <c r="Y146" s="28" t="s">
        <v>108</v>
      </c>
      <c r="Z146" s="46" t="str">
        <f t="shared" si="7"/>
        <v>C</v>
      </c>
      <c r="AA146" s="73" t="str">
        <f t="shared" si="6"/>
        <v>UTILIZOU O PDA CORRETAMENTE</v>
      </c>
      <c r="AB146" s="18" t="s">
        <v>108</v>
      </c>
      <c r="AC146" s="38" t="s">
        <v>1</v>
      </c>
      <c r="AD146" s="29" t="str">
        <f t="shared" si="8"/>
        <v>GUARULHOS</v>
      </c>
      <c r="AE146" s="21" t="s">
        <v>16</v>
      </c>
    </row>
    <row r="147" spans="1:31" ht="30" customHeight="1" x14ac:dyDescent="0.2">
      <c r="A147" s="82" t="s">
        <v>101</v>
      </c>
      <c r="B147" s="96">
        <v>2614477636</v>
      </c>
      <c r="C147" s="82" t="s">
        <v>65</v>
      </c>
      <c r="D147" s="82" t="s">
        <v>58</v>
      </c>
      <c r="E147" s="82" t="s">
        <v>102</v>
      </c>
      <c r="F147" s="82" t="s">
        <v>499</v>
      </c>
      <c r="G147" s="82">
        <v>118</v>
      </c>
      <c r="H147" s="82" t="s">
        <v>117</v>
      </c>
      <c r="I147" s="82" t="s">
        <v>500</v>
      </c>
      <c r="J147" s="82" t="s">
        <v>1979</v>
      </c>
      <c r="K147" s="82" t="s">
        <v>117</v>
      </c>
      <c r="L147" s="86" t="s">
        <v>422</v>
      </c>
      <c r="M147" s="86">
        <v>46207.422222222223</v>
      </c>
      <c r="N147" s="82" t="s">
        <v>1993</v>
      </c>
      <c r="O147" s="85" t="s">
        <v>108</v>
      </c>
      <c r="P147" s="1"/>
      <c r="Q147" s="28" t="s">
        <v>108</v>
      </c>
      <c r="R147" s="18"/>
      <c r="S147" s="28" t="s">
        <v>108</v>
      </c>
      <c r="T147" s="18"/>
      <c r="U147" s="28" t="s">
        <v>108</v>
      </c>
      <c r="V147" s="18"/>
      <c r="W147" s="28" t="s">
        <v>108</v>
      </c>
      <c r="X147" s="18"/>
      <c r="Y147" s="28" t="s">
        <v>108</v>
      </c>
      <c r="Z147" s="46" t="str">
        <f t="shared" si="7"/>
        <v>C</v>
      </c>
      <c r="AA147" s="73" t="str">
        <f t="shared" si="6"/>
        <v>UTILIZOU O PDA CORRETAMENTE</v>
      </c>
      <c r="AB147" s="18"/>
      <c r="AC147" s="38" t="s">
        <v>1</v>
      </c>
      <c r="AD147" s="29" t="str">
        <f t="shared" si="8"/>
        <v>GUARULHOS</v>
      </c>
      <c r="AE147" s="21" t="s">
        <v>16</v>
      </c>
    </row>
    <row r="148" spans="1:31" ht="30" customHeight="1" x14ac:dyDescent="0.2">
      <c r="A148" s="82" t="s">
        <v>101</v>
      </c>
      <c r="B148" s="96">
        <v>2614486887</v>
      </c>
      <c r="C148" s="82" t="s">
        <v>65</v>
      </c>
      <c r="D148" s="82" t="s">
        <v>58</v>
      </c>
      <c r="E148" s="82" t="s">
        <v>102</v>
      </c>
      <c r="F148" s="82" t="s">
        <v>2176</v>
      </c>
      <c r="G148" s="82">
        <v>23</v>
      </c>
      <c r="H148" s="82" t="s">
        <v>366</v>
      </c>
      <c r="I148" s="82" t="s">
        <v>337</v>
      </c>
      <c r="J148" s="82" t="s">
        <v>1979</v>
      </c>
      <c r="K148" s="82"/>
      <c r="L148" s="86" t="s">
        <v>422</v>
      </c>
      <c r="M148" s="86">
        <v>46207.448611111111</v>
      </c>
      <c r="N148" s="82" t="s">
        <v>1993</v>
      </c>
      <c r="O148" s="85" t="s">
        <v>108</v>
      </c>
      <c r="P148" s="1"/>
      <c r="Q148" s="28" t="s">
        <v>108</v>
      </c>
      <c r="R148" s="18"/>
      <c r="S148" s="28" t="s">
        <v>108</v>
      </c>
      <c r="T148" s="18"/>
      <c r="U148" s="28" t="s">
        <v>108</v>
      </c>
      <c r="V148" s="18"/>
      <c r="W148" s="28" t="s">
        <v>108</v>
      </c>
      <c r="X148" s="18"/>
      <c r="Y148" s="28" t="s">
        <v>108</v>
      </c>
      <c r="Z148" s="46" t="str">
        <f t="shared" si="7"/>
        <v>C</v>
      </c>
      <c r="AA148" s="73" t="str">
        <f t="shared" si="6"/>
        <v>UTILIZOU O PDA CORRETAMENTE</v>
      </c>
      <c r="AB148" s="18"/>
      <c r="AC148" s="38" t="s">
        <v>1</v>
      </c>
      <c r="AD148" s="29" t="str">
        <f t="shared" si="8"/>
        <v>GUARULHOS</v>
      </c>
      <c r="AE148" s="21" t="s">
        <v>16</v>
      </c>
    </row>
    <row r="149" spans="1:31" ht="30" customHeight="1" x14ac:dyDescent="0.2">
      <c r="A149" s="82" t="s">
        <v>101</v>
      </c>
      <c r="B149" s="96">
        <v>2689716138</v>
      </c>
      <c r="C149" s="82" t="s">
        <v>65</v>
      </c>
      <c r="D149" s="82" t="s">
        <v>58</v>
      </c>
      <c r="E149" s="82" t="s">
        <v>102</v>
      </c>
      <c r="F149" s="82" t="s">
        <v>1278</v>
      </c>
      <c r="G149" s="82">
        <v>236</v>
      </c>
      <c r="H149" s="82" t="s">
        <v>110</v>
      </c>
      <c r="I149" s="82" t="s">
        <v>175</v>
      </c>
      <c r="J149" s="82" t="s">
        <v>1979</v>
      </c>
      <c r="K149" s="82" t="s">
        <v>620</v>
      </c>
      <c r="L149" s="86" t="s">
        <v>422</v>
      </c>
      <c r="M149" s="86">
        <v>46207.581944444442</v>
      </c>
      <c r="N149" s="82" t="s">
        <v>297</v>
      </c>
      <c r="O149" s="85" t="s">
        <v>108</v>
      </c>
      <c r="P149" s="1"/>
      <c r="Q149" s="28" t="s">
        <v>108</v>
      </c>
      <c r="R149" s="18"/>
      <c r="S149" s="28" t="s">
        <v>108</v>
      </c>
      <c r="T149" s="18"/>
      <c r="U149" s="28" t="s">
        <v>108</v>
      </c>
      <c r="V149" s="18"/>
      <c r="W149" s="28" t="s">
        <v>108</v>
      </c>
      <c r="X149" s="18"/>
      <c r="Y149" s="28" t="s">
        <v>108</v>
      </c>
      <c r="Z149" s="46" t="str">
        <f t="shared" si="7"/>
        <v>C</v>
      </c>
      <c r="AA149" s="73" t="str">
        <f t="shared" si="6"/>
        <v>UTILIZOU O PDA CORRETAMENTE</v>
      </c>
      <c r="AB149" s="18"/>
      <c r="AC149" s="38" t="s">
        <v>1</v>
      </c>
      <c r="AD149" s="29" t="str">
        <f t="shared" si="8"/>
        <v>GUARULHOS</v>
      </c>
      <c r="AE149" s="21" t="s">
        <v>16</v>
      </c>
    </row>
    <row r="150" spans="1:31" ht="30" customHeight="1" x14ac:dyDescent="0.2">
      <c r="A150" s="82" t="s">
        <v>101</v>
      </c>
      <c r="B150" s="96">
        <v>2689752306</v>
      </c>
      <c r="C150" s="82" t="s">
        <v>65</v>
      </c>
      <c r="D150" s="82" t="s">
        <v>58</v>
      </c>
      <c r="E150" s="82" t="s">
        <v>102</v>
      </c>
      <c r="F150" s="82" t="s">
        <v>2177</v>
      </c>
      <c r="G150" s="82">
        <v>43</v>
      </c>
      <c r="H150" s="82" t="s">
        <v>110</v>
      </c>
      <c r="I150" s="82" t="s">
        <v>483</v>
      </c>
      <c r="J150" s="82" t="s">
        <v>1979</v>
      </c>
      <c r="K150" s="82" t="s">
        <v>2067</v>
      </c>
      <c r="L150" s="86" t="s">
        <v>422</v>
      </c>
      <c r="M150" s="86">
        <v>46207.460416666669</v>
      </c>
      <c r="N150" s="82" t="s">
        <v>1980</v>
      </c>
      <c r="O150" s="85" t="s">
        <v>108</v>
      </c>
      <c r="P150" s="1"/>
      <c r="Q150" s="28" t="s">
        <v>108</v>
      </c>
      <c r="R150" s="18"/>
      <c r="S150" s="28" t="s">
        <v>108</v>
      </c>
      <c r="T150" s="18"/>
      <c r="U150" s="28" t="s">
        <v>108</v>
      </c>
      <c r="V150" s="18"/>
      <c r="W150" s="28" t="s">
        <v>108</v>
      </c>
      <c r="X150" s="18"/>
      <c r="Y150" s="28" t="s">
        <v>108</v>
      </c>
      <c r="Z150" s="46" t="str">
        <f t="shared" si="7"/>
        <v>C</v>
      </c>
      <c r="AA150" s="73" t="str">
        <f t="shared" si="6"/>
        <v>UTILIZOU O PDA CORRETAMENTE</v>
      </c>
      <c r="AB150" s="18"/>
      <c r="AC150" s="38" t="s">
        <v>1</v>
      </c>
      <c r="AD150" s="29" t="str">
        <f t="shared" si="8"/>
        <v>GUARULHOS</v>
      </c>
      <c r="AE150" s="21" t="s">
        <v>16</v>
      </c>
    </row>
    <row r="151" spans="1:31" ht="30" customHeight="1" x14ac:dyDescent="0.2">
      <c r="A151" s="82" t="s">
        <v>101</v>
      </c>
      <c r="B151" s="96">
        <v>2614632726</v>
      </c>
      <c r="C151" s="82" t="s">
        <v>61</v>
      </c>
      <c r="D151" s="82" t="s">
        <v>58</v>
      </c>
      <c r="E151" s="82" t="s">
        <v>102</v>
      </c>
      <c r="F151" s="82" t="s">
        <v>371</v>
      </c>
      <c r="G151" s="82">
        <v>179</v>
      </c>
      <c r="H151" s="82" t="s">
        <v>110</v>
      </c>
      <c r="I151" s="82" t="s">
        <v>169</v>
      </c>
      <c r="J151" s="82" t="s">
        <v>2089</v>
      </c>
      <c r="K151" s="82"/>
      <c r="L151" s="86" t="s">
        <v>422</v>
      </c>
      <c r="M151" s="86">
        <v>46207.646527777775</v>
      </c>
      <c r="N151" s="82" t="s">
        <v>597</v>
      </c>
      <c r="O151" s="85" t="s">
        <v>108</v>
      </c>
      <c r="P151" s="1"/>
      <c r="Q151" s="28" t="s">
        <v>108</v>
      </c>
      <c r="R151" s="18"/>
      <c r="S151" s="28" t="s">
        <v>108</v>
      </c>
      <c r="T151" s="18"/>
      <c r="U151" s="28" t="s">
        <v>108</v>
      </c>
      <c r="V151" s="18"/>
      <c r="W151" s="28" t="s">
        <v>108</v>
      </c>
      <c r="X151" s="18"/>
      <c r="Y151" s="28" t="s">
        <v>108</v>
      </c>
      <c r="Z151" s="46" t="str">
        <f t="shared" si="7"/>
        <v>C</v>
      </c>
      <c r="AA151" s="73" t="str">
        <f t="shared" si="6"/>
        <v>UTILIZOU O PDA CORRETAMENTE</v>
      </c>
      <c r="AB151" s="18"/>
      <c r="AC151" s="38" t="s">
        <v>1</v>
      </c>
      <c r="AD151" s="29" t="str">
        <f t="shared" si="8"/>
        <v>GUARULHOS</v>
      </c>
      <c r="AE151" s="21" t="s">
        <v>16</v>
      </c>
    </row>
    <row r="152" spans="1:31" ht="30" customHeight="1" x14ac:dyDescent="0.2">
      <c r="A152" s="82" t="s">
        <v>101</v>
      </c>
      <c r="B152" s="96">
        <v>2689796040</v>
      </c>
      <c r="C152" s="82" t="s">
        <v>60</v>
      </c>
      <c r="D152" s="82" t="s">
        <v>16</v>
      </c>
      <c r="E152" s="82" t="s">
        <v>102</v>
      </c>
      <c r="F152" s="82" t="s">
        <v>344</v>
      </c>
      <c r="G152" s="82">
        <v>133</v>
      </c>
      <c r="H152" s="82" t="s">
        <v>1750</v>
      </c>
      <c r="I152" s="82" t="s">
        <v>345</v>
      </c>
      <c r="J152" s="82" t="s">
        <v>1979</v>
      </c>
      <c r="K152" s="82" t="s">
        <v>117</v>
      </c>
      <c r="L152" s="86" t="s">
        <v>422</v>
      </c>
      <c r="M152" s="86">
        <v>46207.643750000003</v>
      </c>
      <c r="N152" s="82" t="s">
        <v>1986</v>
      </c>
      <c r="O152" s="85" t="s">
        <v>108</v>
      </c>
      <c r="P152" s="1"/>
      <c r="Q152" s="28" t="s">
        <v>108</v>
      </c>
      <c r="R152" s="18"/>
      <c r="S152" s="28" t="s">
        <v>108</v>
      </c>
      <c r="T152" s="18"/>
      <c r="U152" s="28" t="s">
        <v>108</v>
      </c>
      <c r="V152" s="18"/>
      <c r="W152" s="28" t="s">
        <v>108</v>
      </c>
      <c r="X152" s="18"/>
      <c r="Y152" s="28" t="s">
        <v>108</v>
      </c>
      <c r="Z152" s="46" t="str">
        <f t="shared" si="7"/>
        <v>C</v>
      </c>
      <c r="AA152" s="73" t="str">
        <f t="shared" si="6"/>
        <v>UTILIZOU O PDA CORRETAMENTE</v>
      </c>
      <c r="AB152" s="18" t="s">
        <v>108</v>
      </c>
      <c r="AC152" s="38" t="s">
        <v>1</v>
      </c>
      <c r="AD152" s="29" t="str">
        <f t="shared" si="8"/>
        <v>GUARULHOS</v>
      </c>
      <c r="AE152" s="21" t="s">
        <v>16</v>
      </c>
    </row>
    <row r="153" spans="1:31" ht="30" customHeight="1" x14ac:dyDescent="0.2">
      <c r="A153" s="82" t="s">
        <v>101</v>
      </c>
      <c r="B153" s="96">
        <v>2614634100</v>
      </c>
      <c r="C153" s="82" t="s">
        <v>60</v>
      </c>
      <c r="D153" s="82" t="s">
        <v>16</v>
      </c>
      <c r="E153" s="82" t="s">
        <v>102</v>
      </c>
      <c r="F153" s="82" t="s">
        <v>2176</v>
      </c>
      <c r="G153" s="82">
        <v>55</v>
      </c>
      <c r="H153" s="82"/>
      <c r="I153" s="82" t="s">
        <v>337</v>
      </c>
      <c r="J153" s="82" t="s">
        <v>1979</v>
      </c>
      <c r="K153" s="82"/>
      <c r="L153" s="86" t="s">
        <v>422</v>
      </c>
      <c r="M153" s="86">
        <v>46207.651388888888</v>
      </c>
      <c r="N153" s="82" t="s">
        <v>1986</v>
      </c>
      <c r="O153" s="85" t="s">
        <v>108</v>
      </c>
      <c r="P153" s="1"/>
      <c r="Q153" s="28" t="s">
        <v>108</v>
      </c>
      <c r="R153" s="18"/>
      <c r="S153" s="28" t="s">
        <v>108</v>
      </c>
      <c r="T153" s="18"/>
      <c r="U153" s="28" t="s">
        <v>108</v>
      </c>
      <c r="V153" s="18"/>
      <c r="W153" s="28" t="s">
        <v>108</v>
      </c>
      <c r="X153" s="18"/>
      <c r="Y153" s="28" t="s">
        <v>108</v>
      </c>
      <c r="Z153" s="46" t="str">
        <f t="shared" si="7"/>
        <v>C</v>
      </c>
      <c r="AA153" s="73" t="str">
        <f t="shared" si="6"/>
        <v>UTILIZOU O PDA CORRETAMENTE</v>
      </c>
      <c r="AB153" s="18" t="s">
        <v>108</v>
      </c>
      <c r="AC153" s="38" t="s">
        <v>1</v>
      </c>
      <c r="AD153" s="29" t="str">
        <f t="shared" si="8"/>
        <v>GUARULHOS</v>
      </c>
      <c r="AE153" s="21" t="s">
        <v>16</v>
      </c>
    </row>
    <row r="154" spans="1:31" ht="30" customHeight="1" x14ac:dyDescent="0.2">
      <c r="A154" s="82" t="s">
        <v>101</v>
      </c>
      <c r="B154" s="96">
        <v>2614616674</v>
      </c>
      <c r="C154" s="82" t="s">
        <v>61</v>
      </c>
      <c r="D154" s="82" t="s">
        <v>58</v>
      </c>
      <c r="E154" s="82" t="s">
        <v>102</v>
      </c>
      <c r="F154" s="82" t="s">
        <v>420</v>
      </c>
      <c r="G154" s="82">
        <v>197</v>
      </c>
      <c r="H154" s="82" t="s">
        <v>110</v>
      </c>
      <c r="I154" s="82" t="s">
        <v>252</v>
      </c>
      <c r="J154" s="82" t="s">
        <v>2089</v>
      </c>
      <c r="K154" s="82"/>
      <c r="L154" s="86" t="s">
        <v>422</v>
      </c>
      <c r="M154" s="86">
        <v>46207.549305555556</v>
      </c>
      <c r="N154" s="82" t="s">
        <v>2137</v>
      </c>
      <c r="O154" s="85" t="s">
        <v>108</v>
      </c>
      <c r="P154" s="1"/>
      <c r="Q154" s="28" t="s">
        <v>108</v>
      </c>
      <c r="R154" s="18"/>
      <c r="S154" s="28" t="s">
        <v>108</v>
      </c>
      <c r="T154" s="18"/>
      <c r="U154" s="28" t="s">
        <v>108</v>
      </c>
      <c r="V154" s="18"/>
      <c r="W154" s="28" t="s">
        <v>108</v>
      </c>
      <c r="X154" s="18"/>
      <c r="Y154" s="28" t="s">
        <v>108</v>
      </c>
      <c r="Z154" s="46" t="str">
        <f t="shared" si="7"/>
        <v>C</v>
      </c>
      <c r="AA154" s="73" t="str">
        <f t="shared" si="6"/>
        <v>UTILIZOU O PDA CORRETAMENTE</v>
      </c>
      <c r="AB154" s="18"/>
      <c r="AC154" s="38" t="s">
        <v>1</v>
      </c>
      <c r="AD154" s="29" t="str">
        <f t="shared" si="8"/>
        <v>GUARULHOS</v>
      </c>
      <c r="AE154" s="21" t="s">
        <v>16</v>
      </c>
    </row>
    <row r="155" spans="1:31" ht="30" customHeight="1" x14ac:dyDescent="0.2">
      <c r="A155" s="82" t="s">
        <v>101</v>
      </c>
      <c r="B155" s="96">
        <v>2689717518</v>
      </c>
      <c r="C155" s="82" t="s">
        <v>65</v>
      </c>
      <c r="D155" s="82" t="s">
        <v>58</v>
      </c>
      <c r="E155" s="82" t="s">
        <v>102</v>
      </c>
      <c r="F155" s="82" t="s">
        <v>2178</v>
      </c>
      <c r="G155" s="82">
        <v>142</v>
      </c>
      <c r="H155" s="82" t="s">
        <v>2179</v>
      </c>
      <c r="I155" s="82" t="s">
        <v>374</v>
      </c>
      <c r="J155" s="82" t="s">
        <v>1979</v>
      </c>
      <c r="K155" s="82" t="s">
        <v>2180</v>
      </c>
      <c r="L155" s="86" t="s">
        <v>422</v>
      </c>
      <c r="M155" s="86">
        <v>46207.449305555558</v>
      </c>
      <c r="N155" s="82" t="s">
        <v>597</v>
      </c>
      <c r="O155" s="85" t="s">
        <v>108</v>
      </c>
      <c r="P155" s="1"/>
      <c r="Q155" s="28" t="s">
        <v>108</v>
      </c>
      <c r="R155" s="18"/>
      <c r="S155" s="28" t="s">
        <v>108</v>
      </c>
      <c r="T155" s="18"/>
      <c r="U155" s="28" t="s">
        <v>108</v>
      </c>
      <c r="V155" s="18"/>
      <c r="W155" s="28" t="s">
        <v>108</v>
      </c>
      <c r="X155" s="18"/>
      <c r="Y155" s="28" t="s">
        <v>108</v>
      </c>
      <c r="Z155" s="46" t="str">
        <f t="shared" si="7"/>
        <v>C</v>
      </c>
      <c r="AA155" s="73" t="str">
        <f t="shared" si="6"/>
        <v>UTILIZOU O PDA CORRETAMENTE</v>
      </c>
      <c r="AB155" s="18"/>
      <c r="AC155" s="38" t="s">
        <v>1</v>
      </c>
      <c r="AD155" s="29" t="str">
        <f t="shared" si="8"/>
        <v>GUARULHOS</v>
      </c>
      <c r="AE155" s="21" t="s">
        <v>16</v>
      </c>
    </row>
    <row r="156" spans="1:31" ht="30" customHeight="1" x14ac:dyDescent="0.2">
      <c r="A156" s="82" t="s">
        <v>101</v>
      </c>
      <c r="B156" s="96">
        <v>2689711796</v>
      </c>
      <c r="C156" s="82" t="s">
        <v>65</v>
      </c>
      <c r="D156" s="82" t="s">
        <v>58</v>
      </c>
      <c r="E156" s="82" t="s">
        <v>102</v>
      </c>
      <c r="F156" s="82" t="s">
        <v>825</v>
      </c>
      <c r="G156" s="82">
        <v>29</v>
      </c>
      <c r="H156" s="82" t="s">
        <v>2181</v>
      </c>
      <c r="I156" s="82" t="s">
        <v>406</v>
      </c>
      <c r="J156" s="82" t="s">
        <v>1979</v>
      </c>
      <c r="K156" s="82"/>
      <c r="L156" s="86" t="s">
        <v>422</v>
      </c>
      <c r="M156" s="86">
        <v>46207.46597222222</v>
      </c>
      <c r="N156" s="82" t="s">
        <v>1993</v>
      </c>
      <c r="O156" s="85" t="s">
        <v>108</v>
      </c>
      <c r="P156" s="1"/>
      <c r="Q156" s="28" t="s">
        <v>108</v>
      </c>
      <c r="R156" s="18"/>
      <c r="S156" s="28" t="s">
        <v>108</v>
      </c>
      <c r="T156" s="18"/>
      <c r="U156" s="28" t="s">
        <v>108</v>
      </c>
      <c r="V156" s="18"/>
      <c r="W156" s="28" t="s">
        <v>108</v>
      </c>
      <c r="X156" s="18"/>
      <c r="Y156" s="28" t="s">
        <v>108</v>
      </c>
      <c r="Z156" s="46" t="str">
        <f t="shared" si="7"/>
        <v>C</v>
      </c>
      <c r="AA156" s="73" t="str">
        <f t="shared" si="6"/>
        <v>UTILIZOU O PDA CORRETAMENTE</v>
      </c>
      <c r="AB156" s="18"/>
      <c r="AC156" s="38" t="s">
        <v>1</v>
      </c>
      <c r="AD156" s="29" t="str">
        <f t="shared" si="8"/>
        <v>GUARULHOS</v>
      </c>
      <c r="AE156" s="21" t="s">
        <v>16</v>
      </c>
    </row>
    <row r="157" spans="1:31" ht="30" customHeight="1" x14ac:dyDescent="0.2">
      <c r="A157" s="82" t="s">
        <v>101</v>
      </c>
      <c r="B157" s="96">
        <v>2689727532</v>
      </c>
      <c r="C157" s="82" t="s">
        <v>65</v>
      </c>
      <c r="D157" s="82" t="s">
        <v>58</v>
      </c>
      <c r="E157" s="82" t="s">
        <v>102</v>
      </c>
      <c r="F157" s="82" t="s">
        <v>2182</v>
      </c>
      <c r="G157" s="82">
        <v>28</v>
      </c>
      <c r="H157" s="82" t="s">
        <v>110</v>
      </c>
      <c r="I157" s="82" t="s">
        <v>2183</v>
      </c>
      <c r="J157" s="82" t="s">
        <v>1979</v>
      </c>
      <c r="K157" s="82" t="s">
        <v>117</v>
      </c>
      <c r="L157" s="86" t="s">
        <v>422</v>
      </c>
      <c r="M157" s="86">
        <v>46207.484722222223</v>
      </c>
      <c r="N157" s="82" t="s">
        <v>1993</v>
      </c>
      <c r="O157" s="85" t="s">
        <v>108</v>
      </c>
      <c r="P157" s="1"/>
      <c r="Q157" s="28" t="s">
        <v>108</v>
      </c>
      <c r="R157" s="18"/>
      <c r="S157" s="28" t="s">
        <v>108</v>
      </c>
      <c r="T157" s="18"/>
      <c r="U157" s="28" t="s">
        <v>108</v>
      </c>
      <c r="V157" s="18"/>
      <c r="W157" s="28" t="s">
        <v>108</v>
      </c>
      <c r="X157" s="18"/>
      <c r="Y157" s="28" t="s">
        <v>108</v>
      </c>
      <c r="Z157" s="46" t="str">
        <f t="shared" si="7"/>
        <v>C</v>
      </c>
      <c r="AA157" s="73" t="str">
        <f t="shared" si="6"/>
        <v>UTILIZOU O PDA CORRETAMENTE</v>
      </c>
      <c r="AB157" s="18"/>
      <c r="AC157" s="38" t="s">
        <v>1</v>
      </c>
      <c r="AD157" s="29" t="str">
        <f t="shared" si="8"/>
        <v>GUARULHOS</v>
      </c>
      <c r="AE157" s="21" t="s">
        <v>16</v>
      </c>
    </row>
    <row r="158" spans="1:31" ht="30" customHeight="1" x14ac:dyDescent="0.2">
      <c r="A158" s="82" t="s">
        <v>101</v>
      </c>
      <c r="B158" s="96">
        <v>2689696272</v>
      </c>
      <c r="C158" s="82" t="s">
        <v>65</v>
      </c>
      <c r="D158" s="82" t="s">
        <v>58</v>
      </c>
      <c r="E158" s="82" t="s">
        <v>102</v>
      </c>
      <c r="F158" s="82" t="s">
        <v>2184</v>
      </c>
      <c r="G158" s="82">
        <v>206</v>
      </c>
      <c r="H158" s="82" t="s">
        <v>2185</v>
      </c>
      <c r="I158" s="82" t="s">
        <v>459</v>
      </c>
      <c r="J158" s="82" t="s">
        <v>1979</v>
      </c>
      <c r="K158" s="82" t="s">
        <v>2186</v>
      </c>
      <c r="L158" s="86" t="s">
        <v>422</v>
      </c>
      <c r="M158" s="86">
        <v>46207.506249999999</v>
      </c>
      <c r="N158" s="82" t="s">
        <v>1993</v>
      </c>
      <c r="O158" s="85" t="s">
        <v>108</v>
      </c>
      <c r="P158" s="1"/>
      <c r="Q158" s="28" t="s">
        <v>108</v>
      </c>
      <c r="R158" s="18"/>
      <c r="S158" s="28" t="s">
        <v>108</v>
      </c>
      <c r="T158" s="18"/>
      <c r="U158" s="28" t="s">
        <v>108</v>
      </c>
      <c r="V158" s="18"/>
      <c r="W158" s="28" t="s">
        <v>108</v>
      </c>
      <c r="X158" s="18"/>
      <c r="Y158" s="28" t="s">
        <v>108</v>
      </c>
      <c r="Z158" s="46" t="str">
        <f t="shared" si="7"/>
        <v>C</v>
      </c>
      <c r="AA158" s="73" t="str">
        <f t="shared" si="6"/>
        <v>UTILIZOU O PDA CORRETAMENTE</v>
      </c>
      <c r="AB158" s="18"/>
      <c r="AC158" s="38" t="s">
        <v>1</v>
      </c>
      <c r="AD158" s="29" t="str">
        <f t="shared" si="8"/>
        <v>GUARULHOS</v>
      </c>
      <c r="AE158" s="21" t="s">
        <v>16</v>
      </c>
    </row>
    <row r="159" spans="1:31" ht="30" customHeight="1" x14ac:dyDescent="0.2">
      <c r="A159" s="82" t="s">
        <v>101</v>
      </c>
      <c r="B159" s="96">
        <v>2689774500</v>
      </c>
      <c r="C159" s="82" t="s">
        <v>65</v>
      </c>
      <c r="D159" s="82" t="s">
        <v>58</v>
      </c>
      <c r="E159" s="82" t="s">
        <v>102</v>
      </c>
      <c r="F159" s="82" t="s">
        <v>2187</v>
      </c>
      <c r="G159" s="82">
        <v>37</v>
      </c>
      <c r="H159" s="82" t="s">
        <v>174</v>
      </c>
      <c r="I159" s="82" t="s">
        <v>647</v>
      </c>
      <c r="J159" s="82" t="s">
        <v>1979</v>
      </c>
      <c r="K159" s="82" t="s">
        <v>1858</v>
      </c>
      <c r="L159" s="86" t="s">
        <v>422</v>
      </c>
      <c r="M159" s="86">
        <v>46207.472222222219</v>
      </c>
      <c r="N159" s="82" t="s">
        <v>1986</v>
      </c>
      <c r="O159" s="85" t="s">
        <v>108</v>
      </c>
      <c r="P159" s="1"/>
      <c r="Q159" s="28" t="s">
        <v>108</v>
      </c>
      <c r="R159" s="18"/>
      <c r="S159" s="28" t="s">
        <v>108</v>
      </c>
      <c r="T159" s="18"/>
      <c r="U159" s="28" t="s">
        <v>108</v>
      </c>
      <c r="V159" s="18"/>
      <c r="W159" s="28" t="s">
        <v>108</v>
      </c>
      <c r="X159" s="18"/>
      <c r="Y159" s="28" t="s">
        <v>108</v>
      </c>
      <c r="Z159" s="46" t="str">
        <f t="shared" si="7"/>
        <v>C</v>
      </c>
      <c r="AA159" s="73" t="str">
        <f t="shared" si="6"/>
        <v>UTILIZOU O PDA CORRETAMENTE</v>
      </c>
      <c r="AB159" s="18"/>
      <c r="AC159" s="38" t="s">
        <v>1</v>
      </c>
      <c r="AD159" s="29" t="str">
        <f t="shared" si="8"/>
        <v>GUARULHOS</v>
      </c>
      <c r="AE159" s="21" t="s">
        <v>16</v>
      </c>
    </row>
    <row r="160" spans="1:31" ht="30" customHeight="1" x14ac:dyDescent="0.2">
      <c r="A160" s="82" t="s">
        <v>101</v>
      </c>
      <c r="B160" s="96">
        <v>2689741888</v>
      </c>
      <c r="C160" s="82" t="s">
        <v>65</v>
      </c>
      <c r="D160" s="82" t="s">
        <v>58</v>
      </c>
      <c r="E160" s="82" t="s">
        <v>102</v>
      </c>
      <c r="F160" s="82" t="s">
        <v>2188</v>
      </c>
      <c r="G160" s="82">
        <v>39</v>
      </c>
      <c r="H160" s="82" t="s">
        <v>2189</v>
      </c>
      <c r="I160" s="82" t="s">
        <v>301</v>
      </c>
      <c r="J160" s="82" t="s">
        <v>1979</v>
      </c>
      <c r="K160" s="82" t="s">
        <v>1858</v>
      </c>
      <c r="L160" s="86" t="s">
        <v>422</v>
      </c>
      <c r="M160" s="86">
        <v>46207.488888888889</v>
      </c>
      <c r="N160" s="82" t="s">
        <v>1986</v>
      </c>
      <c r="O160" s="85" t="s">
        <v>108</v>
      </c>
      <c r="P160" s="1"/>
      <c r="Q160" s="28" t="s">
        <v>108</v>
      </c>
      <c r="R160" s="18"/>
      <c r="S160" s="28" t="s">
        <v>108</v>
      </c>
      <c r="T160" s="18"/>
      <c r="U160" s="28" t="s">
        <v>108</v>
      </c>
      <c r="V160" s="18"/>
      <c r="W160" s="28" t="s">
        <v>108</v>
      </c>
      <c r="X160" s="18"/>
      <c r="Y160" s="28" t="s">
        <v>108</v>
      </c>
      <c r="Z160" s="46" t="str">
        <f t="shared" si="7"/>
        <v>C</v>
      </c>
      <c r="AA160" s="73" t="str">
        <f t="shared" si="6"/>
        <v>UTILIZOU O PDA CORRETAMENTE</v>
      </c>
      <c r="AB160" s="18"/>
      <c r="AC160" s="38" t="s">
        <v>1</v>
      </c>
      <c r="AD160" s="29" t="str">
        <f t="shared" si="8"/>
        <v>GUARULHOS</v>
      </c>
      <c r="AE160" s="21" t="s">
        <v>16</v>
      </c>
    </row>
    <row r="161" spans="1:31" ht="30" customHeight="1" x14ac:dyDescent="0.2">
      <c r="A161" s="82" t="s">
        <v>101</v>
      </c>
      <c r="B161" s="96">
        <v>2689796061</v>
      </c>
      <c r="C161" s="82" t="s">
        <v>65</v>
      </c>
      <c r="D161" s="82" t="s">
        <v>58</v>
      </c>
      <c r="E161" s="82" t="s">
        <v>102</v>
      </c>
      <c r="F161" s="82" t="s">
        <v>645</v>
      </c>
      <c r="G161" s="82">
        <v>378</v>
      </c>
      <c r="H161" s="82" t="s">
        <v>1061</v>
      </c>
      <c r="I161" s="82" t="s">
        <v>247</v>
      </c>
      <c r="J161" s="82" t="s">
        <v>1979</v>
      </c>
      <c r="K161" s="82" t="s">
        <v>117</v>
      </c>
      <c r="L161" s="86" t="s">
        <v>422</v>
      </c>
      <c r="M161" s="86">
        <v>46207.527083333334</v>
      </c>
      <c r="N161" s="82" t="s">
        <v>185</v>
      </c>
      <c r="O161" s="85" t="s">
        <v>108</v>
      </c>
      <c r="P161" s="1"/>
      <c r="Q161" s="28" t="s">
        <v>108</v>
      </c>
      <c r="R161" s="18"/>
      <c r="S161" s="28" t="s">
        <v>108</v>
      </c>
      <c r="T161" s="18"/>
      <c r="U161" s="28" t="s">
        <v>108</v>
      </c>
      <c r="V161" s="18"/>
      <c r="W161" s="28" t="s">
        <v>108</v>
      </c>
      <c r="X161" s="18"/>
      <c r="Y161" s="28" t="s">
        <v>108</v>
      </c>
      <c r="Z161" s="46" t="str">
        <f t="shared" si="7"/>
        <v>C</v>
      </c>
      <c r="AA161" s="73" t="str">
        <f t="shared" si="6"/>
        <v>UTILIZOU O PDA CORRETAMENTE</v>
      </c>
      <c r="AB161" s="18" t="s">
        <v>108</v>
      </c>
      <c r="AC161" s="38" t="s">
        <v>1</v>
      </c>
      <c r="AD161" s="29" t="str">
        <f t="shared" si="8"/>
        <v>GUARULHOS</v>
      </c>
      <c r="AE161" s="21" t="s">
        <v>16</v>
      </c>
    </row>
    <row r="162" spans="1:31" ht="30" customHeight="1" x14ac:dyDescent="0.2">
      <c r="A162" s="82" t="s">
        <v>101</v>
      </c>
      <c r="B162" s="96">
        <v>2689734342</v>
      </c>
      <c r="C162" s="82" t="s">
        <v>65</v>
      </c>
      <c r="D162" s="82" t="s">
        <v>58</v>
      </c>
      <c r="E162" s="82" t="s">
        <v>102</v>
      </c>
      <c r="F162" s="82" t="s">
        <v>2190</v>
      </c>
      <c r="G162" s="82">
        <v>379</v>
      </c>
      <c r="H162" s="82"/>
      <c r="I162" s="82" t="s">
        <v>104</v>
      </c>
      <c r="J162" s="82" t="s">
        <v>1979</v>
      </c>
      <c r="K162" s="82" t="s">
        <v>2067</v>
      </c>
      <c r="L162" s="86" t="s">
        <v>422</v>
      </c>
      <c r="M162" s="86">
        <v>46207.60833333333</v>
      </c>
      <c r="N162" s="82" t="s">
        <v>1980</v>
      </c>
      <c r="O162" s="85" t="s">
        <v>108</v>
      </c>
      <c r="P162" s="1"/>
      <c r="Q162" s="28" t="s">
        <v>108</v>
      </c>
      <c r="R162" s="18"/>
      <c r="S162" s="28" t="s">
        <v>108</v>
      </c>
      <c r="T162" s="18"/>
      <c r="U162" s="28" t="s">
        <v>108</v>
      </c>
      <c r="V162" s="18"/>
      <c r="W162" s="28" t="s">
        <v>108</v>
      </c>
      <c r="X162" s="18"/>
      <c r="Y162" s="28" t="s">
        <v>108</v>
      </c>
      <c r="Z162" s="46" t="str">
        <f t="shared" si="7"/>
        <v>C</v>
      </c>
      <c r="AA162" s="73" t="str">
        <f t="shared" si="6"/>
        <v>UTILIZOU O PDA CORRETAMENTE</v>
      </c>
      <c r="AB162" s="18" t="s">
        <v>108</v>
      </c>
      <c r="AC162" s="38" t="s">
        <v>1</v>
      </c>
      <c r="AD162" s="29" t="str">
        <f t="shared" si="8"/>
        <v>GUARULHOS</v>
      </c>
      <c r="AE162" s="21" t="s">
        <v>16</v>
      </c>
    </row>
    <row r="163" spans="1:31" ht="30" customHeight="1" x14ac:dyDescent="0.2">
      <c r="A163" s="82" t="s">
        <v>101</v>
      </c>
      <c r="B163" s="96">
        <v>2614486068</v>
      </c>
      <c r="C163" s="82" t="s">
        <v>65</v>
      </c>
      <c r="D163" s="82" t="s">
        <v>58</v>
      </c>
      <c r="E163" s="82" t="s">
        <v>102</v>
      </c>
      <c r="F163" s="82" t="s">
        <v>1058</v>
      </c>
      <c r="G163" s="82">
        <v>3921</v>
      </c>
      <c r="H163" s="82" t="s">
        <v>2191</v>
      </c>
      <c r="I163" s="82" t="s">
        <v>969</v>
      </c>
      <c r="J163" s="82" t="s">
        <v>1979</v>
      </c>
      <c r="K163" s="82" t="s">
        <v>117</v>
      </c>
      <c r="L163" s="86" t="s">
        <v>422</v>
      </c>
      <c r="M163" s="86">
        <v>46207.604166666664</v>
      </c>
      <c r="N163" s="82" t="s">
        <v>1993</v>
      </c>
      <c r="O163" s="85" t="s">
        <v>108</v>
      </c>
      <c r="P163" s="1"/>
      <c r="Q163" s="28" t="s">
        <v>108</v>
      </c>
      <c r="R163" s="18"/>
      <c r="S163" s="28" t="s">
        <v>108</v>
      </c>
      <c r="T163" s="18"/>
      <c r="U163" s="28" t="s">
        <v>108</v>
      </c>
      <c r="V163" s="18"/>
      <c r="W163" s="28" t="s">
        <v>108</v>
      </c>
      <c r="X163" s="18"/>
      <c r="Y163" s="28" t="s">
        <v>108</v>
      </c>
      <c r="Z163" s="46" t="str">
        <f t="shared" si="7"/>
        <v>C</v>
      </c>
      <c r="AA163" s="73" t="str">
        <f t="shared" si="6"/>
        <v>UTILIZOU O PDA CORRETAMENTE</v>
      </c>
      <c r="AB163" s="18"/>
      <c r="AC163" s="38" t="s">
        <v>1</v>
      </c>
      <c r="AD163" s="29" t="str">
        <f t="shared" si="8"/>
        <v>GUARULHOS</v>
      </c>
      <c r="AE163" s="21" t="s">
        <v>16</v>
      </c>
    </row>
    <row r="164" spans="1:31" ht="30" customHeight="1" x14ac:dyDescent="0.2">
      <c r="A164" s="82" t="s">
        <v>101</v>
      </c>
      <c r="B164" s="96">
        <v>2689789842</v>
      </c>
      <c r="C164" s="82" t="s">
        <v>65</v>
      </c>
      <c r="D164" s="82" t="s">
        <v>58</v>
      </c>
      <c r="E164" s="82" t="s">
        <v>102</v>
      </c>
      <c r="F164" s="82" t="s">
        <v>494</v>
      </c>
      <c r="G164" s="82">
        <v>503</v>
      </c>
      <c r="H164" s="82" t="s">
        <v>2192</v>
      </c>
      <c r="I164" s="82" t="s">
        <v>584</v>
      </c>
      <c r="J164" s="82" t="s">
        <v>1979</v>
      </c>
      <c r="K164" s="82"/>
      <c r="L164" s="86" t="s">
        <v>422</v>
      </c>
      <c r="M164" s="86">
        <v>46207.599305555559</v>
      </c>
      <c r="N164" s="82" t="s">
        <v>767</v>
      </c>
      <c r="O164" s="85" t="s">
        <v>108</v>
      </c>
      <c r="P164" s="1"/>
      <c r="Q164" s="28" t="s">
        <v>108</v>
      </c>
      <c r="R164" s="18"/>
      <c r="S164" s="28" t="s">
        <v>108</v>
      </c>
      <c r="T164" s="18"/>
      <c r="U164" s="28" t="s">
        <v>108</v>
      </c>
      <c r="V164" s="18"/>
      <c r="W164" s="28" t="s">
        <v>108</v>
      </c>
      <c r="X164" s="18"/>
      <c r="Y164" s="28" t="s">
        <v>108</v>
      </c>
      <c r="Z164" s="46" t="str">
        <f t="shared" si="7"/>
        <v>C</v>
      </c>
      <c r="AA164" s="73" t="str">
        <f t="shared" si="6"/>
        <v>UTILIZOU O PDA CORRETAMENTE</v>
      </c>
      <c r="AB164" s="18" t="s">
        <v>108</v>
      </c>
      <c r="AC164" s="38" t="s">
        <v>1</v>
      </c>
      <c r="AD164" s="29" t="str">
        <f t="shared" si="8"/>
        <v>GUARULHOS</v>
      </c>
      <c r="AE164" s="21" t="s">
        <v>16</v>
      </c>
    </row>
    <row r="165" spans="1:31" ht="30" customHeight="1" x14ac:dyDescent="0.2">
      <c r="A165" s="82" t="s">
        <v>101</v>
      </c>
      <c r="B165" s="96">
        <v>2614660031</v>
      </c>
      <c r="C165" s="82" t="s">
        <v>60</v>
      </c>
      <c r="D165" s="82" t="s">
        <v>16</v>
      </c>
      <c r="E165" s="82" t="s">
        <v>102</v>
      </c>
      <c r="F165" s="82" t="s">
        <v>2193</v>
      </c>
      <c r="G165" s="82">
        <v>357</v>
      </c>
      <c r="H165" s="82" t="s">
        <v>2194</v>
      </c>
      <c r="I165" s="82" t="s">
        <v>367</v>
      </c>
      <c r="J165" s="82" t="s">
        <v>1979</v>
      </c>
      <c r="K165" s="82" t="s">
        <v>117</v>
      </c>
      <c r="L165" s="86" t="s">
        <v>480</v>
      </c>
      <c r="M165" s="86">
        <v>46238.487500000003</v>
      </c>
      <c r="N165" s="82" t="s">
        <v>2000</v>
      </c>
      <c r="O165" s="85" t="s">
        <v>108</v>
      </c>
      <c r="P165" s="1"/>
      <c r="Q165" s="28" t="s">
        <v>108</v>
      </c>
      <c r="R165" s="18"/>
      <c r="S165" s="28" t="s">
        <v>108</v>
      </c>
      <c r="T165" s="18"/>
      <c r="U165" s="28" t="s">
        <v>108</v>
      </c>
      <c r="V165" s="18"/>
      <c r="W165" s="28" t="s">
        <v>108</v>
      </c>
      <c r="X165" s="18"/>
      <c r="Y165" s="28" t="s">
        <v>108</v>
      </c>
      <c r="Z165" s="46" t="str">
        <f t="shared" si="7"/>
        <v>C</v>
      </c>
      <c r="AA165" s="73" t="str">
        <f t="shared" si="6"/>
        <v>UTILIZOU O PDA CORRETAMENTE</v>
      </c>
      <c r="AB165" s="18"/>
      <c r="AC165" s="38" t="s">
        <v>1</v>
      </c>
      <c r="AD165" s="29" t="str">
        <f t="shared" si="8"/>
        <v>GUARULHOS</v>
      </c>
      <c r="AE165" s="21" t="s">
        <v>16</v>
      </c>
    </row>
    <row r="166" spans="1:31" ht="30" customHeight="1" x14ac:dyDescent="0.2">
      <c r="A166" s="82" t="s">
        <v>101</v>
      </c>
      <c r="B166" s="96">
        <v>2614677826</v>
      </c>
      <c r="C166" s="82" t="s">
        <v>61</v>
      </c>
      <c r="D166" s="82" t="s">
        <v>58</v>
      </c>
      <c r="E166" s="82" t="s">
        <v>102</v>
      </c>
      <c r="F166" s="82" t="s">
        <v>413</v>
      </c>
      <c r="G166" s="82">
        <v>292</v>
      </c>
      <c r="H166" s="82" t="s">
        <v>2195</v>
      </c>
      <c r="I166" s="82" t="s">
        <v>177</v>
      </c>
      <c r="J166" s="82" t="s">
        <v>2089</v>
      </c>
      <c r="K166" s="82"/>
      <c r="L166" s="86" t="s">
        <v>480</v>
      </c>
      <c r="M166" s="86">
        <v>46238.484027777777</v>
      </c>
      <c r="N166" s="82" t="s">
        <v>767</v>
      </c>
      <c r="O166" s="85" t="s">
        <v>108</v>
      </c>
      <c r="P166" s="1"/>
      <c r="Q166" s="28" t="s">
        <v>108</v>
      </c>
      <c r="R166" s="18"/>
      <c r="S166" s="28" t="s">
        <v>108</v>
      </c>
      <c r="T166" s="18"/>
      <c r="U166" s="28" t="s">
        <v>108</v>
      </c>
      <c r="V166" s="18"/>
      <c r="W166" s="28" t="s">
        <v>108</v>
      </c>
      <c r="X166" s="18"/>
      <c r="Y166" s="28" t="s">
        <v>108</v>
      </c>
      <c r="Z166" s="46" t="str">
        <f t="shared" si="7"/>
        <v>C</v>
      </c>
      <c r="AA166" s="73" t="str">
        <f t="shared" si="6"/>
        <v>UTILIZOU O PDA CORRETAMENTE</v>
      </c>
      <c r="AB166" s="18"/>
      <c r="AC166" s="38" t="s">
        <v>1</v>
      </c>
      <c r="AD166" s="29" t="str">
        <f t="shared" si="8"/>
        <v>GUARULHOS</v>
      </c>
      <c r="AE166" s="21" t="s">
        <v>16</v>
      </c>
    </row>
    <row r="167" spans="1:31" ht="30" customHeight="1" x14ac:dyDescent="0.2">
      <c r="A167" s="82" t="s">
        <v>101</v>
      </c>
      <c r="B167" s="96">
        <v>2614655643</v>
      </c>
      <c r="C167" s="82" t="s">
        <v>60</v>
      </c>
      <c r="D167" s="82" t="s">
        <v>16</v>
      </c>
      <c r="E167" s="82" t="s">
        <v>102</v>
      </c>
      <c r="F167" s="82" t="s">
        <v>2196</v>
      </c>
      <c r="G167" s="82">
        <v>235</v>
      </c>
      <c r="H167" s="82" t="s">
        <v>1851</v>
      </c>
      <c r="I167" s="82" t="s">
        <v>1170</v>
      </c>
      <c r="J167" s="82" t="s">
        <v>1979</v>
      </c>
      <c r="K167" s="82"/>
      <c r="L167" s="86" t="s">
        <v>480</v>
      </c>
      <c r="M167" s="86">
        <v>46238.442361111112</v>
      </c>
      <c r="N167" s="82" t="s">
        <v>1986</v>
      </c>
      <c r="O167" s="85" t="s">
        <v>108</v>
      </c>
      <c r="P167" s="1"/>
      <c r="Q167" s="28" t="s">
        <v>108</v>
      </c>
      <c r="R167" s="18"/>
      <c r="S167" s="28" t="s">
        <v>108</v>
      </c>
      <c r="T167" s="18"/>
      <c r="U167" s="28" t="s">
        <v>108</v>
      </c>
      <c r="V167" s="18"/>
      <c r="W167" s="28" t="s">
        <v>108</v>
      </c>
      <c r="X167" s="18"/>
      <c r="Y167" s="28" t="s">
        <v>108</v>
      </c>
      <c r="Z167" s="46" t="str">
        <f t="shared" si="7"/>
        <v>C</v>
      </c>
      <c r="AA167" s="73" t="str">
        <f t="shared" si="6"/>
        <v>UTILIZOU O PDA CORRETAMENTE</v>
      </c>
      <c r="AB167" s="18" t="s">
        <v>108</v>
      </c>
      <c r="AC167" s="38" t="s">
        <v>1</v>
      </c>
      <c r="AD167" s="29" t="str">
        <f t="shared" si="8"/>
        <v>GUARULHOS</v>
      </c>
      <c r="AE167" s="21" t="s">
        <v>16</v>
      </c>
    </row>
    <row r="168" spans="1:31" ht="30" customHeight="1" x14ac:dyDescent="0.2">
      <c r="A168" s="82" t="s">
        <v>101</v>
      </c>
      <c r="B168" s="96">
        <v>2689821589</v>
      </c>
      <c r="C168" s="82" t="s">
        <v>60</v>
      </c>
      <c r="D168" s="82" t="s">
        <v>16</v>
      </c>
      <c r="E168" s="82" t="s">
        <v>102</v>
      </c>
      <c r="F168" s="82" t="s">
        <v>641</v>
      </c>
      <c r="G168" s="82">
        <v>450</v>
      </c>
      <c r="H168" s="82" t="s">
        <v>2197</v>
      </c>
      <c r="I168" s="82" t="s">
        <v>713</v>
      </c>
      <c r="J168" s="82" t="s">
        <v>1979</v>
      </c>
      <c r="K168" s="82" t="s">
        <v>117</v>
      </c>
      <c r="L168" s="86" t="s">
        <v>480</v>
      </c>
      <c r="M168" s="86">
        <v>46238.476388888892</v>
      </c>
      <c r="N168" s="82" t="s">
        <v>185</v>
      </c>
      <c r="O168" s="85" t="s">
        <v>108</v>
      </c>
      <c r="P168" s="1"/>
      <c r="Q168" s="28" t="s">
        <v>108</v>
      </c>
      <c r="R168" s="18"/>
      <c r="S168" s="28" t="s">
        <v>108</v>
      </c>
      <c r="T168" s="18"/>
      <c r="U168" s="28" t="s">
        <v>108</v>
      </c>
      <c r="V168" s="18"/>
      <c r="W168" s="28" t="s">
        <v>108</v>
      </c>
      <c r="X168" s="18"/>
      <c r="Y168" s="28" t="s">
        <v>108</v>
      </c>
      <c r="Z168" s="46" t="str">
        <f t="shared" si="7"/>
        <v>C</v>
      </c>
      <c r="AA168" s="73" t="str">
        <f t="shared" si="6"/>
        <v>UTILIZOU O PDA CORRETAMENTE</v>
      </c>
      <c r="AB168" s="18" t="s">
        <v>108</v>
      </c>
      <c r="AC168" s="38" t="s">
        <v>1</v>
      </c>
      <c r="AD168" s="29" t="str">
        <f t="shared" si="8"/>
        <v>GUARULHOS</v>
      </c>
      <c r="AE168" s="21" t="s">
        <v>16</v>
      </c>
    </row>
    <row r="169" spans="1:31" ht="30" customHeight="1" x14ac:dyDescent="0.2">
      <c r="A169" s="82" t="s">
        <v>101</v>
      </c>
      <c r="B169" s="96">
        <v>2614512305</v>
      </c>
      <c r="C169" s="82" t="s">
        <v>67</v>
      </c>
      <c r="D169" s="82" t="s">
        <v>58</v>
      </c>
      <c r="E169" s="82" t="s">
        <v>102</v>
      </c>
      <c r="F169" s="82" t="s">
        <v>2198</v>
      </c>
      <c r="G169" s="82">
        <v>138</v>
      </c>
      <c r="H169" s="82" t="s">
        <v>1941</v>
      </c>
      <c r="I169" s="82" t="s">
        <v>374</v>
      </c>
      <c r="J169" s="82" t="s">
        <v>1984</v>
      </c>
      <c r="K169" s="82"/>
      <c r="L169" s="86" t="s">
        <v>480</v>
      </c>
      <c r="M169" s="86">
        <v>46238.647916666669</v>
      </c>
      <c r="N169" s="82" t="s">
        <v>119</v>
      </c>
      <c r="O169" s="85" t="s">
        <v>108</v>
      </c>
      <c r="P169" s="1"/>
      <c r="Q169" s="28" t="s">
        <v>108</v>
      </c>
      <c r="R169" s="18"/>
      <c r="S169" s="28" t="s">
        <v>108</v>
      </c>
      <c r="T169" s="18"/>
      <c r="U169" s="28" t="s">
        <v>108</v>
      </c>
      <c r="V169" s="18"/>
      <c r="W169" s="28" t="s">
        <v>108</v>
      </c>
      <c r="X169" s="18"/>
      <c r="Y169" s="28" t="s">
        <v>108</v>
      </c>
      <c r="Z169" s="46" t="str">
        <f t="shared" si="7"/>
        <v>C</v>
      </c>
      <c r="AA169" s="73" t="str">
        <f t="shared" si="6"/>
        <v>UTILIZOU O PDA CORRETAMENTE</v>
      </c>
      <c r="AB169" s="18" t="s">
        <v>108</v>
      </c>
      <c r="AC169" s="38" t="s">
        <v>1</v>
      </c>
      <c r="AD169" s="29" t="str">
        <f t="shared" si="8"/>
        <v>GUARULHOS</v>
      </c>
      <c r="AE169" s="21" t="s">
        <v>16</v>
      </c>
    </row>
    <row r="170" spans="1:31" ht="30" customHeight="1" x14ac:dyDescent="0.2">
      <c r="A170" s="82" t="s">
        <v>101</v>
      </c>
      <c r="B170" s="96">
        <v>2689894437</v>
      </c>
      <c r="C170" s="82" t="s">
        <v>60</v>
      </c>
      <c r="D170" s="82" t="s">
        <v>16</v>
      </c>
      <c r="E170" s="82" t="s">
        <v>102</v>
      </c>
      <c r="F170" s="82" t="s">
        <v>161</v>
      </c>
      <c r="G170" s="82">
        <v>140</v>
      </c>
      <c r="H170" s="82" t="s">
        <v>117</v>
      </c>
      <c r="I170" s="82" t="s">
        <v>162</v>
      </c>
      <c r="J170" s="82" t="s">
        <v>1975</v>
      </c>
      <c r="K170" s="82" t="s">
        <v>117</v>
      </c>
      <c r="L170" s="86" t="s">
        <v>480</v>
      </c>
      <c r="M170" s="86">
        <v>46238.442361111112</v>
      </c>
      <c r="N170" s="82" t="s">
        <v>767</v>
      </c>
      <c r="O170" s="85" t="s">
        <v>108</v>
      </c>
      <c r="P170" s="1"/>
      <c r="Q170" s="28" t="s">
        <v>108</v>
      </c>
      <c r="R170" s="18"/>
      <c r="S170" s="28" t="s">
        <v>108</v>
      </c>
      <c r="T170" s="18"/>
      <c r="U170" s="28" t="s">
        <v>108</v>
      </c>
      <c r="V170" s="18"/>
      <c r="W170" s="28" t="s">
        <v>108</v>
      </c>
      <c r="X170" s="18"/>
      <c r="Y170" s="28" t="s">
        <v>108</v>
      </c>
      <c r="Z170" s="46" t="str">
        <f t="shared" si="7"/>
        <v>C</v>
      </c>
      <c r="AA170" s="73" t="str">
        <f t="shared" si="6"/>
        <v>UTILIZOU O PDA CORRETAMENTE</v>
      </c>
      <c r="AB170" s="18" t="s">
        <v>108</v>
      </c>
      <c r="AC170" s="38" t="s">
        <v>1</v>
      </c>
      <c r="AD170" s="29" t="str">
        <f t="shared" si="8"/>
        <v>GUARULHOS</v>
      </c>
      <c r="AE170" s="21" t="s">
        <v>16</v>
      </c>
    </row>
    <row r="171" spans="1:31" ht="30" customHeight="1" x14ac:dyDescent="0.2">
      <c r="A171" s="82" t="s">
        <v>101</v>
      </c>
      <c r="B171" s="96">
        <v>2689854165</v>
      </c>
      <c r="C171" s="82" t="s">
        <v>65</v>
      </c>
      <c r="D171" s="82" t="s">
        <v>58</v>
      </c>
      <c r="E171" s="82" t="s">
        <v>102</v>
      </c>
      <c r="F171" s="82" t="s">
        <v>2199</v>
      </c>
      <c r="G171" s="82">
        <v>171</v>
      </c>
      <c r="H171" s="82"/>
      <c r="I171" s="82" t="s">
        <v>1396</v>
      </c>
      <c r="J171" s="82" t="s">
        <v>1979</v>
      </c>
      <c r="K171" s="82" t="s">
        <v>2200</v>
      </c>
      <c r="L171" s="86" t="s">
        <v>480</v>
      </c>
      <c r="M171" s="86">
        <v>46238.386111111111</v>
      </c>
      <c r="N171" s="82" t="s">
        <v>1993</v>
      </c>
      <c r="O171" s="85" t="s">
        <v>108</v>
      </c>
      <c r="P171" s="1"/>
      <c r="Q171" s="28" t="s">
        <v>108</v>
      </c>
      <c r="R171" s="18"/>
      <c r="S171" s="28" t="s">
        <v>108</v>
      </c>
      <c r="T171" s="18"/>
      <c r="U171" s="28" t="s">
        <v>108</v>
      </c>
      <c r="V171" s="18"/>
      <c r="W171" s="28" t="s">
        <v>214</v>
      </c>
      <c r="X171" s="18"/>
      <c r="Y171" s="28" t="s">
        <v>108</v>
      </c>
      <c r="Z171" s="46" t="str">
        <f t="shared" si="7"/>
        <v>NC</v>
      </c>
      <c r="AA171" s="73" t="str">
        <f t="shared" si="6"/>
        <v>UTILIZOU O PDA CORRETAMENTE. NÃO HÁ FOTOS DE TODAS AS ETAPAS</v>
      </c>
      <c r="AB171" s="18" t="s">
        <v>108</v>
      </c>
      <c r="AC171" s="38" t="s">
        <v>1</v>
      </c>
      <c r="AD171" s="29" t="str">
        <f t="shared" si="8"/>
        <v>GUARULHOS</v>
      </c>
      <c r="AE171" s="21" t="s">
        <v>16</v>
      </c>
    </row>
    <row r="172" spans="1:31" ht="30" customHeight="1" x14ac:dyDescent="0.2">
      <c r="A172" s="82" t="s">
        <v>101</v>
      </c>
      <c r="B172" s="96">
        <v>2614677168</v>
      </c>
      <c r="C172" s="82" t="s">
        <v>67</v>
      </c>
      <c r="D172" s="82" t="s">
        <v>58</v>
      </c>
      <c r="E172" s="82" t="s">
        <v>102</v>
      </c>
      <c r="F172" s="82" t="s">
        <v>2201</v>
      </c>
      <c r="G172" s="82">
        <v>69</v>
      </c>
      <c r="H172" s="82" t="s">
        <v>2202</v>
      </c>
      <c r="I172" s="82" t="s">
        <v>349</v>
      </c>
      <c r="J172" s="82" t="s">
        <v>1984</v>
      </c>
      <c r="K172" s="82" t="s">
        <v>117</v>
      </c>
      <c r="L172" s="86" t="s">
        <v>480</v>
      </c>
      <c r="M172" s="86">
        <v>46238.436111111114</v>
      </c>
      <c r="N172" s="82" t="s">
        <v>185</v>
      </c>
      <c r="O172" s="85" t="s">
        <v>108</v>
      </c>
      <c r="P172" s="1"/>
      <c r="Q172" s="28" t="s">
        <v>108</v>
      </c>
      <c r="R172" s="18"/>
      <c r="S172" s="28" t="s">
        <v>108</v>
      </c>
      <c r="T172" s="18"/>
      <c r="U172" s="28" t="s">
        <v>108</v>
      </c>
      <c r="V172" s="18"/>
      <c r="W172" s="28" t="s">
        <v>108</v>
      </c>
      <c r="X172" s="18"/>
      <c r="Y172" s="28" t="s">
        <v>108</v>
      </c>
      <c r="Z172" s="46" t="str">
        <f t="shared" si="7"/>
        <v>C</v>
      </c>
      <c r="AA172" s="73" t="str">
        <f t="shared" si="6"/>
        <v>UTILIZOU O PDA CORRETAMENTE</v>
      </c>
      <c r="AB172" s="18" t="s">
        <v>108</v>
      </c>
      <c r="AC172" s="38" t="s">
        <v>1</v>
      </c>
      <c r="AD172" s="29" t="str">
        <f t="shared" si="8"/>
        <v>GUARULHOS</v>
      </c>
      <c r="AE172" s="21" t="s">
        <v>16</v>
      </c>
    </row>
    <row r="173" spans="1:31" ht="30" customHeight="1" x14ac:dyDescent="0.2">
      <c r="A173" s="82" t="s">
        <v>101</v>
      </c>
      <c r="B173" s="96">
        <v>2614646022</v>
      </c>
      <c r="C173" s="82" t="s">
        <v>65</v>
      </c>
      <c r="D173" s="82" t="s">
        <v>58</v>
      </c>
      <c r="E173" s="82" t="s">
        <v>102</v>
      </c>
      <c r="F173" s="82" t="s">
        <v>986</v>
      </c>
      <c r="G173" s="82">
        <v>929</v>
      </c>
      <c r="H173" s="82"/>
      <c r="I173" s="82" t="s">
        <v>247</v>
      </c>
      <c r="J173" s="82" t="s">
        <v>1979</v>
      </c>
      <c r="K173" s="82" t="s">
        <v>2203</v>
      </c>
      <c r="L173" s="86" t="s">
        <v>480</v>
      </c>
      <c r="M173" s="86">
        <v>46238.424305555556</v>
      </c>
      <c r="N173" s="82" t="s">
        <v>2000</v>
      </c>
      <c r="O173" s="85" t="s">
        <v>108</v>
      </c>
      <c r="P173" s="1"/>
      <c r="Q173" s="28" t="s">
        <v>108</v>
      </c>
      <c r="R173" s="18"/>
      <c r="S173" s="28" t="s">
        <v>108</v>
      </c>
      <c r="T173" s="18"/>
      <c r="U173" s="28" t="s">
        <v>108</v>
      </c>
      <c r="V173" s="18"/>
      <c r="W173" s="28" t="s">
        <v>108</v>
      </c>
      <c r="X173" s="18"/>
      <c r="Y173" s="28" t="s">
        <v>108</v>
      </c>
      <c r="Z173" s="46" t="str">
        <f t="shared" si="7"/>
        <v>C</v>
      </c>
      <c r="AA173" s="73" t="str">
        <f t="shared" si="6"/>
        <v>UTILIZOU O PDA CORRETAMENTE</v>
      </c>
      <c r="AB173" s="18" t="s">
        <v>108</v>
      </c>
      <c r="AC173" s="38" t="s">
        <v>1</v>
      </c>
      <c r="AD173" s="29" t="str">
        <f t="shared" si="8"/>
        <v>GUARULHOS</v>
      </c>
      <c r="AE173" s="21" t="s">
        <v>16</v>
      </c>
    </row>
    <row r="174" spans="1:31" ht="30" customHeight="1" x14ac:dyDescent="0.2">
      <c r="A174" s="82" t="s">
        <v>101</v>
      </c>
      <c r="B174" s="96">
        <v>2689911705</v>
      </c>
      <c r="C174" s="82" t="s">
        <v>60</v>
      </c>
      <c r="D174" s="82" t="s">
        <v>16</v>
      </c>
      <c r="E174" s="82" t="s">
        <v>102</v>
      </c>
      <c r="F174" s="82" t="s">
        <v>2204</v>
      </c>
      <c r="G174" s="82">
        <v>35</v>
      </c>
      <c r="H174" s="82" t="s">
        <v>464</v>
      </c>
      <c r="I174" s="82" t="s">
        <v>220</v>
      </c>
      <c r="J174" s="82" t="s">
        <v>1979</v>
      </c>
      <c r="K174" s="82" t="s">
        <v>117</v>
      </c>
      <c r="L174" s="86" t="s">
        <v>480</v>
      </c>
      <c r="M174" s="86">
        <v>46238.488194444442</v>
      </c>
      <c r="N174" s="82" t="s">
        <v>1980</v>
      </c>
      <c r="O174" s="85" t="s">
        <v>108</v>
      </c>
      <c r="P174" s="1"/>
      <c r="Q174" s="28" t="s">
        <v>108</v>
      </c>
      <c r="R174" s="18"/>
      <c r="S174" s="28" t="s">
        <v>108</v>
      </c>
      <c r="T174" s="18"/>
      <c r="U174" s="28" t="s">
        <v>108</v>
      </c>
      <c r="V174" s="18"/>
      <c r="W174" s="28" t="s">
        <v>108</v>
      </c>
      <c r="X174" s="18"/>
      <c r="Y174" s="28" t="s">
        <v>108</v>
      </c>
      <c r="Z174" s="46" t="str">
        <f t="shared" si="7"/>
        <v>C</v>
      </c>
      <c r="AA174" s="73" t="str">
        <f t="shared" si="6"/>
        <v>UTILIZOU O PDA CORRETAMENTE</v>
      </c>
      <c r="AB174" s="18" t="s">
        <v>108</v>
      </c>
      <c r="AC174" s="38" t="s">
        <v>1</v>
      </c>
      <c r="AD174" s="29" t="str">
        <f t="shared" si="8"/>
        <v>GUARULHOS</v>
      </c>
      <c r="AE174" s="21" t="s">
        <v>16</v>
      </c>
    </row>
    <row r="175" spans="1:31" ht="30" customHeight="1" x14ac:dyDescent="0.2">
      <c r="A175" s="82" t="s">
        <v>101</v>
      </c>
      <c r="B175" s="96">
        <v>2689919253</v>
      </c>
      <c r="C175" s="82" t="s">
        <v>60</v>
      </c>
      <c r="D175" s="82" t="s">
        <v>16</v>
      </c>
      <c r="E175" s="82" t="s">
        <v>102</v>
      </c>
      <c r="F175" s="82" t="s">
        <v>1044</v>
      </c>
      <c r="G175" s="82">
        <v>555</v>
      </c>
      <c r="H175" s="82" t="s">
        <v>2205</v>
      </c>
      <c r="I175" s="82" t="s">
        <v>576</v>
      </c>
      <c r="J175" s="82" t="s">
        <v>1975</v>
      </c>
      <c r="K175" s="82" t="s">
        <v>2206</v>
      </c>
      <c r="L175" s="86" t="s">
        <v>480</v>
      </c>
      <c r="M175" s="86">
        <v>46238.517361111109</v>
      </c>
      <c r="N175" s="82" t="s">
        <v>2137</v>
      </c>
      <c r="O175" s="85" t="s">
        <v>108</v>
      </c>
      <c r="P175" s="1"/>
      <c r="Q175" s="28" t="s">
        <v>108</v>
      </c>
      <c r="R175" s="18"/>
      <c r="S175" s="28" t="s">
        <v>108</v>
      </c>
      <c r="T175" s="18"/>
      <c r="U175" s="28" t="s">
        <v>108</v>
      </c>
      <c r="V175" s="18"/>
      <c r="W175" s="28" t="s">
        <v>108</v>
      </c>
      <c r="X175" s="18"/>
      <c r="Y175" s="28" t="s">
        <v>108</v>
      </c>
      <c r="Z175" s="46" t="str">
        <f t="shared" si="7"/>
        <v>C</v>
      </c>
      <c r="AA175" s="73" t="str">
        <f t="shared" si="6"/>
        <v>UTILIZOU O PDA CORRETAMENTE</v>
      </c>
      <c r="AB175" s="18" t="s">
        <v>108</v>
      </c>
      <c r="AC175" s="38" t="s">
        <v>1</v>
      </c>
      <c r="AD175" s="29" t="str">
        <f t="shared" si="8"/>
        <v>GUARULHOS</v>
      </c>
      <c r="AE175" s="21" t="s">
        <v>16</v>
      </c>
    </row>
    <row r="176" spans="1:31" ht="30" customHeight="1" x14ac:dyDescent="0.2">
      <c r="A176" s="82" t="s">
        <v>101</v>
      </c>
      <c r="B176" s="96">
        <v>2614794000</v>
      </c>
      <c r="C176" s="82" t="s">
        <v>61</v>
      </c>
      <c r="D176" s="82" t="s">
        <v>58</v>
      </c>
      <c r="E176" s="82" t="s">
        <v>102</v>
      </c>
      <c r="F176" s="82" t="s">
        <v>448</v>
      </c>
      <c r="G176" s="82">
        <v>227</v>
      </c>
      <c r="H176" s="82" t="s">
        <v>449</v>
      </c>
      <c r="I176" s="82" t="s">
        <v>450</v>
      </c>
      <c r="J176" s="82" t="s">
        <v>2089</v>
      </c>
      <c r="K176" s="82"/>
      <c r="L176" s="86" t="s">
        <v>480</v>
      </c>
      <c r="M176" s="86">
        <v>46238.65625</v>
      </c>
      <c r="N176" s="82" t="s">
        <v>1993</v>
      </c>
      <c r="O176" s="85" t="s">
        <v>108</v>
      </c>
      <c r="P176" s="1"/>
      <c r="Q176" s="28" t="s">
        <v>108</v>
      </c>
      <c r="R176" s="18"/>
      <c r="S176" s="28" t="s">
        <v>108</v>
      </c>
      <c r="T176" s="18"/>
      <c r="U176" s="28" t="s">
        <v>108</v>
      </c>
      <c r="V176" s="18"/>
      <c r="W176" s="28" t="s">
        <v>108</v>
      </c>
      <c r="X176" s="18"/>
      <c r="Y176" s="28" t="s">
        <v>108</v>
      </c>
      <c r="Z176" s="46" t="str">
        <f t="shared" si="7"/>
        <v>C</v>
      </c>
      <c r="AA176" s="73" t="str">
        <f t="shared" si="6"/>
        <v>UTILIZOU O PDA CORRETAMENTE</v>
      </c>
      <c r="AB176" s="18" t="s">
        <v>108</v>
      </c>
      <c r="AC176" s="38" t="s">
        <v>1</v>
      </c>
      <c r="AD176" s="29" t="str">
        <f t="shared" si="8"/>
        <v>GUARULHOS</v>
      </c>
      <c r="AE176" s="21" t="s">
        <v>16</v>
      </c>
    </row>
    <row r="177" spans="1:31" ht="30" customHeight="1" x14ac:dyDescent="0.2">
      <c r="A177" s="82" t="s">
        <v>101</v>
      </c>
      <c r="B177" s="96">
        <v>2614641282</v>
      </c>
      <c r="C177" s="82" t="s">
        <v>65</v>
      </c>
      <c r="D177" s="82" t="s">
        <v>58</v>
      </c>
      <c r="E177" s="82" t="s">
        <v>102</v>
      </c>
      <c r="F177" s="82" t="s">
        <v>1121</v>
      </c>
      <c r="G177" s="82">
        <v>152</v>
      </c>
      <c r="H177" s="82" t="s">
        <v>117</v>
      </c>
      <c r="I177" s="82" t="s">
        <v>664</v>
      </c>
      <c r="J177" s="82" t="s">
        <v>1979</v>
      </c>
      <c r="K177" s="82" t="s">
        <v>117</v>
      </c>
      <c r="L177" s="86" t="s">
        <v>480</v>
      </c>
      <c r="M177" s="86">
        <v>46238.466666666667</v>
      </c>
      <c r="N177" s="82" t="s">
        <v>1993</v>
      </c>
      <c r="O177" s="85" t="s">
        <v>108</v>
      </c>
      <c r="P177" s="1"/>
      <c r="Q177" s="28" t="s">
        <v>108</v>
      </c>
      <c r="R177" s="18"/>
      <c r="S177" s="28" t="s">
        <v>108</v>
      </c>
      <c r="T177" s="18"/>
      <c r="U177" s="28" t="s">
        <v>108</v>
      </c>
      <c r="V177" s="18"/>
      <c r="W177" s="28" t="s">
        <v>108</v>
      </c>
      <c r="X177" s="18"/>
      <c r="Y177" s="28" t="s">
        <v>108</v>
      </c>
      <c r="Z177" s="46" t="str">
        <f t="shared" si="7"/>
        <v>C</v>
      </c>
      <c r="AA177" s="73" t="str">
        <f t="shared" si="6"/>
        <v>UTILIZOU O PDA CORRETAMENTE</v>
      </c>
      <c r="AB177" s="18" t="s">
        <v>108</v>
      </c>
      <c r="AC177" s="38" t="s">
        <v>1</v>
      </c>
      <c r="AD177" s="29" t="str">
        <f t="shared" si="8"/>
        <v>GUARULHOS</v>
      </c>
      <c r="AE177" s="21" t="s">
        <v>16</v>
      </c>
    </row>
    <row r="178" spans="1:31" ht="30" customHeight="1" x14ac:dyDescent="0.2">
      <c r="A178" s="82" t="s">
        <v>101</v>
      </c>
      <c r="B178" s="96">
        <v>2689919074</v>
      </c>
      <c r="C178" s="82" t="s">
        <v>60</v>
      </c>
      <c r="D178" s="82" t="s">
        <v>16</v>
      </c>
      <c r="E178" s="82" t="s">
        <v>102</v>
      </c>
      <c r="F178" s="82" t="s">
        <v>2207</v>
      </c>
      <c r="G178" s="82">
        <v>32</v>
      </c>
      <c r="H178" s="82" t="s">
        <v>1940</v>
      </c>
      <c r="I178" s="82" t="s">
        <v>640</v>
      </c>
      <c r="J178" s="82" t="s">
        <v>1979</v>
      </c>
      <c r="K178" s="82" t="s">
        <v>117</v>
      </c>
      <c r="L178" s="86" t="s">
        <v>480</v>
      </c>
      <c r="M178" s="86">
        <v>46238.57708333333</v>
      </c>
      <c r="N178" s="82" t="s">
        <v>1980</v>
      </c>
      <c r="O178" s="85" t="s">
        <v>108</v>
      </c>
      <c r="P178" s="1"/>
      <c r="Q178" s="28" t="s">
        <v>108</v>
      </c>
      <c r="R178" s="18"/>
      <c r="S178" s="28" t="s">
        <v>108</v>
      </c>
      <c r="T178" s="18"/>
      <c r="U178" s="28" t="s">
        <v>108</v>
      </c>
      <c r="V178" s="18"/>
      <c r="W178" s="28" t="s">
        <v>108</v>
      </c>
      <c r="X178" s="18"/>
      <c r="Y178" s="28" t="s">
        <v>108</v>
      </c>
      <c r="Z178" s="46" t="str">
        <f t="shared" si="7"/>
        <v>C</v>
      </c>
      <c r="AA178" s="73" t="str">
        <f t="shared" si="6"/>
        <v>UTILIZOU O PDA CORRETAMENTE</v>
      </c>
      <c r="AB178" s="18" t="s">
        <v>108</v>
      </c>
      <c r="AC178" s="38" t="s">
        <v>1</v>
      </c>
      <c r="AD178" s="29" t="str">
        <f t="shared" si="8"/>
        <v>GUARULHOS</v>
      </c>
      <c r="AE178" s="21" t="s">
        <v>16</v>
      </c>
    </row>
    <row r="179" spans="1:31" ht="30" customHeight="1" x14ac:dyDescent="0.2">
      <c r="A179" s="82" t="s">
        <v>101</v>
      </c>
      <c r="B179" s="96">
        <v>2689834939</v>
      </c>
      <c r="C179" s="82" t="s">
        <v>65</v>
      </c>
      <c r="D179" s="82" t="s">
        <v>58</v>
      </c>
      <c r="E179" s="82" t="s">
        <v>102</v>
      </c>
      <c r="F179" s="82" t="s">
        <v>2208</v>
      </c>
      <c r="G179" s="82">
        <v>45</v>
      </c>
      <c r="H179" s="82" t="s">
        <v>2116</v>
      </c>
      <c r="I179" s="82" t="s">
        <v>191</v>
      </c>
      <c r="J179" s="82" t="s">
        <v>1979</v>
      </c>
      <c r="K179" s="82"/>
      <c r="L179" s="86" t="s">
        <v>480</v>
      </c>
      <c r="M179" s="86">
        <v>46238.487500000003</v>
      </c>
      <c r="N179" s="82" t="s">
        <v>185</v>
      </c>
      <c r="O179" s="85" t="s">
        <v>108</v>
      </c>
      <c r="P179" s="1"/>
      <c r="Q179" s="28" t="s">
        <v>108</v>
      </c>
      <c r="R179" s="18"/>
      <c r="S179" s="28" t="s">
        <v>108</v>
      </c>
      <c r="T179" s="18"/>
      <c r="U179" s="28" t="s">
        <v>108</v>
      </c>
      <c r="V179" s="18"/>
      <c r="W179" s="28" t="s">
        <v>108</v>
      </c>
      <c r="X179" s="18"/>
      <c r="Y179" s="28" t="s">
        <v>108</v>
      </c>
      <c r="Z179" s="46" t="str">
        <f t="shared" si="7"/>
        <v>C</v>
      </c>
      <c r="AA179" s="73" t="str">
        <f t="shared" si="6"/>
        <v>UTILIZOU O PDA CORRETAMENTE</v>
      </c>
      <c r="AB179" s="18" t="s">
        <v>108</v>
      </c>
      <c r="AC179" s="38" t="s">
        <v>1</v>
      </c>
      <c r="AD179" s="29" t="str">
        <f t="shared" si="8"/>
        <v>GUARULHOS</v>
      </c>
      <c r="AE179" s="21" t="s">
        <v>16</v>
      </c>
    </row>
    <row r="180" spans="1:31" ht="30" customHeight="1" x14ac:dyDescent="0.2">
      <c r="A180" s="82" t="s">
        <v>101</v>
      </c>
      <c r="B180" s="96">
        <v>2614649550</v>
      </c>
      <c r="C180" s="82" t="s">
        <v>60</v>
      </c>
      <c r="D180" s="82" t="s">
        <v>16</v>
      </c>
      <c r="E180" s="82" t="s">
        <v>102</v>
      </c>
      <c r="F180" s="82" t="s">
        <v>2209</v>
      </c>
      <c r="G180" s="82">
        <v>984</v>
      </c>
      <c r="H180" s="82" t="s">
        <v>117</v>
      </c>
      <c r="I180" s="82" t="s">
        <v>389</v>
      </c>
      <c r="J180" s="82" t="s">
        <v>1975</v>
      </c>
      <c r="K180" s="82" t="s">
        <v>117</v>
      </c>
      <c r="L180" s="86" t="s">
        <v>480</v>
      </c>
      <c r="M180" s="86">
        <v>46238.497916666667</v>
      </c>
      <c r="N180" s="82" t="s">
        <v>140</v>
      </c>
      <c r="O180" s="85" t="s">
        <v>108</v>
      </c>
      <c r="P180" s="1"/>
      <c r="Q180" s="28" t="s">
        <v>108</v>
      </c>
      <c r="R180" s="18"/>
      <c r="S180" s="28" t="s">
        <v>108</v>
      </c>
      <c r="T180" s="18"/>
      <c r="U180" s="28" t="s">
        <v>108</v>
      </c>
      <c r="V180" s="18"/>
      <c r="W180" s="28" t="s">
        <v>108</v>
      </c>
      <c r="X180" s="18"/>
      <c r="Y180" s="28" t="s">
        <v>108</v>
      </c>
      <c r="Z180" s="46" t="str">
        <f t="shared" si="7"/>
        <v>C</v>
      </c>
      <c r="AA180" s="73" t="str">
        <f t="shared" si="6"/>
        <v>UTILIZOU O PDA CORRETAMENTE</v>
      </c>
      <c r="AB180" s="18" t="s">
        <v>108</v>
      </c>
      <c r="AC180" s="38" t="s">
        <v>1</v>
      </c>
      <c r="AD180" s="29" t="str">
        <f t="shared" si="8"/>
        <v>GUARULHOS</v>
      </c>
      <c r="AE180" s="21" t="s">
        <v>16</v>
      </c>
    </row>
    <row r="181" spans="1:31" ht="30" customHeight="1" x14ac:dyDescent="0.2">
      <c r="A181" s="82" t="s">
        <v>101</v>
      </c>
      <c r="B181" s="96">
        <v>2614808475</v>
      </c>
      <c r="C181" s="82" t="s">
        <v>60</v>
      </c>
      <c r="D181" s="82" t="s">
        <v>16</v>
      </c>
      <c r="E181" s="82" t="s">
        <v>102</v>
      </c>
      <c r="F181" s="82" t="s">
        <v>2210</v>
      </c>
      <c r="G181" s="82">
        <v>22</v>
      </c>
      <c r="H181" s="82"/>
      <c r="I181" s="82" t="s">
        <v>516</v>
      </c>
      <c r="J181" s="82" t="s">
        <v>1977</v>
      </c>
      <c r="K181" s="82"/>
      <c r="L181" s="86" t="s">
        <v>480</v>
      </c>
      <c r="M181" s="86">
        <v>46238.673611111109</v>
      </c>
      <c r="N181" s="82" t="s">
        <v>767</v>
      </c>
      <c r="O181" s="85" t="s">
        <v>108</v>
      </c>
      <c r="P181" s="1"/>
      <c r="Q181" s="28" t="s">
        <v>108</v>
      </c>
      <c r="R181" s="18"/>
      <c r="S181" s="28" t="s">
        <v>108</v>
      </c>
      <c r="T181" s="18"/>
      <c r="U181" s="28" t="s">
        <v>108</v>
      </c>
      <c r="V181" s="18"/>
      <c r="W181" s="28" t="s">
        <v>108</v>
      </c>
      <c r="X181" s="18"/>
      <c r="Y181" s="28" t="s">
        <v>108</v>
      </c>
      <c r="Z181" s="46" t="str">
        <f t="shared" si="7"/>
        <v>C</v>
      </c>
      <c r="AA181" s="73" t="str">
        <f t="shared" si="6"/>
        <v>UTILIZOU O PDA CORRETAMENTE</v>
      </c>
      <c r="AB181" s="18" t="s">
        <v>108</v>
      </c>
      <c r="AC181" s="38" t="s">
        <v>1</v>
      </c>
      <c r="AD181" s="29" t="str">
        <f t="shared" si="8"/>
        <v>GUARULHOS</v>
      </c>
      <c r="AE181" s="21" t="s">
        <v>16</v>
      </c>
    </row>
    <row r="182" spans="1:31" ht="30" customHeight="1" x14ac:dyDescent="0.2">
      <c r="A182" s="82" t="s">
        <v>101</v>
      </c>
      <c r="B182" s="96">
        <v>2689857141</v>
      </c>
      <c r="C182" s="82" t="s">
        <v>65</v>
      </c>
      <c r="D182" s="82" t="s">
        <v>58</v>
      </c>
      <c r="E182" s="82" t="s">
        <v>102</v>
      </c>
      <c r="F182" s="82" t="s">
        <v>441</v>
      </c>
      <c r="G182" s="82">
        <v>752</v>
      </c>
      <c r="H182" s="82" t="s">
        <v>442</v>
      </c>
      <c r="I182" s="82" t="s">
        <v>382</v>
      </c>
      <c r="J182" s="82" t="s">
        <v>1979</v>
      </c>
      <c r="K182" s="82" t="s">
        <v>2211</v>
      </c>
      <c r="L182" s="86" t="s">
        <v>480</v>
      </c>
      <c r="M182" s="86">
        <v>46238.505555555559</v>
      </c>
      <c r="N182" s="82" t="s">
        <v>597</v>
      </c>
      <c r="O182" s="85" t="s">
        <v>108</v>
      </c>
      <c r="P182" s="1"/>
      <c r="Q182" s="28" t="s">
        <v>108</v>
      </c>
      <c r="R182" s="18"/>
      <c r="S182" s="28" t="s">
        <v>108</v>
      </c>
      <c r="T182" s="18"/>
      <c r="U182" s="28" t="s">
        <v>108</v>
      </c>
      <c r="V182" s="18"/>
      <c r="W182" s="28" t="s">
        <v>108</v>
      </c>
      <c r="X182" s="18"/>
      <c r="Y182" s="28" t="s">
        <v>108</v>
      </c>
      <c r="Z182" s="46" t="str">
        <f t="shared" si="7"/>
        <v>C</v>
      </c>
      <c r="AA182" s="73" t="str">
        <f t="shared" si="6"/>
        <v>UTILIZOU O PDA CORRETAMENTE</v>
      </c>
      <c r="AB182" s="18" t="s">
        <v>108</v>
      </c>
      <c r="AC182" s="38" t="s">
        <v>1</v>
      </c>
      <c r="AD182" s="29" t="str">
        <f t="shared" si="8"/>
        <v>GUARULHOS</v>
      </c>
      <c r="AE182" s="21" t="s">
        <v>16</v>
      </c>
    </row>
    <row r="183" spans="1:31" ht="30" customHeight="1" x14ac:dyDescent="0.2">
      <c r="A183" s="82" t="s">
        <v>101</v>
      </c>
      <c r="B183" s="96">
        <v>2689903174</v>
      </c>
      <c r="C183" s="82" t="s">
        <v>65</v>
      </c>
      <c r="D183" s="82" t="s">
        <v>58</v>
      </c>
      <c r="E183" s="82" t="s">
        <v>102</v>
      </c>
      <c r="F183" s="82" t="s">
        <v>847</v>
      </c>
      <c r="G183" s="82">
        <v>489</v>
      </c>
      <c r="H183" s="82" t="s">
        <v>2212</v>
      </c>
      <c r="I183" s="82" t="s">
        <v>849</v>
      </c>
      <c r="J183" s="82" t="s">
        <v>1979</v>
      </c>
      <c r="K183" s="82"/>
      <c r="L183" s="86" t="s">
        <v>480</v>
      </c>
      <c r="M183" s="86">
        <v>46238.563888888886</v>
      </c>
      <c r="N183" s="82" t="s">
        <v>1993</v>
      </c>
      <c r="O183" s="85" t="s">
        <v>108</v>
      </c>
      <c r="P183" s="1"/>
      <c r="Q183" s="28" t="s">
        <v>108</v>
      </c>
      <c r="R183" s="18"/>
      <c r="S183" s="28" t="s">
        <v>108</v>
      </c>
      <c r="T183" s="18"/>
      <c r="U183" s="28" t="s">
        <v>108</v>
      </c>
      <c r="V183" s="18"/>
      <c r="W183" s="28" t="s">
        <v>108</v>
      </c>
      <c r="X183" s="18"/>
      <c r="Y183" s="28" t="s">
        <v>108</v>
      </c>
      <c r="Z183" s="46" t="str">
        <f t="shared" si="7"/>
        <v>C</v>
      </c>
      <c r="AA183" s="73" t="str">
        <f t="shared" si="6"/>
        <v>UTILIZOU O PDA CORRETAMENTE</v>
      </c>
      <c r="AB183" s="18" t="s">
        <v>108</v>
      </c>
      <c r="AC183" s="38" t="s">
        <v>1</v>
      </c>
      <c r="AD183" s="29" t="str">
        <f t="shared" si="8"/>
        <v>GUARULHOS</v>
      </c>
      <c r="AE183" s="21" t="s">
        <v>16</v>
      </c>
    </row>
    <row r="184" spans="1:31" ht="30" customHeight="1" x14ac:dyDescent="0.2">
      <c r="A184" s="82" t="s">
        <v>101</v>
      </c>
      <c r="B184" s="96">
        <v>2689920738</v>
      </c>
      <c r="C184" s="82" t="s">
        <v>65</v>
      </c>
      <c r="D184" s="82" t="s">
        <v>58</v>
      </c>
      <c r="E184" s="82" t="s">
        <v>102</v>
      </c>
      <c r="F184" s="82" t="s">
        <v>1762</v>
      </c>
      <c r="G184" s="82">
        <v>115</v>
      </c>
      <c r="H184" s="82" t="s">
        <v>2213</v>
      </c>
      <c r="I184" s="82" t="s">
        <v>345</v>
      </c>
      <c r="J184" s="82" t="s">
        <v>1979</v>
      </c>
      <c r="K184" s="82" t="s">
        <v>117</v>
      </c>
      <c r="L184" s="86" t="s">
        <v>480</v>
      </c>
      <c r="M184" s="86">
        <v>46238.57916666667</v>
      </c>
      <c r="N184" s="82" t="s">
        <v>1993</v>
      </c>
      <c r="O184" s="85" t="s">
        <v>108</v>
      </c>
      <c r="P184" s="1"/>
      <c r="Q184" s="28" t="s">
        <v>108</v>
      </c>
      <c r="R184" s="18"/>
      <c r="S184" s="28" t="s">
        <v>108</v>
      </c>
      <c r="T184" s="18"/>
      <c r="U184" s="28" t="s">
        <v>108</v>
      </c>
      <c r="V184" s="18"/>
      <c r="W184" s="28" t="s">
        <v>108</v>
      </c>
      <c r="X184" s="18"/>
      <c r="Y184" s="28" t="s">
        <v>108</v>
      </c>
      <c r="Z184" s="46" t="str">
        <f t="shared" si="7"/>
        <v>C</v>
      </c>
      <c r="AA184" s="73" t="str">
        <f t="shared" si="6"/>
        <v>UTILIZOU O PDA CORRETAMENTE</v>
      </c>
      <c r="AB184" s="18" t="s">
        <v>108</v>
      </c>
      <c r="AC184" s="38" t="s">
        <v>1</v>
      </c>
      <c r="AD184" s="29" t="str">
        <f t="shared" si="8"/>
        <v>GUARULHOS</v>
      </c>
      <c r="AE184" s="21" t="s">
        <v>16</v>
      </c>
    </row>
    <row r="185" spans="1:31" ht="30" customHeight="1" x14ac:dyDescent="0.2">
      <c r="A185" s="82" t="s">
        <v>101</v>
      </c>
      <c r="B185" s="96">
        <v>2689921458</v>
      </c>
      <c r="C185" s="82" t="s">
        <v>65</v>
      </c>
      <c r="D185" s="82" t="s">
        <v>58</v>
      </c>
      <c r="E185" s="82" t="s">
        <v>102</v>
      </c>
      <c r="F185" s="82" t="s">
        <v>2214</v>
      </c>
      <c r="G185" s="82">
        <v>56</v>
      </c>
      <c r="H185" s="82" t="s">
        <v>2215</v>
      </c>
      <c r="I185" s="82" t="s">
        <v>1120</v>
      </c>
      <c r="J185" s="82" t="s">
        <v>1979</v>
      </c>
      <c r="K185" s="82"/>
      <c r="L185" s="86" t="s">
        <v>480</v>
      </c>
      <c r="M185" s="86">
        <v>46238.602083333331</v>
      </c>
      <c r="N185" s="82" t="s">
        <v>185</v>
      </c>
      <c r="O185" s="85" t="s">
        <v>108</v>
      </c>
      <c r="P185" s="1"/>
      <c r="Q185" s="28" t="s">
        <v>108</v>
      </c>
      <c r="R185" s="18"/>
      <c r="S185" s="28" t="s">
        <v>108</v>
      </c>
      <c r="T185" s="18"/>
      <c r="U185" s="28" t="s">
        <v>108</v>
      </c>
      <c r="V185" s="18"/>
      <c r="W185" s="28" t="s">
        <v>108</v>
      </c>
      <c r="X185" s="18"/>
      <c r="Y185" s="28" t="s">
        <v>108</v>
      </c>
      <c r="Z185" s="46" t="str">
        <f t="shared" si="7"/>
        <v>C</v>
      </c>
      <c r="AA185" s="73" t="str">
        <f t="shared" si="6"/>
        <v>UTILIZOU O PDA CORRETAMENTE</v>
      </c>
      <c r="AB185" s="18" t="s">
        <v>108</v>
      </c>
      <c r="AC185" s="38" t="s">
        <v>1</v>
      </c>
      <c r="AD185" s="29" t="str">
        <f t="shared" si="8"/>
        <v>GUARULHOS</v>
      </c>
      <c r="AE185" s="21" t="s">
        <v>16</v>
      </c>
    </row>
    <row r="186" spans="1:31" ht="30" customHeight="1" x14ac:dyDescent="0.2">
      <c r="A186" s="82" t="s">
        <v>101</v>
      </c>
      <c r="B186" s="82">
        <v>2614468659</v>
      </c>
      <c r="C186" s="82" t="s">
        <v>67</v>
      </c>
      <c r="D186" s="82" t="s">
        <v>58</v>
      </c>
      <c r="E186" s="82" t="s">
        <v>102</v>
      </c>
      <c r="F186" s="82" t="s">
        <v>2216</v>
      </c>
      <c r="G186" s="82">
        <v>101</v>
      </c>
      <c r="H186" s="82" t="s">
        <v>117</v>
      </c>
      <c r="I186" s="82" t="s">
        <v>2217</v>
      </c>
      <c r="J186" s="82" t="s">
        <v>1984</v>
      </c>
      <c r="K186" s="82" t="s">
        <v>2218</v>
      </c>
      <c r="L186" s="86" t="s">
        <v>480</v>
      </c>
      <c r="M186" s="86">
        <v>46238.704861111109</v>
      </c>
      <c r="N186" s="82" t="s">
        <v>274</v>
      </c>
      <c r="O186" s="85" t="s">
        <v>14</v>
      </c>
      <c r="P186" s="42"/>
      <c r="Q186" s="26" t="s">
        <v>14</v>
      </c>
      <c r="R186" s="10"/>
      <c r="S186" s="26" t="s">
        <v>14</v>
      </c>
      <c r="T186" s="10"/>
      <c r="U186" s="26" t="s">
        <v>14</v>
      </c>
      <c r="V186" s="10"/>
      <c r="W186" s="26" t="s">
        <v>14</v>
      </c>
      <c r="X186" s="10"/>
      <c r="Y186" s="26" t="s">
        <v>14</v>
      </c>
      <c r="Z186" s="46" t="str">
        <f t="shared" si="7"/>
        <v>NA</v>
      </c>
      <c r="AA186" s="73" t="str">
        <f t="shared" si="6"/>
        <v>NÃO AVALIADO POR FALHA DE SINCRONISMO</v>
      </c>
      <c r="AB186" s="18" t="s">
        <v>108</v>
      </c>
      <c r="AC186" s="38" t="s">
        <v>1</v>
      </c>
      <c r="AD186" s="29" t="str">
        <f t="shared" si="8"/>
        <v>GUARULHOS</v>
      </c>
      <c r="AE186" s="21" t="s">
        <v>16</v>
      </c>
    </row>
    <row r="187" spans="1:31" ht="30" customHeight="1" x14ac:dyDescent="0.2">
      <c r="A187" s="82" t="s">
        <v>101</v>
      </c>
      <c r="B187" s="96">
        <v>2689904231</v>
      </c>
      <c r="C187" s="82" t="s">
        <v>65</v>
      </c>
      <c r="D187" s="82" t="s">
        <v>58</v>
      </c>
      <c r="E187" s="82" t="s">
        <v>102</v>
      </c>
      <c r="F187" s="82" t="s">
        <v>1234</v>
      </c>
      <c r="G187" s="82">
        <v>376</v>
      </c>
      <c r="H187" s="82" t="s">
        <v>2219</v>
      </c>
      <c r="I187" s="82" t="s">
        <v>277</v>
      </c>
      <c r="J187" s="82" t="s">
        <v>1979</v>
      </c>
      <c r="K187" s="82" t="s">
        <v>2007</v>
      </c>
      <c r="L187" s="86" t="s">
        <v>480</v>
      </c>
      <c r="M187" s="86">
        <v>46238.630555555559</v>
      </c>
      <c r="N187" s="82" t="s">
        <v>597</v>
      </c>
      <c r="O187" s="85" t="s">
        <v>108</v>
      </c>
      <c r="P187" s="1"/>
      <c r="Q187" s="28" t="s">
        <v>108</v>
      </c>
      <c r="R187" s="18"/>
      <c r="S187" s="28" t="s">
        <v>108</v>
      </c>
      <c r="T187" s="18"/>
      <c r="U187" s="28" t="s">
        <v>108</v>
      </c>
      <c r="V187" s="18"/>
      <c r="W187" s="28" t="s">
        <v>108</v>
      </c>
      <c r="X187" s="18"/>
      <c r="Y187" s="28" t="s">
        <v>108</v>
      </c>
      <c r="Z187" s="46" t="str">
        <f t="shared" si="7"/>
        <v>C</v>
      </c>
      <c r="AA187" s="73" t="str">
        <f t="shared" si="6"/>
        <v>UTILIZOU O PDA CORRETAMENTE</v>
      </c>
      <c r="AB187" s="18" t="s">
        <v>108</v>
      </c>
      <c r="AC187" s="38" t="s">
        <v>1</v>
      </c>
      <c r="AD187" s="29" t="str">
        <f t="shared" si="8"/>
        <v>GUARULHOS</v>
      </c>
      <c r="AE187" s="21" t="s">
        <v>16</v>
      </c>
    </row>
    <row r="188" spans="1:31" ht="30" customHeight="1" x14ac:dyDescent="0.2">
      <c r="A188" s="82" t="s">
        <v>101</v>
      </c>
      <c r="B188" s="96">
        <v>2689934601</v>
      </c>
      <c r="C188" s="82" t="s">
        <v>65</v>
      </c>
      <c r="D188" s="82" t="s">
        <v>58</v>
      </c>
      <c r="E188" s="82" t="s">
        <v>102</v>
      </c>
      <c r="F188" s="82" t="s">
        <v>298</v>
      </c>
      <c r="G188" s="82">
        <v>229</v>
      </c>
      <c r="H188" s="82" t="s">
        <v>117</v>
      </c>
      <c r="I188" s="82" t="s">
        <v>204</v>
      </c>
      <c r="J188" s="82" t="s">
        <v>1979</v>
      </c>
      <c r="K188" s="82" t="s">
        <v>2067</v>
      </c>
      <c r="L188" s="86" t="s">
        <v>480</v>
      </c>
      <c r="M188" s="86">
        <v>46238.671527777777</v>
      </c>
      <c r="N188" s="82" t="s">
        <v>1980</v>
      </c>
      <c r="O188" s="85" t="s">
        <v>108</v>
      </c>
      <c r="P188" s="1"/>
      <c r="Q188" s="28" t="s">
        <v>108</v>
      </c>
      <c r="R188" s="18"/>
      <c r="S188" s="28" t="s">
        <v>108</v>
      </c>
      <c r="T188" s="18"/>
      <c r="U188" s="28" t="s">
        <v>108</v>
      </c>
      <c r="V188" s="18"/>
      <c r="W188" s="28" t="s">
        <v>108</v>
      </c>
      <c r="X188" s="18"/>
      <c r="Y188" s="28" t="s">
        <v>108</v>
      </c>
      <c r="Z188" s="46" t="str">
        <f t="shared" si="7"/>
        <v>C</v>
      </c>
      <c r="AA188" s="73" t="str">
        <f t="shared" si="6"/>
        <v>UTILIZOU O PDA CORRETAMENTE</v>
      </c>
      <c r="AB188" s="18" t="s">
        <v>108</v>
      </c>
      <c r="AC188" s="38" t="s">
        <v>1</v>
      </c>
      <c r="AD188" s="29" t="str">
        <f t="shared" si="8"/>
        <v>GUARULHOS</v>
      </c>
      <c r="AE188" s="21" t="s">
        <v>16</v>
      </c>
    </row>
    <row r="189" spans="1:31" ht="30" customHeight="1" x14ac:dyDescent="0.2">
      <c r="A189" s="82" t="s">
        <v>101</v>
      </c>
      <c r="B189" s="96">
        <v>2689958692</v>
      </c>
      <c r="C189" s="82" t="s">
        <v>62</v>
      </c>
      <c r="D189" s="82" t="s">
        <v>58</v>
      </c>
      <c r="E189" s="82" t="s">
        <v>102</v>
      </c>
      <c r="F189" s="82" t="s">
        <v>1171</v>
      </c>
      <c r="G189" s="82">
        <v>10</v>
      </c>
      <c r="H189" s="82" t="s">
        <v>148</v>
      </c>
      <c r="I189" s="82" t="s">
        <v>1172</v>
      </c>
      <c r="J189" s="82" t="s">
        <v>2011</v>
      </c>
      <c r="K189" s="82" t="s">
        <v>2220</v>
      </c>
      <c r="L189" s="86" t="s">
        <v>480</v>
      </c>
      <c r="M189" s="86">
        <v>46238.672222222223</v>
      </c>
      <c r="N189" s="82" t="s">
        <v>452</v>
      </c>
      <c r="O189" s="85" t="s">
        <v>108</v>
      </c>
      <c r="P189" s="1"/>
      <c r="Q189" s="28" t="s">
        <v>108</v>
      </c>
      <c r="R189" s="18"/>
      <c r="S189" s="28" t="s">
        <v>108</v>
      </c>
      <c r="T189" s="18"/>
      <c r="U189" s="28" t="s">
        <v>108</v>
      </c>
      <c r="V189" s="18"/>
      <c r="W189" s="28" t="s">
        <v>214</v>
      </c>
      <c r="X189" s="18"/>
      <c r="Y189" s="28" t="s">
        <v>108</v>
      </c>
      <c r="Z189" s="46" t="str">
        <f t="shared" si="7"/>
        <v>NC</v>
      </c>
      <c r="AA189" s="73" t="str">
        <f t="shared" si="6"/>
        <v>UTILIZOU O PDA CORRETAMENTE. NÃO HÁ FOTOS DE TODAS AS ETAPAS</v>
      </c>
      <c r="AB189" s="18" t="s">
        <v>108</v>
      </c>
      <c r="AC189" s="38" t="s">
        <v>1</v>
      </c>
      <c r="AD189" s="29" t="str">
        <f t="shared" si="8"/>
        <v>GUARULHOS</v>
      </c>
      <c r="AE189" s="21" t="s">
        <v>16</v>
      </c>
    </row>
    <row r="190" spans="1:31" ht="30" customHeight="1" x14ac:dyDescent="0.2">
      <c r="A190" s="82" t="s">
        <v>101</v>
      </c>
      <c r="B190" s="96">
        <v>2689978650</v>
      </c>
      <c r="C190" s="82" t="s">
        <v>60</v>
      </c>
      <c r="D190" s="82" t="s">
        <v>16</v>
      </c>
      <c r="E190" s="82" t="s">
        <v>102</v>
      </c>
      <c r="F190" s="82" t="s">
        <v>1465</v>
      </c>
      <c r="G190" s="82">
        <v>60</v>
      </c>
      <c r="H190" s="82" t="s">
        <v>2221</v>
      </c>
      <c r="I190" s="82" t="s">
        <v>1467</v>
      </c>
      <c r="J190" s="82" t="s">
        <v>1979</v>
      </c>
      <c r="K190" s="82"/>
      <c r="L190" s="86" t="s">
        <v>527</v>
      </c>
      <c r="M190" s="86">
        <v>46269.463194444441</v>
      </c>
      <c r="N190" s="82" t="s">
        <v>185</v>
      </c>
      <c r="O190" s="85" t="s">
        <v>108</v>
      </c>
      <c r="P190" s="1"/>
      <c r="Q190" s="28" t="s">
        <v>108</v>
      </c>
      <c r="R190" s="18"/>
      <c r="S190" s="28" t="s">
        <v>108</v>
      </c>
      <c r="T190" s="18"/>
      <c r="U190" s="28" t="s">
        <v>108</v>
      </c>
      <c r="V190" s="18"/>
      <c r="W190" s="28" t="s">
        <v>108</v>
      </c>
      <c r="X190" s="18"/>
      <c r="Y190" s="28" t="s">
        <v>108</v>
      </c>
      <c r="Z190" s="46" t="str">
        <f t="shared" si="7"/>
        <v>C</v>
      </c>
      <c r="AA190" s="73" t="str">
        <f t="shared" si="6"/>
        <v>UTILIZOU O PDA CORRETAMENTE</v>
      </c>
      <c r="AB190" s="18" t="s">
        <v>108</v>
      </c>
      <c r="AC190" s="38" t="s">
        <v>1</v>
      </c>
      <c r="AD190" s="29" t="str">
        <f t="shared" si="8"/>
        <v>GUARULHOS</v>
      </c>
      <c r="AE190" s="21" t="s">
        <v>16</v>
      </c>
    </row>
    <row r="191" spans="1:31" ht="30" customHeight="1" x14ac:dyDescent="0.2">
      <c r="A191" s="82" t="s">
        <v>101</v>
      </c>
      <c r="B191" s="96">
        <v>2689977551</v>
      </c>
      <c r="C191" s="82" t="s">
        <v>60</v>
      </c>
      <c r="D191" s="82" t="s">
        <v>16</v>
      </c>
      <c r="E191" s="82" t="s">
        <v>102</v>
      </c>
      <c r="F191" s="82" t="s">
        <v>2222</v>
      </c>
      <c r="G191" s="82">
        <v>58</v>
      </c>
      <c r="H191" s="82" t="s">
        <v>2223</v>
      </c>
      <c r="I191" s="82" t="s">
        <v>139</v>
      </c>
      <c r="J191" s="82" t="s">
        <v>1979</v>
      </c>
      <c r="K191" s="82" t="s">
        <v>117</v>
      </c>
      <c r="L191" s="86" t="s">
        <v>527</v>
      </c>
      <c r="M191" s="86">
        <v>46269.429861111108</v>
      </c>
      <c r="N191" s="82" t="s">
        <v>185</v>
      </c>
      <c r="O191" s="85" t="s">
        <v>108</v>
      </c>
      <c r="P191" s="1"/>
      <c r="Q191" s="28" t="s">
        <v>108</v>
      </c>
      <c r="R191" s="18"/>
      <c r="S191" s="28" t="s">
        <v>108</v>
      </c>
      <c r="T191" s="18"/>
      <c r="U191" s="28" t="s">
        <v>108</v>
      </c>
      <c r="V191" s="18"/>
      <c r="W191" s="28" t="s">
        <v>108</v>
      </c>
      <c r="X191" s="18"/>
      <c r="Y191" s="28" t="s">
        <v>108</v>
      </c>
      <c r="Z191" s="46" t="str">
        <f t="shared" si="7"/>
        <v>C</v>
      </c>
      <c r="AA191" s="73" t="str">
        <f t="shared" si="6"/>
        <v>UTILIZOU O PDA CORRETAMENTE</v>
      </c>
      <c r="AB191" s="18" t="s">
        <v>108</v>
      </c>
      <c r="AC191" s="38" t="s">
        <v>1</v>
      </c>
      <c r="AD191" s="29" t="str">
        <f t="shared" si="8"/>
        <v>GUARULHOS</v>
      </c>
      <c r="AE191" s="21" t="s">
        <v>16</v>
      </c>
    </row>
    <row r="192" spans="1:31" ht="30" customHeight="1" x14ac:dyDescent="0.2">
      <c r="A192" s="82" t="s">
        <v>101</v>
      </c>
      <c r="B192" s="96">
        <v>2614849099</v>
      </c>
      <c r="C192" s="82" t="s">
        <v>60</v>
      </c>
      <c r="D192" s="82" t="s">
        <v>16</v>
      </c>
      <c r="E192" s="82" t="s">
        <v>102</v>
      </c>
      <c r="F192" s="82" t="s">
        <v>2224</v>
      </c>
      <c r="G192" s="82">
        <v>73</v>
      </c>
      <c r="H192" s="82"/>
      <c r="I192" s="82" t="s">
        <v>1644</v>
      </c>
      <c r="J192" s="82" t="s">
        <v>1975</v>
      </c>
      <c r="K192" s="82"/>
      <c r="L192" s="86" t="s">
        <v>527</v>
      </c>
      <c r="M192" s="86">
        <v>46269.420138888891</v>
      </c>
      <c r="N192" s="82" t="s">
        <v>767</v>
      </c>
      <c r="O192" s="85" t="s">
        <v>108</v>
      </c>
      <c r="P192" s="1"/>
      <c r="Q192" s="28" t="s">
        <v>108</v>
      </c>
      <c r="R192" s="18"/>
      <c r="S192" s="28" t="s">
        <v>108</v>
      </c>
      <c r="T192" s="18"/>
      <c r="U192" s="28" t="s">
        <v>108</v>
      </c>
      <c r="V192" s="18"/>
      <c r="W192" s="28" t="s">
        <v>108</v>
      </c>
      <c r="X192" s="18"/>
      <c r="Y192" s="28" t="s">
        <v>108</v>
      </c>
      <c r="Z192" s="46" t="str">
        <f t="shared" si="7"/>
        <v>C</v>
      </c>
      <c r="AA192" s="73" t="str">
        <f t="shared" si="6"/>
        <v>UTILIZOU O PDA CORRETAMENTE</v>
      </c>
      <c r="AB192" s="18" t="s">
        <v>108</v>
      </c>
      <c r="AC192" s="38" t="s">
        <v>1</v>
      </c>
      <c r="AD192" s="29" t="str">
        <f t="shared" si="8"/>
        <v>GUARULHOS</v>
      </c>
      <c r="AE192" s="21" t="s">
        <v>16</v>
      </c>
    </row>
    <row r="193" spans="1:31" ht="30" customHeight="1" x14ac:dyDescent="0.2">
      <c r="A193" s="82" t="s">
        <v>101</v>
      </c>
      <c r="B193" s="96">
        <v>2689981863</v>
      </c>
      <c r="C193" s="82" t="s">
        <v>60</v>
      </c>
      <c r="D193" s="82" t="s">
        <v>16</v>
      </c>
      <c r="E193" s="82" t="s">
        <v>102</v>
      </c>
      <c r="F193" s="82" t="s">
        <v>573</v>
      </c>
      <c r="G193" s="82">
        <v>368</v>
      </c>
      <c r="H193" s="82" t="s">
        <v>2225</v>
      </c>
      <c r="I193" s="82" t="s">
        <v>247</v>
      </c>
      <c r="J193" s="82" t="s">
        <v>1979</v>
      </c>
      <c r="K193" s="82" t="s">
        <v>117</v>
      </c>
      <c r="L193" s="86" t="s">
        <v>527</v>
      </c>
      <c r="M193" s="86">
        <v>46269.472222222219</v>
      </c>
      <c r="N193" s="82" t="s">
        <v>2000</v>
      </c>
      <c r="O193" s="85" t="s">
        <v>108</v>
      </c>
      <c r="P193" s="1"/>
      <c r="Q193" s="28" t="s">
        <v>108</v>
      </c>
      <c r="R193" s="18"/>
      <c r="S193" s="28" t="s">
        <v>108</v>
      </c>
      <c r="T193" s="18"/>
      <c r="U193" s="28" t="s">
        <v>108</v>
      </c>
      <c r="V193" s="18"/>
      <c r="W193" s="28" t="s">
        <v>108</v>
      </c>
      <c r="X193" s="18"/>
      <c r="Y193" s="28" t="s">
        <v>108</v>
      </c>
      <c r="Z193" s="46" t="str">
        <f t="shared" si="7"/>
        <v>C</v>
      </c>
      <c r="AA193" s="73" t="str">
        <f t="shared" ref="AA193:AA221" si="9">IF(AND(Y193="C",Z193="C"),"UTILIZOU O PDA CORRETAMENTE",IF(AND(Y193="C",Z193="NC"),"UTILIZOU O PDA CORRETAMENTE. NÃO HÁ FOTOS DE TODAS AS ETAPAS",IF(AND(Y193="NC",Z193="NC"),"NÃO UTILIZOU O PDA",IF(AND(Y193="NA",Z193="NA"),"NÃO AVALIADO POR FALHA DE SINCRONISMO"))))</f>
        <v>UTILIZOU O PDA CORRETAMENTE</v>
      </c>
      <c r="AB193" s="18" t="s">
        <v>108</v>
      </c>
      <c r="AC193" s="38" t="s">
        <v>1</v>
      </c>
      <c r="AD193" s="29" t="str">
        <f t="shared" si="8"/>
        <v>GUARULHOS</v>
      </c>
      <c r="AE193" s="21" t="s">
        <v>16</v>
      </c>
    </row>
    <row r="194" spans="1:31" ht="30" customHeight="1" x14ac:dyDescent="0.2">
      <c r="A194" s="82" t="s">
        <v>101</v>
      </c>
      <c r="B194" s="96">
        <v>2614836650</v>
      </c>
      <c r="C194" s="82" t="s">
        <v>59</v>
      </c>
      <c r="D194" s="82" t="s">
        <v>16</v>
      </c>
      <c r="E194" s="82" t="s">
        <v>102</v>
      </c>
      <c r="F194" s="82" t="s">
        <v>1691</v>
      </c>
      <c r="G194" s="82">
        <v>74</v>
      </c>
      <c r="H194" s="82" t="s">
        <v>1941</v>
      </c>
      <c r="I194" s="82" t="s">
        <v>177</v>
      </c>
      <c r="J194" s="82" t="s">
        <v>1979</v>
      </c>
      <c r="K194" s="82"/>
      <c r="L194" s="86" t="s">
        <v>527</v>
      </c>
      <c r="M194" s="86">
        <v>46269.37222222222</v>
      </c>
      <c r="N194" s="82" t="s">
        <v>2000</v>
      </c>
      <c r="O194" s="85" t="s">
        <v>108</v>
      </c>
      <c r="P194" s="1"/>
      <c r="Q194" s="28" t="s">
        <v>214</v>
      </c>
      <c r="R194" s="18"/>
      <c r="S194" s="28" t="s">
        <v>108</v>
      </c>
      <c r="T194" s="18"/>
      <c r="U194" s="28" t="s">
        <v>108</v>
      </c>
      <c r="V194" s="18"/>
      <c r="W194" s="28" t="s">
        <v>108</v>
      </c>
      <c r="X194" s="18"/>
      <c r="Y194" s="28" t="s">
        <v>108</v>
      </c>
      <c r="Z194" s="46" t="str">
        <f t="shared" ref="Z194:Z221" si="10">IF(AND(O194="",Q194="",S194="",U194="",W194=""),"",IF(OR(AND(O194&lt;&gt;"NA",O194&lt;&gt;"C",O194&lt;&gt;"NC",O194&lt;&gt;"SF",O194&lt;&gt;""),AND(Q194&lt;&gt;"NA",Q194&lt;&gt;"C",Q194&lt;&gt;"NC",Q194&lt;&gt;"SF",Q194&lt;&gt;""),AND(S194&lt;&gt;"NA",S194&lt;&gt;"C",S194&lt;&gt;"NC",S194&lt;&gt;"SF",S194&lt;&gt;""),AND(U194&lt;&gt;"NA",U194&lt;&gt;"C",U194&lt;&gt;"NC",U194&lt;&gt;"SF",U194&lt;&gt;""),AND(W194&lt;&gt;"NA",W194&lt;&gt;"C",W194&lt;&gt;"NC",W194&lt;&gt;"SF",W194&lt;&gt;"")),"FALSO",IF(AND(O194="NA",Q194="NA",S194="NA",U194="NA",W194="NA"),"NA",IF(OR(O194="NC",Q194="NC",S194="NC",U194="NC",W194="NC",O194="SF",Q194="SF",S194="SF",U194="SF",W194="SF"),"NC",IF(OR(O194="C",Q194="C",S194="C",U194="C",W194="C"),"C","")))))</f>
        <v>NC</v>
      </c>
      <c r="AA194" s="73" t="str">
        <f t="shared" si="9"/>
        <v>UTILIZOU O PDA CORRETAMENTE. NÃO HÁ FOTOS DE TODAS AS ETAPAS</v>
      </c>
      <c r="AB194" s="18" t="s">
        <v>108</v>
      </c>
      <c r="AC194" s="38" t="s">
        <v>1</v>
      </c>
      <c r="AD194" s="29" t="str">
        <f t="shared" ref="AD194:AD221" si="11">E194</f>
        <v>GUARULHOS</v>
      </c>
      <c r="AE194" s="21" t="s">
        <v>16</v>
      </c>
    </row>
    <row r="195" spans="1:31" ht="30" customHeight="1" x14ac:dyDescent="0.2">
      <c r="A195" s="82" t="s">
        <v>101</v>
      </c>
      <c r="B195" s="96">
        <v>2689948394</v>
      </c>
      <c r="C195" s="82" t="s">
        <v>60</v>
      </c>
      <c r="D195" s="82" t="s">
        <v>16</v>
      </c>
      <c r="E195" s="82" t="s">
        <v>102</v>
      </c>
      <c r="F195" s="82" t="s">
        <v>916</v>
      </c>
      <c r="G195" s="82">
        <v>1261</v>
      </c>
      <c r="H195" s="82" t="s">
        <v>2226</v>
      </c>
      <c r="I195" s="82" t="s">
        <v>104</v>
      </c>
      <c r="J195" s="82" t="s">
        <v>1979</v>
      </c>
      <c r="K195" s="82" t="s">
        <v>117</v>
      </c>
      <c r="L195" s="86" t="s">
        <v>527</v>
      </c>
      <c r="M195" s="86">
        <v>46269.491666666669</v>
      </c>
      <c r="N195" s="82" t="s">
        <v>1980</v>
      </c>
      <c r="O195" s="85" t="s">
        <v>108</v>
      </c>
      <c r="P195" s="1"/>
      <c r="Q195" s="28" t="s">
        <v>108</v>
      </c>
      <c r="R195" s="18"/>
      <c r="S195" s="28" t="s">
        <v>108</v>
      </c>
      <c r="T195" s="18"/>
      <c r="U195" s="28" t="s">
        <v>108</v>
      </c>
      <c r="V195" s="18"/>
      <c r="W195" s="28" t="s">
        <v>108</v>
      </c>
      <c r="X195" s="18"/>
      <c r="Y195" s="28" t="s">
        <v>108</v>
      </c>
      <c r="Z195" s="46" t="str">
        <f t="shared" si="10"/>
        <v>C</v>
      </c>
      <c r="AA195" s="73" t="str">
        <f t="shared" si="9"/>
        <v>UTILIZOU O PDA CORRETAMENTE</v>
      </c>
      <c r="AB195" s="18" t="s">
        <v>108</v>
      </c>
      <c r="AC195" s="38" t="s">
        <v>1</v>
      </c>
      <c r="AD195" s="29" t="str">
        <f t="shared" si="11"/>
        <v>GUARULHOS</v>
      </c>
      <c r="AE195" s="21" t="s">
        <v>16</v>
      </c>
    </row>
    <row r="196" spans="1:31" ht="30" customHeight="1" x14ac:dyDescent="0.2">
      <c r="A196" s="82" t="s">
        <v>101</v>
      </c>
      <c r="B196" s="96">
        <v>2614821979</v>
      </c>
      <c r="C196" s="82" t="s">
        <v>60</v>
      </c>
      <c r="D196" s="82" t="s">
        <v>16</v>
      </c>
      <c r="E196" s="82" t="s">
        <v>102</v>
      </c>
      <c r="F196" s="82" t="s">
        <v>1013</v>
      </c>
      <c r="G196" s="82">
        <v>799</v>
      </c>
      <c r="H196" s="82" t="s">
        <v>138</v>
      </c>
      <c r="I196" s="82" t="s">
        <v>154</v>
      </c>
      <c r="J196" s="82" t="s">
        <v>1979</v>
      </c>
      <c r="K196" s="82"/>
      <c r="L196" s="86" t="s">
        <v>527</v>
      </c>
      <c r="M196" s="86">
        <v>46269.450694444444</v>
      </c>
      <c r="N196" s="82" t="s">
        <v>1980</v>
      </c>
      <c r="O196" s="85" t="s">
        <v>108</v>
      </c>
      <c r="P196" s="1"/>
      <c r="Q196" s="28" t="s">
        <v>108</v>
      </c>
      <c r="R196" s="18"/>
      <c r="S196" s="28" t="s">
        <v>108</v>
      </c>
      <c r="T196" s="18"/>
      <c r="U196" s="28" t="s">
        <v>108</v>
      </c>
      <c r="V196" s="18"/>
      <c r="W196" s="28" t="s">
        <v>108</v>
      </c>
      <c r="X196" s="18"/>
      <c r="Y196" s="28" t="s">
        <v>108</v>
      </c>
      <c r="Z196" s="46" t="str">
        <f t="shared" si="10"/>
        <v>C</v>
      </c>
      <c r="AA196" s="73" t="str">
        <f t="shared" si="9"/>
        <v>UTILIZOU O PDA CORRETAMENTE</v>
      </c>
      <c r="AB196" s="18" t="s">
        <v>108</v>
      </c>
      <c r="AC196" s="38" t="s">
        <v>1</v>
      </c>
      <c r="AD196" s="29" t="str">
        <f t="shared" si="11"/>
        <v>GUARULHOS</v>
      </c>
      <c r="AE196" s="21" t="s">
        <v>16</v>
      </c>
    </row>
    <row r="197" spans="1:31" ht="30" customHeight="1" x14ac:dyDescent="0.2">
      <c r="A197" s="82" t="s">
        <v>101</v>
      </c>
      <c r="B197" s="96">
        <v>2689975154</v>
      </c>
      <c r="C197" s="82" t="s">
        <v>60</v>
      </c>
      <c r="D197" s="82" t="s">
        <v>16</v>
      </c>
      <c r="E197" s="82" t="s">
        <v>102</v>
      </c>
      <c r="F197" s="82" t="s">
        <v>2227</v>
      </c>
      <c r="G197" s="82">
        <v>319</v>
      </c>
      <c r="H197" s="82" t="s">
        <v>117</v>
      </c>
      <c r="I197" s="82" t="s">
        <v>277</v>
      </c>
      <c r="J197" s="82" t="s">
        <v>1979</v>
      </c>
      <c r="K197" s="82" t="s">
        <v>117</v>
      </c>
      <c r="L197" s="86" t="s">
        <v>527</v>
      </c>
      <c r="M197" s="86">
        <v>46269.491666666669</v>
      </c>
      <c r="N197" s="82" t="s">
        <v>597</v>
      </c>
      <c r="O197" s="85" t="s">
        <v>108</v>
      </c>
      <c r="P197" s="1"/>
      <c r="Q197" s="28" t="s">
        <v>108</v>
      </c>
      <c r="R197" s="18"/>
      <c r="S197" s="28" t="s">
        <v>108</v>
      </c>
      <c r="T197" s="18"/>
      <c r="U197" s="28" t="s">
        <v>108</v>
      </c>
      <c r="V197" s="18"/>
      <c r="W197" s="28" t="s">
        <v>108</v>
      </c>
      <c r="X197" s="18"/>
      <c r="Y197" s="28" t="s">
        <v>108</v>
      </c>
      <c r="Z197" s="46" t="str">
        <f t="shared" si="10"/>
        <v>C</v>
      </c>
      <c r="AA197" s="73" t="str">
        <f t="shared" si="9"/>
        <v>UTILIZOU O PDA CORRETAMENTE</v>
      </c>
      <c r="AB197" s="18" t="s">
        <v>108</v>
      </c>
      <c r="AC197" s="38" t="s">
        <v>1</v>
      </c>
      <c r="AD197" s="29" t="str">
        <f t="shared" si="11"/>
        <v>GUARULHOS</v>
      </c>
      <c r="AE197" s="21" t="s">
        <v>16</v>
      </c>
    </row>
    <row r="198" spans="1:31" ht="30" customHeight="1" x14ac:dyDescent="0.2">
      <c r="A198" s="82" t="s">
        <v>101</v>
      </c>
      <c r="B198" s="96">
        <v>2689961247</v>
      </c>
      <c r="C198" s="82" t="s">
        <v>60</v>
      </c>
      <c r="D198" s="82" t="s">
        <v>16</v>
      </c>
      <c r="E198" s="82" t="s">
        <v>102</v>
      </c>
      <c r="F198" s="82" t="s">
        <v>2228</v>
      </c>
      <c r="G198" s="82">
        <v>149</v>
      </c>
      <c r="H198" s="82" t="s">
        <v>2229</v>
      </c>
      <c r="I198" s="82" t="s">
        <v>111</v>
      </c>
      <c r="J198" s="82" t="s">
        <v>1979</v>
      </c>
      <c r="K198" s="82"/>
      <c r="L198" s="86" t="s">
        <v>527</v>
      </c>
      <c r="M198" s="86">
        <v>46269.427777777775</v>
      </c>
      <c r="N198" s="82" t="s">
        <v>1986</v>
      </c>
      <c r="O198" s="85" t="s">
        <v>108</v>
      </c>
      <c r="P198" s="1"/>
      <c r="Q198" s="28" t="s">
        <v>108</v>
      </c>
      <c r="R198" s="18"/>
      <c r="S198" s="28" t="s">
        <v>108</v>
      </c>
      <c r="T198" s="18"/>
      <c r="U198" s="28" t="s">
        <v>108</v>
      </c>
      <c r="V198" s="18"/>
      <c r="W198" s="28" t="s">
        <v>108</v>
      </c>
      <c r="X198" s="18"/>
      <c r="Y198" s="28" t="s">
        <v>108</v>
      </c>
      <c r="Z198" s="46" t="str">
        <f t="shared" si="10"/>
        <v>C</v>
      </c>
      <c r="AA198" s="73" t="str">
        <f t="shared" si="9"/>
        <v>UTILIZOU O PDA CORRETAMENTE</v>
      </c>
      <c r="AB198" s="18" t="s">
        <v>108</v>
      </c>
      <c r="AC198" s="38" t="s">
        <v>1</v>
      </c>
      <c r="AD198" s="29" t="str">
        <f t="shared" si="11"/>
        <v>GUARULHOS</v>
      </c>
      <c r="AE198" s="21" t="s">
        <v>16</v>
      </c>
    </row>
    <row r="199" spans="1:31" ht="30" customHeight="1" x14ac:dyDescent="0.2">
      <c r="A199" s="82" t="s">
        <v>101</v>
      </c>
      <c r="B199" s="96">
        <v>2690007657</v>
      </c>
      <c r="C199" s="82" t="s">
        <v>60</v>
      </c>
      <c r="D199" s="82" t="s">
        <v>16</v>
      </c>
      <c r="E199" s="82" t="s">
        <v>102</v>
      </c>
      <c r="F199" s="82" t="s">
        <v>2216</v>
      </c>
      <c r="G199" s="82">
        <v>134</v>
      </c>
      <c r="H199" s="82" t="s">
        <v>2230</v>
      </c>
      <c r="I199" s="82" t="s">
        <v>2217</v>
      </c>
      <c r="J199" s="82" t="s">
        <v>1979</v>
      </c>
      <c r="K199" s="82"/>
      <c r="L199" s="86" t="s">
        <v>527</v>
      </c>
      <c r="M199" s="86">
        <v>46269.400694444441</v>
      </c>
      <c r="N199" s="82" t="s">
        <v>185</v>
      </c>
      <c r="O199" s="85" t="s">
        <v>108</v>
      </c>
      <c r="P199" s="1"/>
      <c r="Q199" s="28" t="s">
        <v>108</v>
      </c>
      <c r="R199" s="18"/>
      <c r="S199" s="28" t="s">
        <v>108</v>
      </c>
      <c r="T199" s="18"/>
      <c r="U199" s="28" t="s">
        <v>108</v>
      </c>
      <c r="V199" s="18"/>
      <c r="W199" s="28" t="s">
        <v>108</v>
      </c>
      <c r="X199" s="18"/>
      <c r="Y199" s="28" t="s">
        <v>108</v>
      </c>
      <c r="Z199" s="46" t="str">
        <f t="shared" si="10"/>
        <v>C</v>
      </c>
      <c r="AA199" s="73" t="str">
        <f t="shared" si="9"/>
        <v>UTILIZOU O PDA CORRETAMENTE</v>
      </c>
      <c r="AB199" s="18" t="s">
        <v>108</v>
      </c>
      <c r="AC199" s="38" t="s">
        <v>1</v>
      </c>
      <c r="AD199" s="29" t="str">
        <f t="shared" si="11"/>
        <v>GUARULHOS</v>
      </c>
      <c r="AE199" s="21" t="s">
        <v>16</v>
      </c>
    </row>
    <row r="200" spans="1:31" ht="30" customHeight="1" x14ac:dyDescent="0.2">
      <c r="A200" s="82" t="s">
        <v>101</v>
      </c>
      <c r="B200" s="96">
        <v>2690033851</v>
      </c>
      <c r="C200" s="82" t="s">
        <v>60</v>
      </c>
      <c r="D200" s="82" t="s">
        <v>16</v>
      </c>
      <c r="E200" s="82" t="s">
        <v>102</v>
      </c>
      <c r="F200" s="82" t="s">
        <v>2231</v>
      </c>
      <c r="G200" s="82">
        <v>53</v>
      </c>
      <c r="H200" s="82"/>
      <c r="I200" s="82" t="s">
        <v>282</v>
      </c>
      <c r="J200" s="82" t="s">
        <v>1979</v>
      </c>
      <c r="K200" s="82"/>
      <c r="L200" s="86" t="s">
        <v>527</v>
      </c>
      <c r="M200" s="86">
        <v>46269.427777777775</v>
      </c>
      <c r="N200" s="82" t="s">
        <v>1980</v>
      </c>
      <c r="O200" s="85" t="s">
        <v>108</v>
      </c>
      <c r="P200" s="1"/>
      <c r="Q200" s="28" t="s">
        <v>108</v>
      </c>
      <c r="R200" s="18"/>
      <c r="S200" s="28" t="s">
        <v>108</v>
      </c>
      <c r="T200" s="18"/>
      <c r="U200" s="28" t="s">
        <v>108</v>
      </c>
      <c r="V200" s="18"/>
      <c r="W200" s="28" t="s">
        <v>108</v>
      </c>
      <c r="X200" s="18"/>
      <c r="Y200" s="28" t="s">
        <v>108</v>
      </c>
      <c r="Z200" s="46" t="str">
        <f t="shared" si="10"/>
        <v>C</v>
      </c>
      <c r="AA200" s="73" t="str">
        <f t="shared" si="9"/>
        <v>UTILIZOU O PDA CORRETAMENTE</v>
      </c>
      <c r="AB200" s="18" t="s">
        <v>108</v>
      </c>
      <c r="AC200" s="38" t="s">
        <v>1</v>
      </c>
      <c r="AD200" s="29" t="str">
        <f t="shared" si="11"/>
        <v>GUARULHOS</v>
      </c>
      <c r="AE200" s="21" t="s">
        <v>16</v>
      </c>
    </row>
    <row r="201" spans="1:31" ht="30" customHeight="1" x14ac:dyDescent="0.2">
      <c r="A201" s="82" t="s">
        <v>101</v>
      </c>
      <c r="B201" s="96">
        <v>2615070950</v>
      </c>
      <c r="C201" s="82" t="s">
        <v>60</v>
      </c>
      <c r="D201" s="82" t="s">
        <v>16</v>
      </c>
      <c r="E201" s="82" t="s">
        <v>102</v>
      </c>
      <c r="F201" s="82" t="s">
        <v>2232</v>
      </c>
      <c r="G201" s="82">
        <v>174</v>
      </c>
      <c r="H201" s="82"/>
      <c r="I201" s="82" t="s">
        <v>139</v>
      </c>
      <c r="J201" s="82" t="s">
        <v>1979</v>
      </c>
      <c r="K201" s="82"/>
      <c r="L201" s="86" t="s">
        <v>527</v>
      </c>
      <c r="M201" s="86">
        <v>46269.478472222225</v>
      </c>
      <c r="N201" s="82" t="s">
        <v>597</v>
      </c>
      <c r="O201" s="85" t="s">
        <v>108</v>
      </c>
      <c r="P201" s="1"/>
      <c r="Q201" s="28" t="s">
        <v>108</v>
      </c>
      <c r="R201" s="18"/>
      <c r="S201" s="28" t="s">
        <v>108</v>
      </c>
      <c r="T201" s="18"/>
      <c r="U201" s="28" t="s">
        <v>108</v>
      </c>
      <c r="V201" s="18"/>
      <c r="W201" s="28" t="s">
        <v>108</v>
      </c>
      <c r="X201" s="18"/>
      <c r="Y201" s="28" t="s">
        <v>108</v>
      </c>
      <c r="Z201" s="46" t="str">
        <f t="shared" si="10"/>
        <v>C</v>
      </c>
      <c r="AA201" s="73" t="str">
        <f t="shared" si="9"/>
        <v>UTILIZOU O PDA CORRETAMENTE</v>
      </c>
      <c r="AB201" s="18" t="s">
        <v>108</v>
      </c>
      <c r="AC201" s="38" t="s">
        <v>1</v>
      </c>
      <c r="AD201" s="29" t="str">
        <f t="shared" si="11"/>
        <v>GUARULHOS</v>
      </c>
      <c r="AE201" s="21" t="s">
        <v>16</v>
      </c>
    </row>
    <row r="202" spans="1:31" ht="30" customHeight="1" x14ac:dyDescent="0.2">
      <c r="A202" s="82" t="s">
        <v>101</v>
      </c>
      <c r="B202" s="96">
        <v>2690042020</v>
      </c>
      <c r="C202" s="82" t="s">
        <v>60</v>
      </c>
      <c r="D202" s="82" t="s">
        <v>16</v>
      </c>
      <c r="E202" s="82" t="s">
        <v>102</v>
      </c>
      <c r="F202" s="82" t="s">
        <v>451</v>
      </c>
      <c r="G202" s="82">
        <v>501</v>
      </c>
      <c r="H202" s="82" t="s">
        <v>117</v>
      </c>
      <c r="I202" s="82" t="s">
        <v>264</v>
      </c>
      <c r="J202" s="82" t="s">
        <v>1979</v>
      </c>
      <c r="K202" s="82" t="s">
        <v>117</v>
      </c>
      <c r="L202" s="86" t="s">
        <v>527</v>
      </c>
      <c r="M202" s="86">
        <v>46269.518055555556</v>
      </c>
      <c r="N202" s="82" t="s">
        <v>185</v>
      </c>
      <c r="O202" s="85" t="s">
        <v>108</v>
      </c>
      <c r="P202" s="1"/>
      <c r="Q202" s="28" t="s">
        <v>108</v>
      </c>
      <c r="R202" s="18"/>
      <c r="S202" s="28" t="s">
        <v>108</v>
      </c>
      <c r="T202" s="18"/>
      <c r="U202" s="28" t="s">
        <v>108</v>
      </c>
      <c r="V202" s="18"/>
      <c r="W202" s="28" t="s">
        <v>108</v>
      </c>
      <c r="X202" s="18"/>
      <c r="Y202" s="28" t="s">
        <v>108</v>
      </c>
      <c r="Z202" s="46" t="str">
        <f t="shared" si="10"/>
        <v>C</v>
      </c>
      <c r="AA202" s="73" t="str">
        <f t="shared" si="9"/>
        <v>UTILIZOU O PDA CORRETAMENTE</v>
      </c>
      <c r="AB202" s="18"/>
      <c r="AC202" s="38" t="s">
        <v>1</v>
      </c>
      <c r="AD202" s="29" t="str">
        <f t="shared" si="11"/>
        <v>GUARULHOS</v>
      </c>
      <c r="AE202" s="21" t="s">
        <v>16</v>
      </c>
    </row>
    <row r="203" spans="1:31" ht="30" customHeight="1" x14ac:dyDescent="0.2">
      <c r="A203" s="82" t="s">
        <v>101</v>
      </c>
      <c r="B203" s="96">
        <v>2689980717</v>
      </c>
      <c r="C203" s="82" t="s">
        <v>65</v>
      </c>
      <c r="D203" s="82" t="s">
        <v>58</v>
      </c>
      <c r="E203" s="82" t="s">
        <v>102</v>
      </c>
      <c r="F203" s="82" t="s">
        <v>2233</v>
      </c>
      <c r="G203" s="82">
        <v>157</v>
      </c>
      <c r="H203" s="82" t="s">
        <v>2234</v>
      </c>
      <c r="I203" s="82" t="s">
        <v>154</v>
      </c>
      <c r="J203" s="82" t="s">
        <v>1979</v>
      </c>
      <c r="K203" s="82" t="s">
        <v>2067</v>
      </c>
      <c r="L203" s="86" t="s">
        <v>527</v>
      </c>
      <c r="M203" s="86">
        <v>46269.411805555559</v>
      </c>
      <c r="N203" s="82" t="s">
        <v>1980</v>
      </c>
      <c r="O203" s="85" t="s">
        <v>108</v>
      </c>
      <c r="P203" s="1"/>
      <c r="Q203" s="28" t="s">
        <v>108</v>
      </c>
      <c r="R203" s="18"/>
      <c r="S203" s="28" t="s">
        <v>108</v>
      </c>
      <c r="T203" s="18"/>
      <c r="U203" s="28" t="s">
        <v>108</v>
      </c>
      <c r="V203" s="18"/>
      <c r="W203" s="28" t="s">
        <v>108</v>
      </c>
      <c r="X203" s="18"/>
      <c r="Y203" s="28" t="s">
        <v>108</v>
      </c>
      <c r="Z203" s="46" t="str">
        <f t="shared" si="10"/>
        <v>C</v>
      </c>
      <c r="AA203" s="73" t="str">
        <f t="shared" si="9"/>
        <v>UTILIZOU O PDA CORRETAMENTE</v>
      </c>
      <c r="AB203" s="18"/>
      <c r="AC203" s="38" t="s">
        <v>1</v>
      </c>
      <c r="AD203" s="29" t="str">
        <f t="shared" si="11"/>
        <v>GUARULHOS</v>
      </c>
      <c r="AE203" s="21" t="s">
        <v>16</v>
      </c>
    </row>
    <row r="204" spans="1:31" ht="30" customHeight="1" x14ac:dyDescent="0.2">
      <c r="A204" s="82" t="s">
        <v>101</v>
      </c>
      <c r="B204" s="96">
        <v>2690060437</v>
      </c>
      <c r="C204" s="82" t="s">
        <v>60</v>
      </c>
      <c r="D204" s="82" t="s">
        <v>16</v>
      </c>
      <c r="E204" s="82" t="s">
        <v>102</v>
      </c>
      <c r="F204" s="82" t="s">
        <v>1097</v>
      </c>
      <c r="G204" s="82">
        <v>275</v>
      </c>
      <c r="H204" s="82" t="s">
        <v>174</v>
      </c>
      <c r="I204" s="82" t="s">
        <v>1073</v>
      </c>
      <c r="J204" s="82" t="s">
        <v>1975</v>
      </c>
      <c r="K204" s="82"/>
      <c r="L204" s="86" t="s">
        <v>527</v>
      </c>
      <c r="M204" s="86">
        <v>46269.598611111112</v>
      </c>
      <c r="N204" s="82" t="s">
        <v>767</v>
      </c>
      <c r="O204" s="85" t="s">
        <v>108</v>
      </c>
      <c r="P204" s="1"/>
      <c r="Q204" s="28" t="s">
        <v>108</v>
      </c>
      <c r="R204" s="18"/>
      <c r="S204" s="28" t="s">
        <v>108</v>
      </c>
      <c r="T204" s="18"/>
      <c r="U204" s="28" t="s">
        <v>108</v>
      </c>
      <c r="V204" s="18"/>
      <c r="W204" s="28" t="s">
        <v>108</v>
      </c>
      <c r="X204" s="18"/>
      <c r="Y204" s="28" t="s">
        <v>108</v>
      </c>
      <c r="Z204" s="46" t="str">
        <f t="shared" si="10"/>
        <v>C</v>
      </c>
      <c r="AA204" s="73" t="str">
        <f t="shared" si="9"/>
        <v>UTILIZOU O PDA CORRETAMENTE</v>
      </c>
      <c r="AB204" s="18"/>
      <c r="AC204" s="38" t="s">
        <v>1</v>
      </c>
      <c r="AD204" s="29" t="str">
        <f t="shared" si="11"/>
        <v>GUARULHOS</v>
      </c>
      <c r="AE204" s="21" t="s">
        <v>16</v>
      </c>
    </row>
    <row r="205" spans="1:31" ht="30" customHeight="1" x14ac:dyDescent="0.2">
      <c r="A205" s="82" t="s">
        <v>101</v>
      </c>
      <c r="B205" s="96">
        <v>2614992869</v>
      </c>
      <c r="C205" s="82" t="s">
        <v>65</v>
      </c>
      <c r="D205" s="82" t="s">
        <v>58</v>
      </c>
      <c r="E205" s="82" t="s">
        <v>102</v>
      </c>
      <c r="F205" s="82" t="s">
        <v>2235</v>
      </c>
      <c r="G205" s="82">
        <v>70</v>
      </c>
      <c r="H205" s="82" t="s">
        <v>1061</v>
      </c>
      <c r="I205" s="82" t="s">
        <v>576</v>
      </c>
      <c r="J205" s="82" t="s">
        <v>1979</v>
      </c>
      <c r="K205" s="82" t="s">
        <v>117</v>
      </c>
      <c r="L205" s="86" t="s">
        <v>527</v>
      </c>
      <c r="M205" s="86">
        <v>46269.445833333331</v>
      </c>
      <c r="N205" s="82" t="s">
        <v>2000</v>
      </c>
      <c r="O205" s="85" t="s">
        <v>108</v>
      </c>
      <c r="P205" s="1"/>
      <c r="Q205" s="28" t="s">
        <v>108</v>
      </c>
      <c r="R205" s="18"/>
      <c r="S205" s="28" t="s">
        <v>108</v>
      </c>
      <c r="T205" s="18"/>
      <c r="U205" s="28" t="s">
        <v>108</v>
      </c>
      <c r="V205" s="18"/>
      <c r="W205" s="28" t="s">
        <v>108</v>
      </c>
      <c r="X205" s="18"/>
      <c r="Y205" s="28" t="s">
        <v>108</v>
      </c>
      <c r="Z205" s="46" t="str">
        <f t="shared" si="10"/>
        <v>C</v>
      </c>
      <c r="AA205" s="73" t="str">
        <f t="shared" si="9"/>
        <v>UTILIZOU O PDA CORRETAMENTE</v>
      </c>
      <c r="AB205" s="18"/>
      <c r="AC205" s="38" t="s">
        <v>1</v>
      </c>
      <c r="AD205" s="29" t="str">
        <f t="shared" si="11"/>
        <v>GUARULHOS</v>
      </c>
      <c r="AE205" s="21" t="s">
        <v>16</v>
      </c>
    </row>
    <row r="206" spans="1:31" ht="30" customHeight="1" x14ac:dyDescent="0.2">
      <c r="A206" s="82" t="s">
        <v>101</v>
      </c>
      <c r="B206" s="96">
        <v>2614827054</v>
      </c>
      <c r="C206" s="82" t="s">
        <v>59</v>
      </c>
      <c r="D206" s="82" t="s">
        <v>16</v>
      </c>
      <c r="E206" s="82" t="s">
        <v>102</v>
      </c>
      <c r="F206" s="82" t="s">
        <v>1198</v>
      </c>
      <c r="G206" s="82">
        <v>208</v>
      </c>
      <c r="H206" s="82" t="s">
        <v>2097</v>
      </c>
      <c r="I206" s="82" t="s">
        <v>531</v>
      </c>
      <c r="J206" s="82" t="s">
        <v>1975</v>
      </c>
      <c r="K206" s="82"/>
      <c r="L206" s="86" t="s">
        <v>527</v>
      </c>
      <c r="M206" s="86">
        <v>46269.446527777778</v>
      </c>
      <c r="N206" s="82" t="s">
        <v>160</v>
      </c>
      <c r="O206" s="85" t="s">
        <v>108</v>
      </c>
      <c r="P206" s="1"/>
      <c r="Q206" s="28" t="s">
        <v>108</v>
      </c>
      <c r="R206" s="18"/>
      <c r="S206" s="28" t="s">
        <v>108</v>
      </c>
      <c r="T206" s="18"/>
      <c r="U206" s="28" t="s">
        <v>108</v>
      </c>
      <c r="V206" s="18"/>
      <c r="W206" s="28" t="s">
        <v>108</v>
      </c>
      <c r="X206" s="18"/>
      <c r="Y206" s="28" t="s">
        <v>108</v>
      </c>
      <c r="Z206" s="46" t="str">
        <f t="shared" si="10"/>
        <v>C</v>
      </c>
      <c r="AA206" s="73" t="str">
        <f t="shared" si="9"/>
        <v>UTILIZOU O PDA CORRETAMENTE</v>
      </c>
      <c r="AB206" s="18"/>
      <c r="AC206" s="38" t="s">
        <v>1</v>
      </c>
      <c r="AD206" s="29" t="str">
        <f t="shared" si="11"/>
        <v>GUARULHOS</v>
      </c>
      <c r="AE206" s="21" t="s">
        <v>16</v>
      </c>
    </row>
    <row r="207" spans="1:31" ht="30" customHeight="1" x14ac:dyDescent="0.2">
      <c r="A207" s="82" t="s">
        <v>101</v>
      </c>
      <c r="B207" s="96">
        <v>2614821636</v>
      </c>
      <c r="C207" s="82" t="s">
        <v>65</v>
      </c>
      <c r="D207" s="82" t="s">
        <v>58</v>
      </c>
      <c r="E207" s="82" t="s">
        <v>102</v>
      </c>
      <c r="F207" s="82" t="s">
        <v>1762</v>
      </c>
      <c r="G207" s="82">
        <v>228</v>
      </c>
      <c r="H207" s="82" t="s">
        <v>117</v>
      </c>
      <c r="I207" s="82" t="s">
        <v>345</v>
      </c>
      <c r="J207" s="82" t="s">
        <v>1979</v>
      </c>
      <c r="K207" s="82" t="s">
        <v>2236</v>
      </c>
      <c r="L207" s="86" t="s">
        <v>527</v>
      </c>
      <c r="M207" s="86">
        <v>46269.430555555555</v>
      </c>
      <c r="N207" s="82" t="s">
        <v>1993</v>
      </c>
      <c r="O207" s="85" t="s">
        <v>108</v>
      </c>
      <c r="P207" s="1"/>
      <c r="Q207" s="28" t="s">
        <v>108</v>
      </c>
      <c r="R207" s="18"/>
      <c r="S207" s="28" t="s">
        <v>108</v>
      </c>
      <c r="T207" s="18"/>
      <c r="U207" s="28" t="s">
        <v>108</v>
      </c>
      <c r="V207" s="18"/>
      <c r="W207" s="28" t="s">
        <v>108</v>
      </c>
      <c r="X207" s="18"/>
      <c r="Y207" s="28" t="s">
        <v>108</v>
      </c>
      <c r="Z207" s="46" t="str">
        <f t="shared" si="10"/>
        <v>C</v>
      </c>
      <c r="AA207" s="73" t="str">
        <f t="shared" si="9"/>
        <v>UTILIZOU O PDA CORRETAMENTE</v>
      </c>
      <c r="AB207" s="18"/>
      <c r="AC207" s="38" t="s">
        <v>1</v>
      </c>
      <c r="AD207" s="29" t="str">
        <f t="shared" si="11"/>
        <v>GUARULHOS</v>
      </c>
      <c r="AE207" s="21" t="s">
        <v>16</v>
      </c>
    </row>
    <row r="208" spans="1:31" ht="30" customHeight="1" x14ac:dyDescent="0.2">
      <c r="A208" s="82" t="s">
        <v>101</v>
      </c>
      <c r="B208" s="96">
        <v>2615085122</v>
      </c>
      <c r="C208" s="82" t="s">
        <v>60</v>
      </c>
      <c r="D208" s="82" t="s">
        <v>16</v>
      </c>
      <c r="E208" s="82" t="s">
        <v>102</v>
      </c>
      <c r="F208" s="82" t="s">
        <v>1994</v>
      </c>
      <c r="G208" s="82">
        <v>41</v>
      </c>
      <c r="H208" s="82" t="s">
        <v>187</v>
      </c>
      <c r="I208" s="82" t="s">
        <v>220</v>
      </c>
      <c r="J208" s="82" t="s">
        <v>1979</v>
      </c>
      <c r="K208" s="82"/>
      <c r="L208" s="86" t="s">
        <v>527</v>
      </c>
      <c r="M208" s="86">
        <v>46269.649305555555</v>
      </c>
      <c r="N208" s="82" t="s">
        <v>1980</v>
      </c>
      <c r="O208" s="85" t="s">
        <v>108</v>
      </c>
      <c r="P208" s="1"/>
      <c r="Q208" s="28" t="s">
        <v>108</v>
      </c>
      <c r="R208" s="18"/>
      <c r="S208" s="28" t="s">
        <v>108</v>
      </c>
      <c r="T208" s="18"/>
      <c r="U208" s="28" t="s">
        <v>108</v>
      </c>
      <c r="V208" s="18"/>
      <c r="W208" s="28" t="s">
        <v>108</v>
      </c>
      <c r="X208" s="18"/>
      <c r="Y208" s="28" t="s">
        <v>108</v>
      </c>
      <c r="Z208" s="46" t="str">
        <f t="shared" si="10"/>
        <v>C</v>
      </c>
      <c r="AA208" s="73" t="str">
        <f t="shared" si="9"/>
        <v>UTILIZOU O PDA CORRETAMENTE</v>
      </c>
      <c r="AB208" s="18"/>
      <c r="AC208" s="38" t="s">
        <v>1</v>
      </c>
      <c r="AD208" s="29" t="str">
        <f t="shared" si="11"/>
        <v>GUARULHOS</v>
      </c>
      <c r="AE208" s="21" t="s">
        <v>16</v>
      </c>
    </row>
    <row r="209" spans="1:31" ht="30" customHeight="1" x14ac:dyDescent="0.2">
      <c r="A209" s="82" t="s">
        <v>101</v>
      </c>
      <c r="B209" s="96">
        <v>2690072273</v>
      </c>
      <c r="C209" s="82" t="s">
        <v>60</v>
      </c>
      <c r="D209" s="82" t="s">
        <v>16</v>
      </c>
      <c r="E209" s="82" t="s">
        <v>102</v>
      </c>
      <c r="F209" s="82" t="s">
        <v>2237</v>
      </c>
      <c r="G209" s="82">
        <v>80</v>
      </c>
      <c r="H209" s="82" t="s">
        <v>2238</v>
      </c>
      <c r="I209" s="82" t="s">
        <v>204</v>
      </c>
      <c r="J209" s="82" t="s">
        <v>1979</v>
      </c>
      <c r="K209" s="82" t="s">
        <v>117</v>
      </c>
      <c r="L209" s="86" t="s">
        <v>527</v>
      </c>
      <c r="M209" s="86">
        <v>46269.603472222225</v>
      </c>
      <c r="N209" s="82" t="s">
        <v>1980</v>
      </c>
      <c r="O209" s="85" t="s">
        <v>108</v>
      </c>
      <c r="P209" s="1"/>
      <c r="Q209" s="28" t="s">
        <v>108</v>
      </c>
      <c r="R209" s="18"/>
      <c r="S209" s="28" t="s">
        <v>108</v>
      </c>
      <c r="T209" s="18"/>
      <c r="U209" s="28" t="s">
        <v>108</v>
      </c>
      <c r="V209" s="18"/>
      <c r="W209" s="28" t="s">
        <v>108</v>
      </c>
      <c r="X209" s="18"/>
      <c r="Y209" s="28" t="s">
        <v>108</v>
      </c>
      <c r="Z209" s="46" t="str">
        <f t="shared" si="10"/>
        <v>C</v>
      </c>
      <c r="AA209" s="73" t="str">
        <f t="shared" si="9"/>
        <v>UTILIZOU O PDA CORRETAMENTE</v>
      </c>
      <c r="AB209" s="18"/>
      <c r="AC209" s="38" t="s">
        <v>1</v>
      </c>
      <c r="AD209" s="29" t="str">
        <f t="shared" si="11"/>
        <v>GUARULHOS</v>
      </c>
      <c r="AE209" s="21" t="s">
        <v>16</v>
      </c>
    </row>
    <row r="210" spans="1:31" ht="30" customHeight="1" x14ac:dyDescent="0.2">
      <c r="A210" s="82" t="s">
        <v>101</v>
      </c>
      <c r="B210" s="96">
        <v>2690072363</v>
      </c>
      <c r="C210" s="82" t="s">
        <v>60</v>
      </c>
      <c r="D210" s="82" t="s">
        <v>16</v>
      </c>
      <c r="E210" s="82" t="s">
        <v>102</v>
      </c>
      <c r="F210" s="82" t="s">
        <v>2239</v>
      </c>
      <c r="G210" s="82">
        <v>112</v>
      </c>
      <c r="H210" s="82" t="s">
        <v>174</v>
      </c>
      <c r="I210" s="82" t="s">
        <v>104</v>
      </c>
      <c r="J210" s="82" t="s">
        <v>1979</v>
      </c>
      <c r="K210" s="82"/>
      <c r="L210" s="86" t="s">
        <v>527</v>
      </c>
      <c r="M210" s="86">
        <v>46269.564583333333</v>
      </c>
      <c r="N210" s="82" t="s">
        <v>1980</v>
      </c>
      <c r="O210" s="85" t="s">
        <v>108</v>
      </c>
      <c r="P210" s="1"/>
      <c r="Q210" s="28" t="s">
        <v>108</v>
      </c>
      <c r="R210" s="18"/>
      <c r="S210" s="28" t="s">
        <v>108</v>
      </c>
      <c r="T210" s="18"/>
      <c r="U210" s="28" t="s">
        <v>108</v>
      </c>
      <c r="V210" s="18"/>
      <c r="W210" s="28" t="s">
        <v>108</v>
      </c>
      <c r="X210" s="18"/>
      <c r="Y210" s="28" t="s">
        <v>108</v>
      </c>
      <c r="Z210" s="46" t="str">
        <f t="shared" si="10"/>
        <v>C</v>
      </c>
      <c r="AA210" s="73" t="str">
        <f t="shared" si="9"/>
        <v>UTILIZOU O PDA CORRETAMENTE</v>
      </c>
      <c r="AB210" s="18"/>
      <c r="AC210" s="38" t="s">
        <v>1</v>
      </c>
      <c r="AD210" s="29" t="str">
        <f t="shared" si="11"/>
        <v>GUARULHOS</v>
      </c>
      <c r="AE210" s="21" t="s">
        <v>16</v>
      </c>
    </row>
    <row r="211" spans="1:31" ht="30" customHeight="1" x14ac:dyDescent="0.2">
      <c r="A211" s="82" t="s">
        <v>101</v>
      </c>
      <c r="B211" s="96">
        <v>2690172588</v>
      </c>
      <c r="C211" s="82" t="s">
        <v>60</v>
      </c>
      <c r="D211" s="82" t="s">
        <v>16</v>
      </c>
      <c r="E211" s="82" t="s">
        <v>102</v>
      </c>
      <c r="F211" s="82" t="s">
        <v>1097</v>
      </c>
      <c r="G211" s="82">
        <v>450</v>
      </c>
      <c r="H211" s="82" t="s">
        <v>2241</v>
      </c>
      <c r="I211" s="82" t="s">
        <v>1073</v>
      </c>
      <c r="J211" s="82" t="s">
        <v>1975</v>
      </c>
      <c r="K211" s="82" t="s">
        <v>2242</v>
      </c>
      <c r="L211" s="86" t="s">
        <v>577</v>
      </c>
      <c r="M211" s="86">
        <v>46299.45</v>
      </c>
      <c r="N211" s="82" t="s">
        <v>767</v>
      </c>
      <c r="O211" s="85" t="s">
        <v>108</v>
      </c>
      <c r="P211" s="1"/>
      <c r="Q211" s="28" t="s">
        <v>108</v>
      </c>
      <c r="R211" s="18"/>
      <c r="S211" s="28" t="s">
        <v>108</v>
      </c>
      <c r="T211" s="18"/>
      <c r="U211" s="28" t="s">
        <v>108</v>
      </c>
      <c r="V211" s="18"/>
      <c r="W211" s="28" t="s">
        <v>108</v>
      </c>
      <c r="X211" s="18"/>
      <c r="Y211" s="28" t="s">
        <v>108</v>
      </c>
      <c r="Z211" s="46" t="str">
        <f t="shared" si="10"/>
        <v>C</v>
      </c>
      <c r="AA211" s="73" t="str">
        <f t="shared" si="9"/>
        <v>UTILIZOU O PDA CORRETAMENTE</v>
      </c>
      <c r="AB211" s="18" t="s">
        <v>108</v>
      </c>
      <c r="AC211" s="38" t="s">
        <v>1</v>
      </c>
      <c r="AD211" s="29" t="str">
        <f t="shared" si="11"/>
        <v>GUARULHOS</v>
      </c>
      <c r="AE211" s="21" t="s">
        <v>16</v>
      </c>
    </row>
    <row r="212" spans="1:31" ht="30" customHeight="1" x14ac:dyDescent="0.2">
      <c r="A212" s="82" t="s">
        <v>101</v>
      </c>
      <c r="B212" s="96">
        <v>2690117704</v>
      </c>
      <c r="C212" s="82" t="s">
        <v>60</v>
      </c>
      <c r="D212" s="82" t="s">
        <v>16</v>
      </c>
      <c r="E212" s="82" t="s">
        <v>102</v>
      </c>
      <c r="F212" s="82" t="s">
        <v>2243</v>
      </c>
      <c r="G212" s="82">
        <v>77</v>
      </c>
      <c r="H212" s="82" t="s">
        <v>2244</v>
      </c>
      <c r="I212" s="82" t="s">
        <v>1134</v>
      </c>
      <c r="J212" s="82" t="s">
        <v>1979</v>
      </c>
      <c r="K212" s="82" t="s">
        <v>117</v>
      </c>
      <c r="L212" s="86" t="s">
        <v>577</v>
      </c>
      <c r="M212" s="86">
        <v>46299.405555555553</v>
      </c>
      <c r="N212" s="82" t="s">
        <v>185</v>
      </c>
      <c r="O212" s="85" t="s">
        <v>108</v>
      </c>
      <c r="P212" s="1"/>
      <c r="Q212" s="28" t="s">
        <v>108</v>
      </c>
      <c r="R212" s="18"/>
      <c r="S212" s="28" t="s">
        <v>108</v>
      </c>
      <c r="T212" s="18"/>
      <c r="U212" s="28" t="s">
        <v>108</v>
      </c>
      <c r="V212" s="18"/>
      <c r="W212" s="28" t="s">
        <v>108</v>
      </c>
      <c r="X212" s="18"/>
      <c r="Y212" s="28" t="s">
        <v>108</v>
      </c>
      <c r="Z212" s="46" t="str">
        <f t="shared" si="10"/>
        <v>C</v>
      </c>
      <c r="AA212" s="73" t="str">
        <f t="shared" si="9"/>
        <v>UTILIZOU O PDA CORRETAMENTE</v>
      </c>
      <c r="AB212" s="18" t="s">
        <v>108</v>
      </c>
      <c r="AC212" s="38" t="s">
        <v>1</v>
      </c>
      <c r="AD212" s="29" t="str">
        <f t="shared" si="11"/>
        <v>GUARULHOS</v>
      </c>
      <c r="AE212" s="21" t="s">
        <v>16</v>
      </c>
    </row>
    <row r="213" spans="1:31" ht="30" customHeight="1" x14ac:dyDescent="0.2">
      <c r="A213" s="82" t="s">
        <v>101</v>
      </c>
      <c r="B213" s="96">
        <v>2690155613</v>
      </c>
      <c r="C213" s="82" t="s">
        <v>60</v>
      </c>
      <c r="D213" s="82" t="s">
        <v>16</v>
      </c>
      <c r="E213" s="82" t="s">
        <v>102</v>
      </c>
      <c r="F213" s="82" t="s">
        <v>547</v>
      </c>
      <c r="G213" s="82">
        <v>359</v>
      </c>
      <c r="H213" s="82" t="s">
        <v>404</v>
      </c>
      <c r="I213" s="82" t="s">
        <v>154</v>
      </c>
      <c r="J213" s="82" t="s">
        <v>1979</v>
      </c>
      <c r="K213" s="82"/>
      <c r="L213" s="86" t="s">
        <v>577</v>
      </c>
      <c r="M213" s="86">
        <v>46299.591666666667</v>
      </c>
      <c r="N213" s="82" t="s">
        <v>1980</v>
      </c>
      <c r="O213" s="85" t="s">
        <v>108</v>
      </c>
      <c r="P213" s="1"/>
      <c r="Q213" s="28" t="s">
        <v>108</v>
      </c>
      <c r="R213" s="18"/>
      <c r="S213" s="28" t="s">
        <v>108</v>
      </c>
      <c r="T213" s="18"/>
      <c r="U213" s="28" t="s">
        <v>108</v>
      </c>
      <c r="V213" s="18"/>
      <c r="W213" s="28" t="s">
        <v>108</v>
      </c>
      <c r="X213" s="18"/>
      <c r="Y213" s="28" t="s">
        <v>108</v>
      </c>
      <c r="Z213" s="46" t="str">
        <f t="shared" si="10"/>
        <v>C</v>
      </c>
      <c r="AA213" s="73" t="str">
        <f t="shared" si="9"/>
        <v>UTILIZOU O PDA CORRETAMENTE</v>
      </c>
      <c r="AB213" s="18" t="s">
        <v>108</v>
      </c>
      <c r="AC213" s="38" t="s">
        <v>1</v>
      </c>
      <c r="AD213" s="29" t="str">
        <f t="shared" si="11"/>
        <v>GUARULHOS</v>
      </c>
      <c r="AE213" s="21" t="s">
        <v>16</v>
      </c>
    </row>
    <row r="214" spans="1:31" ht="30" customHeight="1" x14ac:dyDescent="0.2">
      <c r="A214" s="82" t="s">
        <v>101</v>
      </c>
      <c r="B214" s="96">
        <v>2690108646</v>
      </c>
      <c r="C214" s="82" t="s">
        <v>60</v>
      </c>
      <c r="D214" s="82" t="s">
        <v>16</v>
      </c>
      <c r="E214" s="82" t="s">
        <v>102</v>
      </c>
      <c r="F214" s="82" t="s">
        <v>2245</v>
      </c>
      <c r="G214" s="82">
        <v>107</v>
      </c>
      <c r="H214" s="82" t="s">
        <v>2246</v>
      </c>
      <c r="I214" s="82" t="s">
        <v>169</v>
      </c>
      <c r="J214" s="82" t="s">
        <v>1979</v>
      </c>
      <c r="K214" s="82"/>
      <c r="L214" s="86" t="s">
        <v>577</v>
      </c>
      <c r="M214" s="86">
        <v>46299.524305555555</v>
      </c>
      <c r="N214" s="82" t="s">
        <v>597</v>
      </c>
      <c r="O214" s="85" t="s">
        <v>108</v>
      </c>
      <c r="P214" s="1"/>
      <c r="Q214" s="28" t="s">
        <v>108</v>
      </c>
      <c r="R214" s="18"/>
      <c r="S214" s="28" t="s">
        <v>108</v>
      </c>
      <c r="T214" s="18"/>
      <c r="U214" s="28" t="s">
        <v>108</v>
      </c>
      <c r="V214" s="18"/>
      <c r="W214" s="28" t="s">
        <v>108</v>
      </c>
      <c r="X214" s="18"/>
      <c r="Y214" s="28" t="s">
        <v>108</v>
      </c>
      <c r="Z214" s="46" t="str">
        <f t="shared" si="10"/>
        <v>C</v>
      </c>
      <c r="AA214" s="73" t="str">
        <f t="shared" si="9"/>
        <v>UTILIZOU O PDA CORRETAMENTE</v>
      </c>
      <c r="AB214" s="18" t="s">
        <v>108</v>
      </c>
      <c r="AC214" s="38" t="s">
        <v>1</v>
      </c>
      <c r="AD214" s="29" t="str">
        <f t="shared" si="11"/>
        <v>GUARULHOS</v>
      </c>
      <c r="AE214" s="21" t="s">
        <v>16</v>
      </c>
    </row>
    <row r="215" spans="1:31" ht="30" customHeight="1" x14ac:dyDescent="0.2">
      <c r="A215" s="82" t="s">
        <v>101</v>
      </c>
      <c r="B215" s="96">
        <v>2615173449</v>
      </c>
      <c r="C215" s="82" t="s">
        <v>60</v>
      </c>
      <c r="D215" s="82" t="s">
        <v>16</v>
      </c>
      <c r="E215" s="82" t="s">
        <v>102</v>
      </c>
      <c r="F215" s="82" t="s">
        <v>2198</v>
      </c>
      <c r="G215" s="82">
        <v>102</v>
      </c>
      <c r="H215" s="82" t="s">
        <v>117</v>
      </c>
      <c r="I215" s="82" t="s">
        <v>374</v>
      </c>
      <c r="J215" s="82" t="s">
        <v>1979</v>
      </c>
      <c r="K215" s="82" t="s">
        <v>117</v>
      </c>
      <c r="L215" s="86" t="s">
        <v>577</v>
      </c>
      <c r="M215" s="86">
        <v>46299.436111111114</v>
      </c>
      <c r="N215" s="82" t="s">
        <v>597</v>
      </c>
      <c r="O215" s="85" t="s">
        <v>108</v>
      </c>
      <c r="P215" s="1"/>
      <c r="Q215" s="28" t="s">
        <v>108</v>
      </c>
      <c r="R215" s="18"/>
      <c r="S215" s="28" t="s">
        <v>108</v>
      </c>
      <c r="T215" s="18"/>
      <c r="U215" s="28" t="s">
        <v>108</v>
      </c>
      <c r="V215" s="18"/>
      <c r="W215" s="28" t="s">
        <v>108</v>
      </c>
      <c r="X215" s="18"/>
      <c r="Y215" s="28" t="s">
        <v>108</v>
      </c>
      <c r="Z215" s="46" t="str">
        <f t="shared" si="10"/>
        <v>C</v>
      </c>
      <c r="AA215" s="73" t="str">
        <f t="shared" si="9"/>
        <v>UTILIZOU O PDA CORRETAMENTE</v>
      </c>
      <c r="AB215" s="18" t="s">
        <v>108</v>
      </c>
      <c r="AC215" s="38" t="s">
        <v>1</v>
      </c>
      <c r="AD215" s="29" t="str">
        <f t="shared" si="11"/>
        <v>GUARULHOS</v>
      </c>
      <c r="AE215" s="21" t="s">
        <v>16</v>
      </c>
    </row>
    <row r="216" spans="1:31" ht="30" customHeight="1" x14ac:dyDescent="0.2">
      <c r="A216" s="82" t="s">
        <v>101</v>
      </c>
      <c r="B216" s="96">
        <v>2615247256</v>
      </c>
      <c r="C216" s="82" t="s">
        <v>60</v>
      </c>
      <c r="D216" s="82" t="s">
        <v>16</v>
      </c>
      <c r="E216" s="82" t="s">
        <v>102</v>
      </c>
      <c r="F216" s="82" t="s">
        <v>1942</v>
      </c>
      <c r="G216" s="82">
        <v>244</v>
      </c>
      <c r="H216" s="82" t="s">
        <v>2247</v>
      </c>
      <c r="I216" s="82" t="s">
        <v>662</v>
      </c>
      <c r="J216" s="82" t="s">
        <v>1979</v>
      </c>
      <c r="K216" s="82" t="s">
        <v>117</v>
      </c>
      <c r="L216" s="86" t="s">
        <v>577</v>
      </c>
      <c r="M216" s="86">
        <v>46299.38958333333</v>
      </c>
      <c r="N216" s="82" t="s">
        <v>185</v>
      </c>
      <c r="O216" s="85" t="s">
        <v>108</v>
      </c>
      <c r="P216" s="1"/>
      <c r="Q216" s="28" t="s">
        <v>108</v>
      </c>
      <c r="R216" s="18"/>
      <c r="S216" s="28" t="s">
        <v>108</v>
      </c>
      <c r="T216" s="18"/>
      <c r="U216" s="28" t="s">
        <v>108</v>
      </c>
      <c r="V216" s="18"/>
      <c r="W216" s="28" t="s">
        <v>108</v>
      </c>
      <c r="X216" s="18"/>
      <c r="Y216" s="28" t="s">
        <v>108</v>
      </c>
      <c r="Z216" s="46" t="str">
        <f t="shared" si="10"/>
        <v>C</v>
      </c>
      <c r="AA216" s="73" t="str">
        <f t="shared" si="9"/>
        <v>UTILIZOU O PDA CORRETAMENTE</v>
      </c>
      <c r="AB216" s="18" t="s">
        <v>108</v>
      </c>
      <c r="AC216" s="38" t="s">
        <v>1</v>
      </c>
      <c r="AD216" s="29" t="str">
        <f t="shared" si="11"/>
        <v>GUARULHOS</v>
      </c>
      <c r="AE216" s="21" t="s">
        <v>16</v>
      </c>
    </row>
    <row r="217" spans="1:31" ht="30" customHeight="1" x14ac:dyDescent="0.2">
      <c r="A217" s="82" t="s">
        <v>101</v>
      </c>
      <c r="B217" s="96">
        <v>2690131874</v>
      </c>
      <c r="C217" s="82" t="s">
        <v>65</v>
      </c>
      <c r="D217" s="82" t="s">
        <v>58</v>
      </c>
      <c r="E217" s="82" t="s">
        <v>102</v>
      </c>
      <c r="F217" s="82" t="s">
        <v>2249</v>
      </c>
      <c r="G217" s="82">
        <v>231</v>
      </c>
      <c r="H217" s="82" t="s">
        <v>117</v>
      </c>
      <c r="I217" s="82" t="s">
        <v>406</v>
      </c>
      <c r="J217" s="82" t="s">
        <v>1979</v>
      </c>
      <c r="K217" s="82" t="s">
        <v>2250</v>
      </c>
      <c r="L217" s="86" t="s">
        <v>577</v>
      </c>
      <c r="M217" s="86">
        <v>46299.427083333336</v>
      </c>
      <c r="N217" s="82" t="s">
        <v>297</v>
      </c>
      <c r="O217" s="85" t="s">
        <v>108</v>
      </c>
      <c r="P217" s="1"/>
      <c r="Q217" s="28" t="s">
        <v>108</v>
      </c>
      <c r="R217" s="18"/>
      <c r="S217" s="28" t="s">
        <v>108</v>
      </c>
      <c r="T217" s="18"/>
      <c r="U217" s="28" t="s">
        <v>108</v>
      </c>
      <c r="V217" s="18"/>
      <c r="W217" s="28" t="s">
        <v>108</v>
      </c>
      <c r="X217" s="18"/>
      <c r="Y217" s="28" t="s">
        <v>108</v>
      </c>
      <c r="Z217" s="46" t="str">
        <f t="shared" si="10"/>
        <v>C</v>
      </c>
      <c r="AA217" s="73" t="str">
        <f t="shared" si="9"/>
        <v>UTILIZOU O PDA CORRETAMENTE</v>
      </c>
      <c r="AB217" s="18" t="s">
        <v>108</v>
      </c>
      <c r="AC217" s="38" t="s">
        <v>1</v>
      </c>
      <c r="AD217" s="29" t="str">
        <f t="shared" si="11"/>
        <v>GUARULHOS</v>
      </c>
      <c r="AE217" s="21" t="s">
        <v>16</v>
      </c>
    </row>
    <row r="218" spans="1:31" ht="30" customHeight="1" x14ac:dyDescent="0.2">
      <c r="A218" s="82" t="s">
        <v>101</v>
      </c>
      <c r="B218" s="96">
        <v>2690095787</v>
      </c>
      <c r="C218" s="82" t="s">
        <v>65</v>
      </c>
      <c r="D218" s="82" t="s">
        <v>58</v>
      </c>
      <c r="E218" s="82" t="s">
        <v>102</v>
      </c>
      <c r="F218" s="82" t="s">
        <v>2240</v>
      </c>
      <c r="G218" s="82">
        <v>232</v>
      </c>
      <c r="H218" s="82" t="s">
        <v>2251</v>
      </c>
      <c r="I218" s="82" t="s">
        <v>245</v>
      </c>
      <c r="J218" s="82" t="s">
        <v>1979</v>
      </c>
      <c r="K218" s="82" t="s">
        <v>2048</v>
      </c>
      <c r="L218" s="86" t="s">
        <v>577</v>
      </c>
      <c r="M218" s="86">
        <v>46299.451388888891</v>
      </c>
      <c r="N218" s="82" t="s">
        <v>1993</v>
      </c>
      <c r="O218" s="85" t="s">
        <v>108</v>
      </c>
      <c r="P218" s="1"/>
      <c r="Q218" s="28" t="s">
        <v>108</v>
      </c>
      <c r="R218" s="18"/>
      <c r="S218" s="28" t="s">
        <v>108</v>
      </c>
      <c r="T218" s="18"/>
      <c r="U218" s="28" t="s">
        <v>108</v>
      </c>
      <c r="V218" s="18"/>
      <c r="W218" s="28" t="s">
        <v>108</v>
      </c>
      <c r="X218" s="18"/>
      <c r="Y218" s="28" t="s">
        <v>108</v>
      </c>
      <c r="Z218" s="46" t="str">
        <f t="shared" si="10"/>
        <v>C</v>
      </c>
      <c r="AA218" s="73" t="str">
        <f t="shared" si="9"/>
        <v>UTILIZOU O PDA CORRETAMENTE</v>
      </c>
      <c r="AB218" s="18" t="s">
        <v>108</v>
      </c>
      <c r="AC218" s="38" t="s">
        <v>1</v>
      </c>
      <c r="AD218" s="29" t="str">
        <f t="shared" si="11"/>
        <v>GUARULHOS</v>
      </c>
      <c r="AE218" s="21" t="s">
        <v>16</v>
      </c>
    </row>
    <row r="219" spans="1:31" ht="30" customHeight="1" x14ac:dyDescent="0.2">
      <c r="A219" s="82" t="s">
        <v>101</v>
      </c>
      <c r="B219" s="96">
        <v>2690205872</v>
      </c>
      <c r="C219" s="82" t="s">
        <v>65</v>
      </c>
      <c r="D219" s="82" t="s">
        <v>58</v>
      </c>
      <c r="E219" s="82" t="s">
        <v>102</v>
      </c>
      <c r="F219" s="82" t="s">
        <v>2248</v>
      </c>
      <c r="G219" s="82">
        <v>206</v>
      </c>
      <c r="H219" s="82" t="s">
        <v>2252</v>
      </c>
      <c r="I219" s="82" t="s">
        <v>599</v>
      </c>
      <c r="J219" s="82" t="s">
        <v>1979</v>
      </c>
      <c r="K219" s="82" t="s">
        <v>2067</v>
      </c>
      <c r="L219" s="86" t="s">
        <v>577</v>
      </c>
      <c r="M219" s="86">
        <v>46299.534722222219</v>
      </c>
      <c r="N219" s="82" t="s">
        <v>1980</v>
      </c>
      <c r="O219" s="85" t="s">
        <v>108</v>
      </c>
      <c r="P219" s="1"/>
      <c r="Q219" s="28" t="s">
        <v>108</v>
      </c>
      <c r="R219" s="18"/>
      <c r="S219" s="28" t="s">
        <v>108</v>
      </c>
      <c r="T219" s="18"/>
      <c r="U219" s="28" t="s">
        <v>108</v>
      </c>
      <c r="V219" s="18"/>
      <c r="W219" s="28" t="s">
        <v>108</v>
      </c>
      <c r="X219" s="18"/>
      <c r="Y219" s="28" t="s">
        <v>108</v>
      </c>
      <c r="Z219" s="46" t="str">
        <f t="shared" si="10"/>
        <v>C</v>
      </c>
      <c r="AA219" s="73" t="str">
        <f t="shared" si="9"/>
        <v>UTILIZOU O PDA CORRETAMENTE</v>
      </c>
      <c r="AB219" s="18" t="s">
        <v>108</v>
      </c>
      <c r="AC219" s="38" t="s">
        <v>1</v>
      </c>
      <c r="AD219" s="29" t="str">
        <f t="shared" si="11"/>
        <v>GUARULHOS</v>
      </c>
      <c r="AE219" s="21" t="s">
        <v>16</v>
      </c>
    </row>
    <row r="220" spans="1:31" ht="30" customHeight="1" x14ac:dyDescent="0.2">
      <c r="A220" s="82" t="s">
        <v>101</v>
      </c>
      <c r="B220" s="96">
        <v>2690251090</v>
      </c>
      <c r="C220" s="82" t="s">
        <v>60</v>
      </c>
      <c r="D220" s="82" t="s">
        <v>16</v>
      </c>
      <c r="E220" s="82" t="s">
        <v>102</v>
      </c>
      <c r="F220" s="82" t="s">
        <v>248</v>
      </c>
      <c r="G220" s="82">
        <v>92</v>
      </c>
      <c r="H220" s="82" t="s">
        <v>2254</v>
      </c>
      <c r="I220" s="82" t="s">
        <v>2077</v>
      </c>
      <c r="J220" s="82" t="s">
        <v>1979</v>
      </c>
      <c r="K220" s="82" t="s">
        <v>117</v>
      </c>
      <c r="L220" s="86" t="s">
        <v>585</v>
      </c>
      <c r="M220" s="86">
        <v>46330.6</v>
      </c>
      <c r="N220" s="82" t="s">
        <v>1980</v>
      </c>
      <c r="O220" s="85" t="s">
        <v>108</v>
      </c>
      <c r="P220" s="1"/>
      <c r="Q220" s="28" t="s">
        <v>108</v>
      </c>
      <c r="R220" s="18"/>
      <c r="S220" s="28" t="s">
        <v>108</v>
      </c>
      <c r="T220" s="18"/>
      <c r="U220" s="28" t="s">
        <v>108</v>
      </c>
      <c r="V220" s="18"/>
      <c r="W220" s="28" t="s">
        <v>108</v>
      </c>
      <c r="X220" s="18"/>
      <c r="Y220" s="28" t="s">
        <v>108</v>
      </c>
      <c r="Z220" s="46" t="str">
        <f t="shared" si="10"/>
        <v>C</v>
      </c>
      <c r="AA220" s="73" t="str">
        <f t="shared" si="9"/>
        <v>UTILIZOU O PDA CORRETAMENTE</v>
      </c>
      <c r="AB220" s="18" t="s">
        <v>108</v>
      </c>
      <c r="AC220" s="38" t="s">
        <v>1</v>
      </c>
      <c r="AD220" s="29" t="str">
        <f t="shared" si="11"/>
        <v>GUARULHOS</v>
      </c>
      <c r="AE220" s="21" t="s">
        <v>16</v>
      </c>
    </row>
    <row r="221" spans="1:31" ht="30" customHeight="1" x14ac:dyDescent="0.2">
      <c r="A221" s="82" t="s">
        <v>101</v>
      </c>
      <c r="B221" s="96">
        <v>2690249895</v>
      </c>
      <c r="C221" s="82" t="s">
        <v>60</v>
      </c>
      <c r="D221" s="82" t="s">
        <v>16</v>
      </c>
      <c r="E221" s="82" t="s">
        <v>102</v>
      </c>
      <c r="F221" s="82" t="s">
        <v>2255</v>
      </c>
      <c r="G221" s="82">
        <v>106</v>
      </c>
      <c r="H221" s="82" t="s">
        <v>2256</v>
      </c>
      <c r="I221" s="82" t="s">
        <v>162</v>
      </c>
      <c r="J221" s="82" t="s">
        <v>1979</v>
      </c>
      <c r="K221" s="82"/>
      <c r="L221" s="86" t="s">
        <v>585</v>
      </c>
      <c r="M221" s="86">
        <v>46330.435416666667</v>
      </c>
      <c r="N221" s="82" t="s">
        <v>2257</v>
      </c>
      <c r="O221" s="85" t="s">
        <v>108</v>
      </c>
      <c r="P221" s="1"/>
      <c r="Q221" s="28" t="s">
        <v>108</v>
      </c>
      <c r="R221" s="18"/>
      <c r="S221" s="28" t="s">
        <v>108</v>
      </c>
      <c r="T221" s="18"/>
      <c r="U221" s="28" t="s">
        <v>108</v>
      </c>
      <c r="V221" s="18"/>
      <c r="W221" s="28" t="s">
        <v>108</v>
      </c>
      <c r="X221" s="18"/>
      <c r="Y221" s="28" t="s">
        <v>108</v>
      </c>
      <c r="Z221" s="46" t="str">
        <f t="shared" si="10"/>
        <v>C</v>
      </c>
      <c r="AA221" s="73" t="str">
        <f t="shared" si="9"/>
        <v>UTILIZOU O PDA CORRETAMENTE</v>
      </c>
      <c r="AB221" s="18" t="s">
        <v>108</v>
      </c>
      <c r="AC221" s="38" t="s">
        <v>1</v>
      </c>
      <c r="AD221" s="29" t="str">
        <f t="shared" si="11"/>
        <v>GUARULHOS</v>
      </c>
      <c r="AE221" s="21" t="s">
        <v>16</v>
      </c>
    </row>
    <row r="222" spans="1:31" ht="30" customHeight="1" x14ac:dyDescent="0.2">
      <c r="A222" s="82" t="s">
        <v>101</v>
      </c>
      <c r="B222" s="96">
        <v>2690249393</v>
      </c>
      <c r="C222" s="82" t="s">
        <v>65</v>
      </c>
      <c r="D222" s="82" t="s">
        <v>58</v>
      </c>
      <c r="E222" s="82" t="s">
        <v>102</v>
      </c>
      <c r="F222" s="82" t="s">
        <v>2258</v>
      </c>
      <c r="G222" s="82">
        <v>191</v>
      </c>
      <c r="H222" s="82" t="s">
        <v>2259</v>
      </c>
      <c r="I222" s="82" t="s">
        <v>179</v>
      </c>
      <c r="J222" s="82" t="s">
        <v>1979</v>
      </c>
      <c r="K222" s="82" t="s">
        <v>1858</v>
      </c>
      <c r="L222" s="86" t="s">
        <v>585</v>
      </c>
      <c r="M222" s="86">
        <v>46330.40347222222</v>
      </c>
      <c r="N222" s="82" t="s">
        <v>1986</v>
      </c>
      <c r="O222" s="85" t="s">
        <v>108</v>
      </c>
      <c r="P222" s="1"/>
      <c r="Q222" s="28" t="s">
        <v>108</v>
      </c>
      <c r="R222" s="18"/>
      <c r="S222" s="28" t="s">
        <v>108</v>
      </c>
      <c r="T222" s="18"/>
      <c r="U222" s="28" t="s">
        <v>108</v>
      </c>
      <c r="V222" s="18"/>
      <c r="W222" s="28" t="s">
        <v>108</v>
      </c>
      <c r="X222" s="18"/>
      <c r="Y222" s="28" t="s">
        <v>108</v>
      </c>
      <c r="Z222" s="46" t="str">
        <f t="shared" ref="Z222:Z239" si="12">IF(AND(O222="",Q222="",S222="",U222="",W222=""),"",IF(OR(AND(O222&lt;&gt;"NA",O222&lt;&gt;"C",O222&lt;&gt;"NC",O222&lt;&gt;"SF",O222&lt;&gt;""),AND(Q222&lt;&gt;"NA",Q222&lt;&gt;"C",Q222&lt;&gt;"NC",Q222&lt;&gt;"SF",Q222&lt;&gt;""),AND(S222&lt;&gt;"NA",S222&lt;&gt;"C",S222&lt;&gt;"NC",S222&lt;&gt;"SF",S222&lt;&gt;""),AND(U222&lt;&gt;"NA",U222&lt;&gt;"C",U222&lt;&gt;"NC",U222&lt;&gt;"SF",U222&lt;&gt;""),AND(W222&lt;&gt;"NA",W222&lt;&gt;"C",W222&lt;&gt;"NC",W222&lt;&gt;"SF",W222&lt;&gt;"")),"FALSO",IF(AND(O222="NA",Q222="NA",S222="NA",U222="NA",W222="NA"),"NA",IF(OR(O222="NC",Q222="NC",S222="NC",U222="NC",W222="NC",O222="SF",Q222="SF",S222="SF",U222="SF",W222="SF"),"NC",IF(OR(O222="C",Q222="C",S222="C",U222="C",W222="C"),"C","")))))</f>
        <v>C</v>
      </c>
      <c r="AA222" s="73" t="str">
        <f t="shared" ref="AA222:AA239" si="13">IF(AND(Y222="C",Z222="C"),"UTILIZOU O PDA CORRETAMENTE",IF(AND(Y222="C",Z222="NC"),"UTILIZOU O PDA CORRETAMENTE. NÃO HÁ FOTOS DE TODAS AS ETAPAS",IF(AND(Y222="NC",Z222="NC"),"NÃO UTILIZOU O PDA",IF(AND(Y222="NA",Z222="NA"),"NÃO AVALIADO POR FALHA DE SINCRONISMO"))))</f>
        <v>UTILIZOU O PDA CORRETAMENTE</v>
      </c>
      <c r="AB222" s="18" t="s">
        <v>108</v>
      </c>
      <c r="AC222" s="38" t="s">
        <v>1</v>
      </c>
      <c r="AD222" s="29" t="str">
        <f t="shared" ref="AD222:AD233" si="14">E222</f>
        <v>GUARULHOS</v>
      </c>
      <c r="AE222" s="21" t="s">
        <v>16</v>
      </c>
    </row>
    <row r="223" spans="1:31" ht="30" customHeight="1" x14ac:dyDescent="0.2">
      <c r="A223" s="82" t="s">
        <v>101</v>
      </c>
      <c r="B223" s="96">
        <v>2615425072</v>
      </c>
      <c r="C223" s="82" t="s">
        <v>67</v>
      </c>
      <c r="D223" s="82" t="s">
        <v>58</v>
      </c>
      <c r="E223" s="82" t="s">
        <v>102</v>
      </c>
      <c r="F223" s="82" t="s">
        <v>2260</v>
      </c>
      <c r="G223" s="82">
        <v>25</v>
      </c>
      <c r="H223" s="82" t="s">
        <v>1943</v>
      </c>
      <c r="I223" s="82" t="s">
        <v>483</v>
      </c>
      <c r="J223" s="82" t="s">
        <v>1984</v>
      </c>
      <c r="K223" s="88" t="s">
        <v>2261</v>
      </c>
      <c r="L223" s="86" t="s">
        <v>585</v>
      </c>
      <c r="M223" s="86">
        <v>46330.629861111112</v>
      </c>
      <c r="N223" s="82" t="s">
        <v>146</v>
      </c>
      <c r="O223" s="85" t="s">
        <v>108</v>
      </c>
      <c r="P223" s="1"/>
      <c r="Q223" s="28" t="s">
        <v>108</v>
      </c>
      <c r="R223" s="18"/>
      <c r="S223" s="28" t="s">
        <v>108</v>
      </c>
      <c r="T223" s="18"/>
      <c r="U223" s="28" t="s">
        <v>108</v>
      </c>
      <c r="V223" s="18"/>
      <c r="W223" s="28" t="s">
        <v>108</v>
      </c>
      <c r="X223" s="18"/>
      <c r="Y223" s="28" t="s">
        <v>108</v>
      </c>
      <c r="Z223" s="46" t="str">
        <f t="shared" si="12"/>
        <v>C</v>
      </c>
      <c r="AA223" s="73" t="str">
        <f t="shared" si="13"/>
        <v>UTILIZOU O PDA CORRETAMENTE</v>
      </c>
      <c r="AB223" s="18" t="s">
        <v>108</v>
      </c>
      <c r="AC223" s="38" t="s">
        <v>1</v>
      </c>
      <c r="AD223" s="29" t="str">
        <f t="shared" si="14"/>
        <v>GUARULHOS</v>
      </c>
      <c r="AE223" s="21" t="s">
        <v>16</v>
      </c>
    </row>
    <row r="224" spans="1:31" ht="30" customHeight="1" x14ac:dyDescent="0.2">
      <c r="A224" s="82" t="s">
        <v>101</v>
      </c>
      <c r="B224" s="96">
        <v>2615282729</v>
      </c>
      <c r="C224" s="82" t="s">
        <v>65</v>
      </c>
      <c r="D224" s="82" t="s">
        <v>58</v>
      </c>
      <c r="E224" s="82" t="s">
        <v>102</v>
      </c>
      <c r="F224" s="82" t="s">
        <v>732</v>
      </c>
      <c r="G224" s="82">
        <v>1609</v>
      </c>
      <c r="H224" s="82" t="s">
        <v>2262</v>
      </c>
      <c r="I224" s="82" t="s">
        <v>626</v>
      </c>
      <c r="J224" s="82" t="s">
        <v>1979</v>
      </c>
      <c r="K224" s="82" t="s">
        <v>2067</v>
      </c>
      <c r="L224" s="86" t="s">
        <v>585</v>
      </c>
      <c r="M224" s="86">
        <v>46330.44027777778</v>
      </c>
      <c r="N224" s="82" t="s">
        <v>1980</v>
      </c>
      <c r="O224" s="85" t="s">
        <v>108</v>
      </c>
      <c r="P224" s="1"/>
      <c r="Q224" s="28" t="s">
        <v>108</v>
      </c>
      <c r="R224" s="18"/>
      <c r="S224" s="28" t="s">
        <v>108</v>
      </c>
      <c r="T224" s="18"/>
      <c r="U224" s="28" t="s">
        <v>108</v>
      </c>
      <c r="V224" s="18"/>
      <c r="W224" s="28" t="s">
        <v>108</v>
      </c>
      <c r="X224" s="18"/>
      <c r="Y224" s="28" t="s">
        <v>108</v>
      </c>
      <c r="Z224" s="46" t="str">
        <f t="shared" si="12"/>
        <v>C</v>
      </c>
      <c r="AA224" s="73" t="str">
        <f t="shared" si="13"/>
        <v>UTILIZOU O PDA CORRETAMENTE</v>
      </c>
      <c r="AB224" s="18" t="s">
        <v>108</v>
      </c>
      <c r="AC224" s="38" t="s">
        <v>1</v>
      </c>
      <c r="AD224" s="29" t="str">
        <f t="shared" si="14"/>
        <v>GUARULHOS</v>
      </c>
      <c r="AE224" s="21" t="s">
        <v>16</v>
      </c>
    </row>
    <row r="225" spans="1:31" ht="30" customHeight="1" x14ac:dyDescent="0.2">
      <c r="A225" s="82" t="s">
        <v>101</v>
      </c>
      <c r="B225" s="96">
        <v>2690270457</v>
      </c>
      <c r="C225" s="82" t="s">
        <v>65</v>
      </c>
      <c r="D225" s="82" t="s">
        <v>58</v>
      </c>
      <c r="E225" s="82" t="s">
        <v>102</v>
      </c>
      <c r="F225" s="82" t="s">
        <v>1154</v>
      </c>
      <c r="G225" s="82">
        <v>50</v>
      </c>
      <c r="H225" s="82" t="s">
        <v>1032</v>
      </c>
      <c r="I225" s="82" t="s">
        <v>237</v>
      </c>
      <c r="J225" s="82" t="s">
        <v>1979</v>
      </c>
      <c r="K225" s="82" t="s">
        <v>2263</v>
      </c>
      <c r="L225" s="86" t="s">
        <v>585</v>
      </c>
      <c r="M225" s="86">
        <v>46330.410416666666</v>
      </c>
      <c r="N225" s="82" t="s">
        <v>2257</v>
      </c>
      <c r="O225" s="85" t="s">
        <v>108</v>
      </c>
      <c r="P225" s="1"/>
      <c r="Q225" s="28" t="s">
        <v>108</v>
      </c>
      <c r="R225" s="18"/>
      <c r="S225" s="28" t="s">
        <v>108</v>
      </c>
      <c r="T225" s="18"/>
      <c r="U225" s="28" t="s">
        <v>108</v>
      </c>
      <c r="V225" s="18"/>
      <c r="W225" s="28" t="s">
        <v>108</v>
      </c>
      <c r="X225" s="18"/>
      <c r="Y225" s="28" t="s">
        <v>108</v>
      </c>
      <c r="Z225" s="46" t="str">
        <f t="shared" si="12"/>
        <v>C</v>
      </c>
      <c r="AA225" s="73" t="str">
        <f t="shared" si="13"/>
        <v>UTILIZOU O PDA CORRETAMENTE</v>
      </c>
      <c r="AB225" s="18" t="s">
        <v>108</v>
      </c>
      <c r="AC225" s="38" t="s">
        <v>1</v>
      </c>
      <c r="AD225" s="29" t="str">
        <f t="shared" si="14"/>
        <v>GUARULHOS</v>
      </c>
      <c r="AE225" s="21" t="s">
        <v>16</v>
      </c>
    </row>
    <row r="226" spans="1:31" ht="30" customHeight="1" x14ac:dyDescent="0.2">
      <c r="A226" s="82" t="s">
        <v>101</v>
      </c>
      <c r="B226" s="82">
        <v>2615428284</v>
      </c>
      <c r="C226" s="82" t="s">
        <v>67</v>
      </c>
      <c r="D226" s="82" t="s">
        <v>58</v>
      </c>
      <c r="E226" s="82" t="s">
        <v>102</v>
      </c>
      <c r="F226" s="82" t="s">
        <v>141</v>
      </c>
      <c r="G226" s="82">
        <v>3293</v>
      </c>
      <c r="H226" s="82" t="s">
        <v>322</v>
      </c>
      <c r="I226" s="82" t="s">
        <v>247</v>
      </c>
      <c r="J226" s="82" t="s">
        <v>1984</v>
      </c>
      <c r="K226" s="82" t="s">
        <v>2264</v>
      </c>
      <c r="L226" s="86" t="s">
        <v>585</v>
      </c>
      <c r="M226" s="86">
        <v>46330.590277777781</v>
      </c>
      <c r="N226" s="82" t="s">
        <v>2140</v>
      </c>
      <c r="O226" s="85" t="s">
        <v>14</v>
      </c>
      <c r="P226" s="42"/>
      <c r="Q226" s="26" t="s">
        <v>14</v>
      </c>
      <c r="R226" s="10"/>
      <c r="S226" s="26" t="s">
        <v>14</v>
      </c>
      <c r="T226" s="10"/>
      <c r="U226" s="26" t="s">
        <v>14</v>
      </c>
      <c r="V226" s="10"/>
      <c r="W226" s="26" t="s">
        <v>14</v>
      </c>
      <c r="X226" s="10"/>
      <c r="Y226" s="26" t="s">
        <v>14</v>
      </c>
      <c r="Z226" s="46" t="str">
        <f t="shared" si="12"/>
        <v>NA</v>
      </c>
      <c r="AA226" s="73" t="str">
        <f t="shared" si="13"/>
        <v>NÃO AVALIADO POR FALHA DE SINCRONISMO</v>
      </c>
      <c r="AB226" s="18" t="s">
        <v>108</v>
      </c>
      <c r="AC226" s="38" t="s">
        <v>1</v>
      </c>
      <c r="AD226" s="29" t="str">
        <f t="shared" si="14"/>
        <v>GUARULHOS</v>
      </c>
      <c r="AE226" s="21" t="s">
        <v>16</v>
      </c>
    </row>
    <row r="227" spans="1:31" ht="30" customHeight="1" x14ac:dyDescent="0.2">
      <c r="A227" s="82" t="s">
        <v>101</v>
      </c>
      <c r="B227" s="96">
        <v>2690343331</v>
      </c>
      <c r="C227" s="82" t="s">
        <v>61</v>
      </c>
      <c r="D227" s="82" t="s">
        <v>58</v>
      </c>
      <c r="E227" s="82" t="s">
        <v>102</v>
      </c>
      <c r="F227" s="82" t="s">
        <v>785</v>
      </c>
      <c r="G227" s="82">
        <v>103</v>
      </c>
      <c r="H227" s="82" t="s">
        <v>260</v>
      </c>
      <c r="I227" s="82" t="s">
        <v>787</v>
      </c>
      <c r="J227" s="82" t="s">
        <v>2089</v>
      </c>
      <c r="K227" s="82"/>
      <c r="L227" s="86" t="s">
        <v>631</v>
      </c>
      <c r="M227" s="86">
        <v>46360.404861111114</v>
      </c>
      <c r="N227" s="82" t="s">
        <v>2257</v>
      </c>
      <c r="O227" s="85" t="s">
        <v>108</v>
      </c>
      <c r="P227" s="1"/>
      <c r="Q227" s="28" t="s">
        <v>108</v>
      </c>
      <c r="R227" s="18"/>
      <c r="S227" s="28" t="s">
        <v>108</v>
      </c>
      <c r="T227" s="18"/>
      <c r="U227" s="28" t="s">
        <v>108</v>
      </c>
      <c r="V227" s="18"/>
      <c r="W227" s="28" t="s">
        <v>108</v>
      </c>
      <c r="X227" s="18"/>
      <c r="Y227" s="28" t="s">
        <v>108</v>
      </c>
      <c r="Z227" s="46" t="str">
        <f t="shared" si="12"/>
        <v>C</v>
      </c>
      <c r="AA227" s="73" t="str">
        <f t="shared" si="13"/>
        <v>UTILIZOU O PDA CORRETAMENTE</v>
      </c>
      <c r="AB227" s="18" t="s">
        <v>108</v>
      </c>
      <c r="AC227" s="38" t="s">
        <v>1</v>
      </c>
      <c r="AD227" s="29" t="str">
        <f t="shared" si="14"/>
        <v>GUARULHOS</v>
      </c>
      <c r="AE227" s="21" t="s">
        <v>16</v>
      </c>
    </row>
    <row r="228" spans="1:31" ht="30" customHeight="1" x14ac:dyDescent="0.2">
      <c r="A228" s="82" t="s">
        <v>101</v>
      </c>
      <c r="B228" s="96">
        <v>2614624199</v>
      </c>
      <c r="C228" s="82" t="s">
        <v>67</v>
      </c>
      <c r="D228" s="82" t="s">
        <v>58</v>
      </c>
      <c r="E228" s="82" t="s">
        <v>102</v>
      </c>
      <c r="F228" s="82" t="s">
        <v>2266</v>
      </c>
      <c r="G228" s="82">
        <v>25</v>
      </c>
      <c r="H228" s="82" t="s">
        <v>2267</v>
      </c>
      <c r="I228" s="82" t="s">
        <v>2268</v>
      </c>
      <c r="J228" s="82" t="s">
        <v>1984</v>
      </c>
      <c r="K228" s="82" t="s">
        <v>117</v>
      </c>
      <c r="L228" s="86" t="s">
        <v>631</v>
      </c>
      <c r="M228" s="86">
        <v>46360.65</v>
      </c>
      <c r="N228" s="82" t="s">
        <v>107</v>
      </c>
      <c r="O228" s="85" t="s">
        <v>108</v>
      </c>
      <c r="P228" s="1"/>
      <c r="Q228" s="28" t="s">
        <v>108</v>
      </c>
      <c r="R228" s="18"/>
      <c r="S228" s="28" t="s">
        <v>108</v>
      </c>
      <c r="T228" s="18"/>
      <c r="U228" s="28" t="s">
        <v>108</v>
      </c>
      <c r="V228" s="18"/>
      <c r="W228" s="28" t="s">
        <v>108</v>
      </c>
      <c r="X228" s="18"/>
      <c r="Y228" s="28" t="s">
        <v>108</v>
      </c>
      <c r="Z228" s="46" t="str">
        <f t="shared" si="12"/>
        <v>C</v>
      </c>
      <c r="AA228" s="73" t="str">
        <f t="shared" si="13"/>
        <v>UTILIZOU O PDA CORRETAMENTE</v>
      </c>
      <c r="AB228" s="18" t="s">
        <v>108</v>
      </c>
      <c r="AC228" s="38" t="s">
        <v>1</v>
      </c>
      <c r="AD228" s="29" t="str">
        <f t="shared" si="14"/>
        <v>GUARULHOS</v>
      </c>
      <c r="AE228" s="21" t="s">
        <v>16</v>
      </c>
    </row>
    <row r="229" spans="1:31" ht="30" customHeight="1" x14ac:dyDescent="0.2">
      <c r="A229" s="82" t="s">
        <v>101</v>
      </c>
      <c r="B229" s="96">
        <v>2690363785</v>
      </c>
      <c r="C229" s="82" t="s">
        <v>60</v>
      </c>
      <c r="D229" s="82" t="s">
        <v>16</v>
      </c>
      <c r="E229" s="82" t="s">
        <v>102</v>
      </c>
      <c r="F229" s="82" t="s">
        <v>806</v>
      </c>
      <c r="G229" s="82">
        <v>207</v>
      </c>
      <c r="H229" s="82" t="s">
        <v>2269</v>
      </c>
      <c r="I229" s="82" t="s">
        <v>647</v>
      </c>
      <c r="J229" s="82" t="s">
        <v>1979</v>
      </c>
      <c r="K229" s="82" t="s">
        <v>117</v>
      </c>
      <c r="L229" s="86" t="s">
        <v>631</v>
      </c>
      <c r="M229" s="86">
        <v>46360.575694444444</v>
      </c>
      <c r="N229" s="82" t="s">
        <v>1986</v>
      </c>
      <c r="O229" s="85" t="s">
        <v>108</v>
      </c>
      <c r="P229" s="1"/>
      <c r="Q229" s="28" t="s">
        <v>108</v>
      </c>
      <c r="R229" s="18"/>
      <c r="S229" s="28" t="s">
        <v>108</v>
      </c>
      <c r="T229" s="18"/>
      <c r="U229" s="28" t="s">
        <v>108</v>
      </c>
      <c r="V229" s="18"/>
      <c r="W229" s="28" t="s">
        <v>108</v>
      </c>
      <c r="X229" s="18"/>
      <c r="Y229" s="28" t="s">
        <v>108</v>
      </c>
      <c r="Z229" s="46" t="str">
        <f t="shared" si="12"/>
        <v>C</v>
      </c>
      <c r="AA229" s="73" t="str">
        <f t="shared" si="13"/>
        <v>UTILIZOU O PDA CORRETAMENTE</v>
      </c>
      <c r="AB229" s="18" t="s">
        <v>108</v>
      </c>
      <c r="AC229" s="38" t="s">
        <v>1</v>
      </c>
      <c r="AD229" s="29" t="str">
        <f t="shared" si="14"/>
        <v>GUARULHOS</v>
      </c>
      <c r="AE229" s="21" t="s">
        <v>16</v>
      </c>
    </row>
    <row r="230" spans="1:31" ht="30" customHeight="1" x14ac:dyDescent="0.2">
      <c r="A230" s="82" t="s">
        <v>101</v>
      </c>
      <c r="B230" s="82">
        <v>2615497672</v>
      </c>
      <c r="C230" s="82" t="s">
        <v>67</v>
      </c>
      <c r="D230" s="82" t="s">
        <v>58</v>
      </c>
      <c r="E230" s="82" t="s">
        <v>102</v>
      </c>
      <c r="F230" s="82" t="s">
        <v>2270</v>
      </c>
      <c r="G230" s="82">
        <v>246</v>
      </c>
      <c r="H230" s="82" t="s">
        <v>507</v>
      </c>
      <c r="I230" s="82" t="s">
        <v>264</v>
      </c>
      <c r="J230" s="82" t="s">
        <v>1984</v>
      </c>
      <c r="K230" s="82" t="s">
        <v>2271</v>
      </c>
      <c r="L230" s="86" t="s">
        <v>631</v>
      </c>
      <c r="M230" s="86">
        <v>46360.604861111111</v>
      </c>
      <c r="N230" s="82" t="s">
        <v>2000</v>
      </c>
      <c r="O230" s="85" t="s">
        <v>214</v>
      </c>
      <c r="P230" s="42"/>
      <c r="Q230" s="26" t="s">
        <v>214</v>
      </c>
      <c r="R230" s="10"/>
      <c r="S230" s="26" t="s">
        <v>214</v>
      </c>
      <c r="T230" s="10"/>
      <c r="U230" s="26" t="s">
        <v>214</v>
      </c>
      <c r="V230" s="10"/>
      <c r="W230" s="26" t="s">
        <v>214</v>
      </c>
      <c r="X230" s="10"/>
      <c r="Y230" s="26" t="s">
        <v>114</v>
      </c>
      <c r="Z230" s="46" t="str">
        <f t="shared" si="12"/>
        <v>NC</v>
      </c>
      <c r="AA230" s="73" t="str">
        <f t="shared" si="13"/>
        <v>NÃO UTILIZOU O PDA</v>
      </c>
      <c r="AB230" s="18" t="s">
        <v>108</v>
      </c>
      <c r="AC230" s="38" t="s">
        <v>1</v>
      </c>
      <c r="AD230" s="29" t="str">
        <f t="shared" si="14"/>
        <v>GUARULHOS</v>
      </c>
      <c r="AE230" s="21" t="s">
        <v>16</v>
      </c>
    </row>
    <row r="231" spans="1:31" ht="30" customHeight="1" x14ac:dyDescent="0.2">
      <c r="A231" s="91" t="s">
        <v>101</v>
      </c>
      <c r="B231" s="91">
        <v>2615498126</v>
      </c>
      <c r="C231" s="91" t="s">
        <v>67</v>
      </c>
      <c r="D231" s="91" t="s">
        <v>58</v>
      </c>
      <c r="E231" s="91" t="s">
        <v>102</v>
      </c>
      <c r="F231" s="91" t="s">
        <v>2272</v>
      </c>
      <c r="G231" s="91">
        <v>168</v>
      </c>
      <c r="H231" s="91" t="s">
        <v>117</v>
      </c>
      <c r="I231" s="91" t="s">
        <v>134</v>
      </c>
      <c r="J231" s="91" t="s">
        <v>1984</v>
      </c>
      <c r="K231" s="91" t="s">
        <v>2273</v>
      </c>
      <c r="L231" s="92" t="s">
        <v>631</v>
      </c>
      <c r="M231" s="92">
        <v>46360.6875</v>
      </c>
      <c r="N231" s="91" t="s">
        <v>1986</v>
      </c>
      <c r="O231" s="85" t="s">
        <v>214</v>
      </c>
      <c r="P231" s="42"/>
      <c r="Q231" s="26" t="s">
        <v>214</v>
      </c>
      <c r="R231" s="10"/>
      <c r="S231" s="26" t="s">
        <v>214</v>
      </c>
      <c r="T231" s="10"/>
      <c r="U231" s="26" t="s">
        <v>214</v>
      </c>
      <c r="V231" s="10"/>
      <c r="W231" s="26" t="s">
        <v>214</v>
      </c>
      <c r="X231" s="10"/>
      <c r="Y231" s="26" t="s">
        <v>114</v>
      </c>
      <c r="Z231" s="46" t="str">
        <f t="shared" si="12"/>
        <v>NC</v>
      </c>
      <c r="AA231" s="73" t="str">
        <f t="shared" si="13"/>
        <v>NÃO UTILIZOU O PDA</v>
      </c>
      <c r="AB231" s="18" t="s">
        <v>108</v>
      </c>
      <c r="AC231" s="38" t="s">
        <v>1</v>
      </c>
      <c r="AD231" s="29" t="str">
        <f t="shared" si="14"/>
        <v>GUARULHOS</v>
      </c>
      <c r="AE231" s="21" t="s">
        <v>16</v>
      </c>
    </row>
    <row r="232" spans="1:31" ht="30" customHeight="1" x14ac:dyDescent="0.2">
      <c r="A232" s="82" t="s">
        <v>101</v>
      </c>
      <c r="B232" s="96">
        <v>2614824074</v>
      </c>
      <c r="C232" s="82" t="s">
        <v>67</v>
      </c>
      <c r="D232" s="82" t="s">
        <v>58</v>
      </c>
      <c r="E232" s="82" t="s">
        <v>102</v>
      </c>
      <c r="F232" s="82" t="s">
        <v>2276</v>
      </c>
      <c r="G232" s="82">
        <v>106</v>
      </c>
      <c r="H232" s="82" t="s">
        <v>2277</v>
      </c>
      <c r="I232" s="82" t="s">
        <v>177</v>
      </c>
      <c r="J232" s="82" t="s">
        <v>1984</v>
      </c>
      <c r="K232" s="82"/>
      <c r="L232" s="82" t="s">
        <v>653</v>
      </c>
      <c r="M232" s="82" t="s">
        <v>2278</v>
      </c>
      <c r="N232" s="82" t="s">
        <v>274</v>
      </c>
      <c r="O232" s="36" t="s">
        <v>108</v>
      </c>
      <c r="P232" s="18"/>
      <c r="Q232" s="28" t="s">
        <v>108</v>
      </c>
      <c r="R232" s="18"/>
      <c r="S232" s="28" t="s">
        <v>108</v>
      </c>
      <c r="T232" s="18"/>
      <c r="U232" s="28" t="s">
        <v>108</v>
      </c>
      <c r="V232" s="18"/>
      <c r="W232" s="28" t="s">
        <v>108</v>
      </c>
      <c r="X232" s="18"/>
      <c r="Y232" s="28" t="s">
        <v>108</v>
      </c>
      <c r="Z232" s="46" t="str">
        <f t="shared" si="12"/>
        <v>C</v>
      </c>
      <c r="AA232" s="73" t="str">
        <f t="shared" si="13"/>
        <v>UTILIZOU O PDA CORRETAMENTE</v>
      </c>
      <c r="AB232" s="18" t="s">
        <v>108</v>
      </c>
      <c r="AC232" s="38" t="s">
        <v>1</v>
      </c>
      <c r="AD232" s="29" t="str">
        <f t="shared" si="14"/>
        <v>GUARULHOS</v>
      </c>
      <c r="AE232" s="21" t="s">
        <v>16</v>
      </c>
    </row>
    <row r="233" spans="1:31" ht="30" customHeight="1" x14ac:dyDescent="0.2">
      <c r="A233" s="82" t="s">
        <v>101</v>
      </c>
      <c r="B233" s="96">
        <v>2615524274</v>
      </c>
      <c r="C233" s="82" t="s">
        <v>61</v>
      </c>
      <c r="D233" s="82" t="s">
        <v>58</v>
      </c>
      <c r="E233" s="82" t="s">
        <v>102</v>
      </c>
      <c r="F233" s="82" t="s">
        <v>2279</v>
      </c>
      <c r="G233" s="82">
        <v>153</v>
      </c>
      <c r="H233" s="82" t="s">
        <v>2280</v>
      </c>
      <c r="I233" s="82" t="s">
        <v>483</v>
      </c>
      <c r="J233" s="82" t="s">
        <v>2089</v>
      </c>
      <c r="K233" s="82" t="s">
        <v>2274</v>
      </c>
      <c r="L233" s="82" t="s">
        <v>653</v>
      </c>
      <c r="M233" s="82" t="s">
        <v>2281</v>
      </c>
      <c r="N233" s="82" t="s">
        <v>1980</v>
      </c>
      <c r="O233" s="36" t="s">
        <v>108</v>
      </c>
      <c r="P233" s="18"/>
      <c r="Q233" s="28" t="s">
        <v>108</v>
      </c>
      <c r="R233" s="18"/>
      <c r="S233" s="28" t="s">
        <v>108</v>
      </c>
      <c r="T233" s="18"/>
      <c r="U233" s="28" t="s">
        <v>108</v>
      </c>
      <c r="V233" s="18"/>
      <c r="W233" s="28" t="s">
        <v>108</v>
      </c>
      <c r="X233" s="18"/>
      <c r="Y233" s="28" t="s">
        <v>108</v>
      </c>
      <c r="Z233" s="46" t="str">
        <f t="shared" si="12"/>
        <v>C</v>
      </c>
      <c r="AA233" s="73" t="str">
        <f t="shared" si="13"/>
        <v>UTILIZOU O PDA CORRETAMENTE</v>
      </c>
      <c r="AB233" s="18" t="s">
        <v>108</v>
      </c>
      <c r="AC233" s="38" t="s">
        <v>1</v>
      </c>
      <c r="AD233" s="29" t="str">
        <f t="shared" si="14"/>
        <v>GUARULHOS</v>
      </c>
      <c r="AE233" s="21" t="s">
        <v>16</v>
      </c>
    </row>
    <row r="234" spans="1:31" ht="30" customHeight="1" x14ac:dyDescent="0.2">
      <c r="A234" s="82" t="s">
        <v>101</v>
      </c>
      <c r="B234" s="96">
        <v>2690394149</v>
      </c>
      <c r="C234" s="82" t="s">
        <v>65</v>
      </c>
      <c r="D234" s="82" t="s">
        <v>58</v>
      </c>
      <c r="E234" s="82" t="s">
        <v>102</v>
      </c>
      <c r="F234" s="82" t="s">
        <v>2216</v>
      </c>
      <c r="G234" s="82">
        <v>92</v>
      </c>
      <c r="H234" s="82" t="s">
        <v>1638</v>
      </c>
      <c r="I234" s="82" t="s">
        <v>2217</v>
      </c>
      <c r="J234" s="82" t="s">
        <v>1979</v>
      </c>
      <c r="K234" s="82"/>
      <c r="L234" s="82" t="s">
        <v>653</v>
      </c>
      <c r="M234" s="82" t="s">
        <v>2282</v>
      </c>
      <c r="N234" s="82" t="s">
        <v>185</v>
      </c>
      <c r="O234" s="36" t="s">
        <v>108</v>
      </c>
      <c r="P234" s="18"/>
      <c r="Q234" s="28" t="s">
        <v>108</v>
      </c>
      <c r="R234" s="18"/>
      <c r="S234" s="28" t="s">
        <v>108</v>
      </c>
      <c r="T234" s="18"/>
      <c r="U234" s="28" t="s">
        <v>108</v>
      </c>
      <c r="V234" s="18"/>
      <c r="W234" s="28" t="s">
        <v>108</v>
      </c>
      <c r="X234" s="18"/>
      <c r="Y234" s="28" t="s">
        <v>108</v>
      </c>
      <c r="Z234" s="46" t="str">
        <f t="shared" si="12"/>
        <v>C</v>
      </c>
      <c r="AA234" s="73" t="str">
        <f t="shared" si="13"/>
        <v>UTILIZOU O PDA CORRETAMENTE</v>
      </c>
      <c r="AB234" s="18" t="s">
        <v>108</v>
      </c>
      <c r="AC234" s="38" t="s">
        <v>1</v>
      </c>
      <c r="AD234" s="29" t="str">
        <f t="shared" ref="AD234:AD241" si="15">E234</f>
        <v>GUARULHOS</v>
      </c>
      <c r="AE234" s="21" t="s">
        <v>16</v>
      </c>
    </row>
    <row r="235" spans="1:31" ht="30" customHeight="1" x14ac:dyDescent="0.2">
      <c r="A235" s="82" t="s">
        <v>101</v>
      </c>
      <c r="B235" s="82">
        <v>2690371597</v>
      </c>
      <c r="C235" s="82" t="s">
        <v>65</v>
      </c>
      <c r="D235" s="82" t="s">
        <v>58</v>
      </c>
      <c r="E235" s="82" t="s">
        <v>102</v>
      </c>
      <c r="F235" s="82" t="s">
        <v>206</v>
      </c>
      <c r="G235" s="82">
        <v>6</v>
      </c>
      <c r="H235" s="82" t="s">
        <v>110</v>
      </c>
      <c r="I235" s="82" t="s">
        <v>207</v>
      </c>
      <c r="J235" s="82" t="s">
        <v>1979</v>
      </c>
      <c r="K235" s="82" t="s">
        <v>2285</v>
      </c>
      <c r="L235" s="82" t="s">
        <v>653</v>
      </c>
      <c r="M235" s="82" t="s">
        <v>2286</v>
      </c>
      <c r="N235" s="82" t="s">
        <v>597</v>
      </c>
      <c r="O235" s="85" t="s">
        <v>14</v>
      </c>
      <c r="P235" s="42"/>
      <c r="Q235" s="26" t="s">
        <v>14</v>
      </c>
      <c r="R235" s="10"/>
      <c r="S235" s="26" t="s">
        <v>14</v>
      </c>
      <c r="T235" s="10"/>
      <c r="U235" s="26" t="s">
        <v>14</v>
      </c>
      <c r="V235" s="10"/>
      <c r="W235" s="26" t="s">
        <v>14</v>
      </c>
      <c r="X235" s="10"/>
      <c r="Y235" s="26" t="s">
        <v>14</v>
      </c>
      <c r="Z235" s="46" t="str">
        <f t="shared" si="12"/>
        <v>NA</v>
      </c>
      <c r="AA235" s="73" t="str">
        <f t="shared" si="13"/>
        <v>NÃO AVALIADO POR FALHA DE SINCRONISMO</v>
      </c>
      <c r="AB235" s="18" t="s">
        <v>108</v>
      </c>
      <c r="AC235" s="38" t="s">
        <v>1</v>
      </c>
      <c r="AD235" s="29" t="str">
        <f t="shared" si="15"/>
        <v>GUARULHOS</v>
      </c>
      <c r="AE235" s="21" t="s">
        <v>16</v>
      </c>
    </row>
    <row r="236" spans="1:31" ht="30" customHeight="1" x14ac:dyDescent="0.2">
      <c r="A236" s="82" t="s">
        <v>101</v>
      </c>
      <c r="B236" s="96">
        <v>2615539108</v>
      </c>
      <c r="C236" s="82" t="s">
        <v>60</v>
      </c>
      <c r="D236" s="82" t="s">
        <v>16</v>
      </c>
      <c r="E236" s="82" t="s">
        <v>102</v>
      </c>
      <c r="F236" s="82" t="s">
        <v>655</v>
      </c>
      <c r="G236" s="82">
        <v>1115</v>
      </c>
      <c r="H236" s="82" t="s">
        <v>2287</v>
      </c>
      <c r="I236" s="82" t="s">
        <v>576</v>
      </c>
      <c r="J236" s="82" t="s">
        <v>1979</v>
      </c>
      <c r="K236" s="82"/>
      <c r="L236" s="82" t="s">
        <v>653</v>
      </c>
      <c r="M236" s="82" t="s">
        <v>2275</v>
      </c>
      <c r="N236" s="82" t="s">
        <v>2000</v>
      </c>
      <c r="O236" s="36" t="s">
        <v>108</v>
      </c>
      <c r="P236" s="18"/>
      <c r="Q236" s="28" t="s">
        <v>108</v>
      </c>
      <c r="R236" s="18"/>
      <c r="S236" s="28"/>
      <c r="T236" s="18"/>
      <c r="U236" s="28" t="s">
        <v>108</v>
      </c>
      <c r="V236" s="18"/>
      <c r="W236" s="28" t="s">
        <v>108</v>
      </c>
      <c r="X236" s="18"/>
      <c r="Y236" s="28" t="s">
        <v>108</v>
      </c>
      <c r="Z236" s="46" t="str">
        <f t="shared" si="12"/>
        <v>C</v>
      </c>
      <c r="AA236" s="73" t="str">
        <f t="shared" si="13"/>
        <v>UTILIZOU O PDA CORRETAMENTE</v>
      </c>
      <c r="AB236" s="18" t="s">
        <v>108</v>
      </c>
      <c r="AC236" s="38" t="s">
        <v>1</v>
      </c>
      <c r="AD236" s="29" t="str">
        <f t="shared" si="15"/>
        <v>GUARULHOS</v>
      </c>
      <c r="AE236" s="21" t="s">
        <v>16</v>
      </c>
    </row>
    <row r="237" spans="1:31" ht="30" customHeight="1" x14ac:dyDescent="0.2">
      <c r="A237" s="82" t="s">
        <v>101</v>
      </c>
      <c r="B237" s="96">
        <v>2690410413</v>
      </c>
      <c r="C237" s="82" t="s">
        <v>60</v>
      </c>
      <c r="D237" s="82" t="s">
        <v>16</v>
      </c>
      <c r="E237" s="82" t="s">
        <v>102</v>
      </c>
      <c r="F237" s="82" t="s">
        <v>2288</v>
      </c>
      <c r="G237" s="82">
        <v>98</v>
      </c>
      <c r="H237" s="82" t="s">
        <v>2256</v>
      </c>
      <c r="I237" s="82" t="s">
        <v>264</v>
      </c>
      <c r="J237" s="82" t="s">
        <v>1979</v>
      </c>
      <c r="K237" s="82" t="s">
        <v>117</v>
      </c>
      <c r="L237" s="82" t="s">
        <v>653</v>
      </c>
      <c r="M237" s="82" t="s">
        <v>2289</v>
      </c>
      <c r="N237" s="82" t="s">
        <v>185</v>
      </c>
      <c r="O237" s="36" t="s">
        <v>108</v>
      </c>
      <c r="P237" s="18"/>
      <c r="Q237" s="28" t="s">
        <v>108</v>
      </c>
      <c r="R237" s="18"/>
      <c r="S237" s="28"/>
      <c r="T237" s="18"/>
      <c r="U237" s="28" t="s">
        <v>108</v>
      </c>
      <c r="V237" s="18"/>
      <c r="W237" s="28" t="s">
        <v>108</v>
      </c>
      <c r="X237" s="18"/>
      <c r="Y237" s="28" t="s">
        <v>108</v>
      </c>
      <c r="Z237" s="46" t="str">
        <f t="shared" si="12"/>
        <v>C</v>
      </c>
      <c r="AA237" s="73" t="str">
        <f t="shared" si="13"/>
        <v>UTILIZOU O PDA CORRETAMENTE</v>
      </c>
      <c r="AB237" s="18" t="s">
        <v>108</v>
      </c>
      <c r="AC237" s="38" t="s">
        <v>1</v>
      </c>
      <c r="AD237" s="29" t="str">
        <f t="shared" si="15"/>
        <v>GUARULHOS</v>
      </c>
      <c r="AE237" s="21" t="s">
        <v>16</v>
      </c>
    </row>
    <row r="238" spans="1:31" ht="30" customHeight="1" x14ac:dyDescent="0.2">
      <c r="A238" s="82" t="s">
        <v>101</v>
      </c>
      <c r="B238" s="96">
        <v>2690432602</v>
      </c>
      <c r="C238" s="82" t="s">
        <v>60</v>
      </c>
      <c r="D238" s="82" t="s">
        <v>16</v>
      </c>
      <c r="E238" s="82" t="s">
        <v>102</v>
      </c>
      <c r="F238" s="82" t="s">
        <v>1544</v>
      </c>
      <c r="G238" s="82">
        <v>395</v>
      </c>
      <c r="H238" s="82" t="s">
        <v>2290</v>
      </c>
      <c r="I238" s="82" t="s">
        <v>154</v>
      </c>
      <c r="J238" s="82" t="s">
        <v>1979</v>
      </c>
      <c r="K238" s="82" t="s">
        <v>2291</v>
      </c>
      <c r="L238" s="82" t="s">
        <v>653</v>
      </c>
      <c r="M238" s="82" t="s">
        <v>2292</v>
      </c>
      <c r="N238" s="82" t="s">
        <v>1980</v>
      </c>
      <c r="O238" s="36" t="s">
        <v>108</v>
      </c>
      <c r="P238" s="18"/>
      <c r="Q238" s="28" t="s">
        <v>108</v>
      </c>
      <c r="R238" s="18"/>
      <c r="S238" s="28"/>
      <c r="T238" s="18"/>
      <c r="U238" s="28" t="s">
        <v>108</v>
      </c>
      <c r="V238" s="18"/>
      <c r="W238" s="28" t="s">
        <v>108</v>
      </c>
      <c r="X238" s="18"/>
      <c r="Y238" s="28" t="s">
        <v>108</v>
      </c>
      <c r="Z238" s="46" t="str">
        <f t="shared" si="12"/>
        <v>C</v>
      </c>
      <c r="AA238" s="73" t="str">
        <f t="shared" si="13"/>
        <v>UTILIZOU O PDA CORRETAMENTE</v>
      </c>
      <c r="AB238" s="18" t="s">
        <v>108</v>
      </c>
      <c r="AC238" s="38" t="s">
        <v>1</v>
      </c>
      <c r="AD238" s="29" t="str">
        <f t="shared" si="15"/>
        <v>GUARULHOS</v>
      </c>
      <c r="AE238" s="21" t="s">
        <v>16</v>
      </c>
    </row>
    <row r="239" spans="1:31" ht="30" customHeight="1" x14ac:dyDescent="0.2">
      <c r="A239" s="82" t="s">
        <v>101</v>
      </c>
      <c r="B239" s="96">
        <v>2690367107</v>
      </c>
      <c r="C239" s="82" t="s">
        <v>67</v>
      </c>
      <c r="D239" s="82" t="s">
        <v>58</v>
      </c>
      <c r="E239" s="82" t="s">
        <v>102</v>
      </c>
      <c r="F239" s="82" t="s">
        <v>711</v>
      </c>
      <c r="G239" s="82">
        <v>143</v>
      </c>
      <c r="H239" s="82" t="s">
        <v>712</v>
      </c>
      <c r="I239" s="82" t="s">
        <v>713</v>
      </c>
      <c r="J239" s="82" t="s">
        <v>1984</v>
      </c>
      <c r="K239" s="82" t="s">
        <v>714</v>
      </c>
      <c r="L239" s="82" t="s">
        <v>653</v>
      </c>
      <c r="M239" s="82" t="s">
        <v>2293</v>
      </c>
      <c r="N239" s="82" t="s">
        <v>171</v>
      </c>
      <c r="O239" s="36" t="s">
        <v>108</v>
      </c>
      <c r="P239" s="18"/>
      <c r="Q239" s="28" t="s">
        <v>108</v>
      </c>
      <c r="R239" s="18"/>
      <c r="S239" s="28"/>
      <c r="T239" s="18"/>
      <c r="U239" s="28" t="s">
        <v>108</v>
      </c>
      <c r="V239" s="18"/>
      <c r="W239" s="28" t="s">
        <v>108</v>
      </c>
      <c r="X239" s="18"/>
      <c r="Y239" s="28" t="s">
        <v>108</v>
      </c>
      <c r="Z239" s="46" t="str">
        <f t="shared" si="12"/>
        <v>C</v>
      </c>
      <c r="AA239" s="73" t="str">
        <f t="shared" si="13"/>
        <v>UTILIZOU O PDA CORRETAMENTE</v>
      </c>
      <c r="AB239" s="18" t="s">
        <v>108</v>
      </c>
      <c r="AC239" s="38" t="s">
        <v>1</v>
      </c>
      <c r="AD239" s="29" t="str">
        <f t="shared" si="15"/>
        <v>GUARULHOS</v>
      </c>
      <c r="AE239" s="21" t="s">
        <v>16</v>
      </c>
    </row>
    <row r="240" spans="1:31" ht="30" customHeight="1" x14ac:dyDescent="0.2">
      <c r="A240" s="82" t="s">
        <v>101</v>
      </c>
      <c r="B240" s="96">
        <v>2690437685</v>
      </c>
      <c r="C240" s="82" t="s">
        <v>65</v>
      </c>
      <c r="D240" s="82" t="s">
        <v>58</v>
      </c>
      <c r="E240" s="82" t="s">
        <v>102</v>
      </c>
      <c r="F240" s="82" t="s">
        <v>1511</v>
      </c>
      <c r="G240" s="82">
        <v>265</v>
      </c>
      <c r="H240" s="82" t="s">
        <v>1277</v>
      </c>
      <c r="I240" s="82" t="s">
        <v>247</v>
      </c>
      <c r="J240" s="82" t="s">
        <v>1979</v>
      </c>
      <c r="K240" s="82" t="s">
        <v>117</v>
      </c>
      <c r="L240" s="82" t="s">
        <v>653</v>
      </c>
      <c r="M240" s="82" t="s">
        <v>2294</v>
      </c>
      <c r="N240" s="82" t="s">
        <v>185</v>
      </c>
      <c r="O240" s="36" t="s">
        <v>108</v>
      </c>
      <c r="P240" s="18"/>
      <c r="Q240" s="28" t="s">
        <v>108</v>
      </c>
      <c r="R240" s="18"/>
      <c r="S240" s="28"/>
      <c r="T240" s="18"/>
      <c r="U240" s="28" t="s">
        <v>108</v>
      </c>
      <c r="V240" s="18"/>
      <c r="W240" s="28" t="s">
        <v>108</v>
      </c>
      <c r="X240" s="18"/>
      <c r="Y240" s="28" t="s">
        <v>108</v>
      </c>
      <c r="Z240" s="46" t="str">
        <f t="shared" ref="Z240:Z258" si="16">IF(AND(O240="",Q240="",S240="",U240="",W240=""),"",IF(OR(AND(O240&lt;&gt;"NA",O240&lt;&gt;"C",O240&lt;&gt;"NC",O240&lt;&gt;"SF",O240&lt;&gt;""),AND(Q240&lt;&gt;"NA",Q240&lt;&gt;"C",Q240&lt;&gt;"NC",Q240&lt;&gt;"SF",Q240&lt;&gt;""),AND(S240&lt;&gt;"NA",S240&lt;&gt;"C",S240&lt;&gt;"NC",S240&lt;&gt;"SF",S240&lt;&gt;""),AND(U240&lt;&gt;"NA",U240&lt;&gt;"C",U240&lt;&gt;"NC",U240&lt;&gt;"SF",U240&lt;&gt;""),AND(W240&lt;&gt;"NA",W240&lt;&gt;"C",W240&lt;&gt;"NC",W240&lt;&gt;"SF",W240&lt;&gt;"")),"FALSO",IF(AND(O240="NA",Q240="NA",S240="NA",U240="NA",W240="NA"),"NA",IF(OR(O240="NC",Q240="NC",S240="NC",U240="NC",W240="NC",O240="SF",Q240="SF",S240="SF",U240="SF",W240="SF"),"NC",IF(OR(O240="C",Q240="C",S240="C",U240="C",W240="C"),"C","")))))</f>
        <v>C</v>
      </c>
      <c r="AA240" s="73" t="str">
        <f t="shared" ref="AA240:AA258" si="17">IF(AND(Y240="C",Z240="C"),"UTILIZOU O PDA CORRETAMENTE",IF(AND(Y240="C",Z240="NC"),"UTILIZOU O PDA CORRETAMENTE. NÃO HÁ FOTOS DE TODAS AS ETAPAS",IF(AND(Y240="NC",Z240="NC"),"NÃO UTILIZOU O PDA",IF(AND(Y240="NA",Z240="NA"),"NÃO AVALIADO POR FALHA DE SINCRONISMO"))))</f>
        <v>UTILIZOU O PDA CORRETAMENTE</v>
      </c>
      <c r="AB240" s="18" t="s">
        <v>108</v>
      </c>
      <c r="AC240" s="38" t="s">
        <v>1</v>
      </c>
      <c r="AD240" s="29" t="str">
        <f t="shared" si="15"/>
        <v>GUARULHOS</v>
      </c>
      <c r="AE240" s="21" t="s">
        <v>16</v>
      </c>
    </row>
    <row r="241" spans="1:31" ht="30" customHeight="1" x14ac:dyDescent="0.2">
      <c r="A241" s="82" t="s">
        <v>101</v>
      </c>
      <c r="B241" s="96">
        <v>2615550945</v>
      </c>
      <c r="C241" s="82" t="s">
        <v>59</v>
      </c>
      <c r="D241" s="82" t="s">
        <v>16</v>
      </c>
      <c r="E241" s="82" t="s">
        <v>102</v>
      </c>
      <c r="F241" s="82" t="s">
        <v>641</v>
      </c>
      <c r="G241" s="82">
        <v>240</v>
      </c>
      <c r="H241" s="82" t="s">
        <v>2295</v>
      </c>
      <c r="I241" s="82" t="s">
        <v>713</v>
      </c>
      <c r="J241" s="82" t="s">
        <v>2044</v>
      </c>
      <c r="K241" s="82" t="s">
        <v>2296</v>
      </c>
      <c r="L241" s="82" t="s">
        <v>653</v>
      </c>
      <c r="M241" s="82" t="s">
        <v>2297</v>
      </c>
      <c r="N241" s="82" t="s">
        <v>253</v>
      </c>
      <c r="O241" s="36" t="s">
        <v>14</v>
      </c>
      <c r="P241" s="18"/>
      <c r="Q241" s="28" t="s">
        <v>14</v>
      </c>
      <c r="R241" s="18"/>
      <c r="S241" s="28" t="s">
        <v>14</v>
      </c>
      <c r="T241" s="18"/>
      <c r="U241" s="28" t="s">
        <v>14</v>
      </c>
      <c r="V241" s="18"/>
      <c r="W241" s="28" t="s">
        <v>14</v>
      </c>
      <c r="X241" s="18"/>
      <c r="Y241" s="28" t="s">
        <v>14</v>
      </c>
      <c r="Z241" s="46" t="str">
        <f t="shared" si="16"/>
        <v>NA</v>
      </c>
      <c r="AA241" s="73" t="str">
        <f t="shared" si="17"/>
        <v>NÃO AVALIADO POR FALHA DE SINCRONISMO</v>
      </c>
      <c r="AB241" s="18" t="s">
        <v>108</v>
      </c>
      <c r="AC241" s="38" t="s">
        <v>1</v>
      </c>
      <c r="AD241" s="29" t="str">
        <f t="shared" si="15"/>
        <v>GUARULHOS</v>
      </c>
      <c r="AE241" s="21" t="s">
        <v>16</v>
      </c>
    </row>
    <row r="242" spans="1:31" ht="30" customHeight="1" x14ac:dyDescent="0.2">
      <c r="A242" s="82" t="s">
        <v>101</v>
      </c>
      <c r="B242" s="96">
        <v>2615569375</v>
      </c>
      <c r="C242" s="82" t="s">
        <v>60</v>
      </c>
      <c r="D242" s="82" t="s">
        <v>16</v>
      </c>
      <c r="E242" s="82" t="s">
        <v>102</v>
      </c>
      <c r="F242" s="82" t="s">
        <v>2298</v>
      </c>
      <c r="G242" s="82">
        <v>318</v>
      </c>
      <c r="H242" s="82" t="s">
        <v>2299</v>
      </c>
      <c r="I242" s="82" t="s">
        <v>1073</v>
      </c>
      <c r="J242" s="82" t="s">
        <v>1975</v>
      </c>
      <c r="K242" s="82" t="s">
        <v>117</v>
      </c>
      <c r="L242" s="82" t="s">
        <v>734</v>
      </c>
      <c r="M242" s="82" t="s">
        <v>2300</v>
      </c>
      <c r="N242" s="82" t="s">
        <v>767</v>
      </c>
      <c r="O242" s="36" t="s">
        <v>108</v>
      </c>
      <c r="P242" s="18"/>
      <c r="Q242" s="28" t="s">
        <v>108</v>
      </c>
      <c r="R242" s="18"/>
      <c r="S242" s="28" t="s">
        <v>108</v>
      </c>
      <c r="T242" s="18"/>
      <c r="U242" s="28" t="s">
        <v>108</v>
      </c>
      <c r="V242" s="18"/>
      <c r="W242" s="28" t="s">
        <v>108</v>
      </c>
      <c r="X242" s="18"/>
      <c r="Y242" s="28" t="s">
        <v>108</v>
      </c>
      <c r="Z242" s="46" t="str">
        <f t="shared" si="16"/>
        <v>C</v>
      </c>
      <c r="AA242" s="73" t="str">
        <f t="shared" si="17"/>
        <v>UTILIZOU O PDA CORRETAMENTE</v>
      </c>
      <c r="AB242" s="18" t="s">
        <v>108</v>
      </c>
      <c r="AC242" s="38" t="s">
        <v>1</v>
      </c>
      <c r="AD242" s="29" t="str">
        <f t="shared" ref="AD242:AD247" si="18">E242</f>
        <v>GUARULHOS</v>
      </c>
      <c r="AE242" s="21" t="s">
        <v>16</v>
      </c>
    </row>
    <row r="243" spans="1:31" ht="30" customHeight="1" x14ac:dyDescent="0.2">
      <c r="A243" s="82" t="s">
        <v>101</v>
      </c>
      <c r="B243" s="96">
        <v>2690451312</v>
      </c>
      <c r="C243" s="82" t="s">
        <v>60</v>
      </c>
      <c r="D243" s="82" t="s">
        <v>16</v>
      </c>
      <c r="E243" s="82" t="s">
        <v>102</v>
      </c>
      <c r="F243" s="82" t="s">
        <v>2303</v>
      </c>
      <c r="G243" s="82">
        <v>63</v>
      </c>
      <c r="H243" s="82" t="s">
        <v>322</v>
      </c>
      <c r="I243" s="82" t="s">
        <v>1179</v>
      </c>
      <c r="J243" s="82" t="s">
        <v>1979</v>
      </c>
      <c r="K243" s="82" t="s">
        <v>2304</v>
      </c>
      <c r="L243" s="82" t="s">
        <v>734</v>
      </c>
      <c r="M243" s="82" t="s">
        <v>2305</v>
      </c>
      <c r="N243" s="82" t="s">
        <v>597</v>
      </c>
      <c r="O243" s="36" t="s">
        <v>108</v>
      </c>
      <c r="P243" s="18"/>
      <c r="Q243" s="28" t="s">
        <v>108</v>
      </c>
      <c r="R243" s="18"/>
      <c r="S243" s="28" t="s">
        <v>108</v>
      </c>
      <c r="T243" s="18"/>
      <c r="U243" s="28" t="s">
        <v>108</v>
      </c>
      <c r="V243" s="18"/>
      <c r="W243" s="28" t="s">
        <v>108</v>
      </c>
      <c r="X243" s="18"/>
      <c r="Y243" s="28" t="s">
        <v>108</v>
      </c>
      <c r="Z243" s="46" t="str">
        <f t="shared" si="16"/>
        <v>C</v>
      </c>
      <c r="AA243" s="73" t="str">
        <f t="shared" si="17"/>
        <v>UTILIZOU O PDA CORRETAMENTE</v>
      </c>
      <c r="AB243" s="18" t="s">
        <v>108</v>
      </c>
      <c r="AC243" s="38" t="s">
        <v>1</v>
      </c>
      <c r="AD243" s="29" t="str">
        <f t="shared" si="18"/>
        <v>GUARULHOS</v>
      </c>
      <c r="AE243" s="21" t="s">
        <v>16</v>
      </c>
    </row>
    <row r="244" spans="1:31" ht="30" customHeight="1" x14ac:dyDescent="0.2">
      <c r="A244" s="82" t="s">
        <v>101</v>
      </c>
      <c r="B244" s="96">
        <v>2615609133</v>
      </c>
      <c r="C244" s="82" t="s">
        <v>59</v>
      </c>
      <c r="D244" s="82" t="s">
        <v>16</v>
      </c>
      <c r="E244" s="82" t="s">
        <v>102</v>
      </c>
      <c r="F244" s="82" t="s">
        <v>1294</v>
      </c>
      <c r="G244" s="82">
        <v>352</v>
      </c>
      <c r="H244" s="82" t="s">
        <v>1638</v>
      </c>
      <c r="I244" s="82" t="s">
        <v>252</v>
      </c>
      <c r="J244" s="82" t="s">
        <v>1979</v>
      </c>
      <c r="K244" s="82" t="s">
        <v>117</v>
      </c>
      <c r="L244" s="82" t="s">
        <v>734</v>
      </c>
      <c r="M244" s="82" t="s">
        <v>2306</v>
      </c>
      <c r="N244" s="82" t="s">
        <v>2042</v>
      </c>
      <c r="O244" s="36" t="s">
        <v>108</v>
      </c>
      <c r="P244" s="18"/>
      <c r="Q244" s="28" t="s">
        <v>108</v>
      </c>
      <c r="R244" s="18"/>
      <c r="S244" s="28" t="s">
        <v>108</v>
      </c>
      <c r="T244" s="18"/>
      <c r="U244" s="28" t="s">
        <v>108</v>
      </c>
      <c r="V244" s="18"/>
      <c r="W244" s="28" t="s">
        <v>108</v>
      </c>
      <c r="X244" s="18"/>
      <c r="Y244" s="28" t="s">
        <v>108</v>
      </c>
      <c r="Z244" s="46" t="str">
        <f t="shared" si="16"/>
        <v>C</v>
      </c>
      <c r="AA244" s="73" t="str">
        <f t="shared" si="17"/>
        <v>UTILIZOU O PDA CORRETAMENTE</v>
      </c>
      <c r="AB244" s="18" t="s">
        <v>108</v>
      </c>
      <c r="AC244" s="38" t="s">
        <v>1</v>
      </c>
      <c r="AD244" s="29" t="str">
        <f t="shared" si="18"/>
        <v>GUARULHOS</v>
      </c>
      <c r="AE244" s="21" t="s">
        <v>16</v>
      </c>
    </row>
    <row r="245" spans="1:31" ht="30" customHeight="1" x14ac:dyDescent="0.2">
      <c r="A245" s="82" t="s">
        <v>101</v>
      </c>
      <c r="B245" s="96">
        <v>2615543069</v>
      </c>
      <c r="C245" s="82" t="s">
        <v>65</v>
      </c>
      <c r="D245" s="82" t="s">
        <v>58</v>
      </c>
      <c r="E245" s="82" t="s">
        <v>102</v>
      </c>
      <c r="F245" s="82" t="s">
        <v>120</v>
      </c>
      <c r="G245" s="82">
        <v>110</v>
      </c>
      <c r="H245" s="82" t="s">
        <v>115</v>
      </c>
      <c r="I245" s="82" t="s">
        <v>149</v>
      </c>
      <c r="J245" s="82" t="s">
        <v>1979</v>
      </c>
      <c r="K245" s="82" t="s">
        <v>117</v>
      </c>
      <c r="L245" s="82" t="s">
        <v>734</v>
      </c>
      <c r="M245" s="82" t="s">
        <v>2308</v>
      </c>
      <c r="N245" s="82" t="s">
        <v>1993</v>
      </c>
      <c r="O245" s="36" t="s">
        <v>108</v>
      </c>
      <c r="P245" s="18"/>
      <c r="Q245" s="28" t="s">
        <v>108</v>
      </c>
      <c r="R245" s="18"/>
      <c r="S245" s="28" t="s">
        <v>108</v>
      </c>
      <c r="T245" s="18"/>
      <c r="U245" s="28" t="s">
        <v>108</v>
      </c>
      <c r="V245" s="18"/>
      <c r="W245" s="28" t="s">
        <v>108</v>
      </c>
      <c r="X245" s="18"/>
      <c r="Y245" s="28" t="s">
        <v>108</v>
      </c>
      <c r="Z245" s="46" t="str">
        <f t="shared" si="16"/>
        <v>C</v>
      </c>
      <c r="AA245" s="73" t="str">
        <f t="shared" si="17"/>
        <v>UTILIZOU O PDA CORRETAMENTE</v>
      </c>
      <c r="AB245" s="18" t="s">
        <v>108</v>
      </c>
      <c r="AC245" s="38" t="s">
        <v>1</v>
      </c>
      <c r="AD245" s="29" t="str">
        <f t="shared" si="18"/>
        <v>GUARULHOS</v>
      </c>
      <c r="AE245" s="21" t="s">
        <v>16</v>
      </c>
    </row>
    <row r="246" spans="1:31" ht="30" customHeight="1" x14ac:dyDescent="0.2">
      <c r="A246" s="82" t="s">
        <v>101</v>
      </c>
      <c r="B246" s="96">
        <v>2690515769</v>
      </c>
      <c r="C246" s="82" t="s">
        <v>60</v>
      </c>
      <c r="D246" s="82" t="s">
        <v>16</v>
      </c>
      <c r="E246" s="82" t="s">
        <v>102</v>
      </c>
      <c r="F246" s="82" t="s">
        <v>725</v>
      </c>
      <c r="G246" s="82">
        <v>432</v>
      </c>
      <c r="H246" s="82" t="s">
        <v>117</v>
      </c>
      <c r="I246" s="82" t="s">
        <v>169</v>
      </c>
      <c r="J246" s="82" t="s">
        <v>1975</v>
      </c>
      <c r="K246" s="82" t="s">
        <v>117</v>
      </c>
      <c r="L246" s="82" t="s">
        <v>734</v>
      </c>
      <c r="M246" s="82" t="s">
        <v>2309</v>
      </c>
      <c r="N246" s="82" t="s">
        <v>144</v>
      </c>
      <c r="O246" s="36" t="s">
        <v>108</v>
      </c>
      <c r="P246" s="18"/>
      <c r="Q246" s="28" t="s">
        <v>108</v>
      </c>
      <c r="R246" s="18"/>
      <c r="S246" s="28" t="s">
        <v>108</v>
      </c>
      <c r="T246" s="18"/>
      <c r="U246" s="28" t="s">
        <v>108</v>
      </c>
      <c r="V246" s="18"/>
      <c r="W246" s="28" t="s">
        <v>108</v>
      </c>
      <c r="X246" s="18"/>
      <c r="Y246" s="28" t="s">
        <v>108</v>
      </c>
      <c r="Z246" s="46" t="str">
        <f t="shared" si="16"/>
        <v>C</v>
      </c>
      <c r="AA246" s="73" t="str">
        <f t="shared" si="17"/>
        <v>UTILIZOU O PDA CORRETAMENTE</v>
      </c>
      <c r="AB246" s="18" t="s">
        <v>108</v>
      </c>
      <c r="AC246" s="38" t="s">
        <v>1</v>
      </c>
      <c r="AD246" s="29" t="str">
        <f t="shared" si="18"/>
        <v>GUARULHOS</v>
      </c>
      <c r="AE246" s="21" t="s">
        <v>16</v>
      </c>
    </row>
    <row r="247" spans="1:31" ht="30" customHeight="1" x14ac:dyDescent="0.2">
      <c r="A247" s="82" t="s">
        <v>101</v>
      </c>
      <c r="B247" s="96">
        <v>2690448613</v>
      </c>
      <c r="C247" s="82" t="s">
        <v>65</v>
      </c>
      <c r="D247" s="82" t="s">
        <v>58</v>
      </c>
      <c r="E247" s="82" t="s">
        <v>102</v>
      </c>
      <c r="F247" s="82" t="s">
        <v>2310</v>
      </c>
      <c r="G247" s="82">
        <v>67</v>
      </c>
      <c r="H247" s="82"/>
      <c r="I247" s="82" t="s">
        <v>2265</v>
      </c>
      <c r="J247" s="82" t="s">
        <v>1979</v>
      </c>
      <c r="K247" s="82" t="s">
        <v>2048</v>
      </c>
      <c r="L247" s="82" t="s">
        <v>734</v>
      </c>
      <c r="M247" s="82" t="s">
        <v>2311</v>
      </c>
      <c r="N247" s="82" t="s">
        <v>1993</v>
      </c>
      <c r="O247" s="36" t="s">
        <v>108</v>
      </c>
      <c r="P247" s="18"/>
      <c r="Q247" s="28" t="s">
        <v>108</v>
      </c>
      <c r="R247" s="18"/>
      <c r="S247" s="28" t="s">
        <v>108</v>
      </c>
      <c r="T247" s="18"/>
      <c r="U247" s="28" t="s">
        <v>108</v>
      </c>
      <c r="V247" s="18"/>
      <c r="W247" s="28" t="s">
        <v>108</v>
      </c>
      <c r="X247" s="18"/>
      <c r="Y247" s="28" t="s">
        <v>108</v>
      </c>
      <c r="Z247" s="46" t="str">
        <f t="shared" si="16"/>
        <v>C</v>
      </c>
      <c r="AA247" s="73" t="str">
        <f t="shared" si="17"/>
        <v>UTILIZOU O PDA CORRETAMENTE</v>
      </c>
      <c r="AB247" s="18" t="s">
        <v>108</v>
      </c>
      <c r="AC247" s="38" t="s">
        <v>1</v>
      </c>
      <c r="AD247" s="29" t="str">
        <f t="shared" si="18"/>
        <v>GUARULHOS</v>
      </c>
      <c r="AE247" s="21" t="s">
        <v>16</v>
      </c>
    </row>
    <row r="248" spans="1:31" ht="30" customHeight="1" x14ac:dyDescent="0.2">
      <c r="A248" s="82" t="s">
        <v>101</v>
      </c>
      <c r="B248" s="96">
        <v>2690453790</v>
      </c>
      <c r="C248" s="82" t="s">
        <v>65</v>
      </c>
      <c r="D248" s="82" t="s">
        <v>58</v>
      </c>
      <c r="E248" s="82" t="s">
        <v>102</v>
      </c>
      <c r="F248" s="82" t="s">
        <v>547</v>
      </c>
      <c r="G248" s="82">
        <v>4</v>
      </c>
      <c r="H248" s="82" t="s">
        <v>603</v>
      </c>
      <c r="I248" s="82" t="s">
        <v>1593</v>
      </c>
      <c r="J248" s="82" t="s">
        <v>1979</v>
      </c>
      <c r="K248" s="82" t="s">
        <v>2067</v>
      </c>
      <c r="L248" s="82" t="s">
        <v>734</v>
      </c>
      <c r="M248" s="82" t="s">
        <v>2312</v>
      </c>
      <c r="N248" s="82" t="s">
        <v>1980</v>
      </c>
      <c r="O248" s="36" t="s">
        <v>108</v>
      </c>
      <c r="P248" s="18"/>
      <c r="Q248" s="28" t="s">
        <v>108</v>
      </c>
      <c r="R248" s="18"/>
      <c r="S248" s="28" t="s">
        <v>108</v>
      </c>
      <c r="T248" s="18"/>
      <c r="U248" s="28" t="s">
        <v>108</v>
      </c>
      <c r="V248" s="18"/>
      <c r="W248" s="28" t="s">
        <v>108</v>
      </c>
      <c r="X248" s="18"/>
      <c r="Y248" s="28" t="s">
        <v>108</v>
      </c>
      <c r="Z248" s="46" t="str">
        <f t="shared" si="16"/>
        <v>C</v>
      </c>
      <c r="AA248" s="73" t="str">
        <f t="shared" si="17"/>
        <v>UTILIZOU O PDA CORRETAMENTE</v>
      </c>
      <c r="AB248" s="18" t="s">
        <v>108</v>
      </c>
      <c r="AC248" s="38" t="s">
        <v>1</v>
      </c>
      <c r="AD248" s="29" t="str">
        <f t="shared" ref="AD248:AD268" si="19">E248</f>
        <v>GUARULHOS</v>
      </c>
      <c r="AE248" s="21" t="s">
        <v>16</v>
      </c>
    </row>
    <row r="249" spans="1:31" ht="30" customHeight="1" x14ac:dyDescent="0.2">
      <c r="A249" s="82" t="s">
        <v>101</v>
      </c>
      <c r="B249" s="96">
        <v>2615709594</v>
      </c>
      <c r="C249" s="82" t="s">
        <v>60</v>
      </c>
      <c r="D249" s="82" t="s">
        <v>16</v>
      </c>
      <c r="E249" s="82" t="s">
        <v>102</v>
      </c>
      <c r="F249" s="82" t="s">
        <v>2313</v>
      </c>
      <c r="G249" s="82">
        <v>569</v>
      </c>
      <c r="H249" s="82" t="s">
        <v>117</v>
      </c>
      <c r="I249" s="82" t="s">
        <v>104</v>
      </c>
      <c r="J249" s="82" t="s">
        <v>1979</v>
      </c>
      <c r="K249" s="82" t="s">
        <v>117</v>
      </c>
      <c r="L249" s="82" t="s">
        <v>734</v>
      </c>
      <c r="M249" s="82" t="s">
        <v>2314</v>
      </c>
      <c r="N249" s="82" t="s">
        <v>1980</v>
      </c>
      <c r="O249" s="36" t="s">
        <v>108</v>
      </c>
      <c r="P249" s="18"/>
      <c r="Q249" s="28" t="s">
        <v>108</v>
      </c>
      <c r="R249" s="18"/>
      <c r="S249" s="28" t="s">
        <v>108</v>
      </c>
      <c r="T249" s="18"/>
      <c r="U249" s="28" t="s">
        <v>108</v>
      </c>
      <c r="V249" s="18"/>
      <c r="W249" s="28" t="s">
        <v>108</v>
      </c>
      <c r="X249" s="18"/>
      <c r="Y249" s="28" t="s">
        <v>108</v>
      </c>
      <c r="Z249" s="46" t="str">
        <f t="shared" si="16"/>
        <v>C</v>
      </c>
      <c r="AA249" s="73" t="str">
        <f t="shared" si="17"/>
        <v>UTILIZOU O PDA CORRETAMENTE</v>
      </c>
      <c r="AB249" s="18" t="s">
        <v>108</v>
      </c>
      <c r="AC249" s="38" t="s">
        <v>1</v>
      </c>
      <c r="AD249" s="29" t="str">
        <f t="shared" si="19"/>
        <v>GUARULHOS</v>
      </c>
      <c r="AE249" s="21" t="s">
        <v>16</v>
      </c>
    </row>
    <row r="250" spans="1:31" ht="30" customHeight="1" x14ac:dyDescent="0.2">
      <c r="A250" s="82" t="s">
        <v>101</v>
      </c>
      <c r="B250" s="96">
        <v>2690565863</v>
      </c>
      <c r="C250" s="82" t="s">
        <v>64</v>
      </c>
      <c r="D250" s="82" t="s">
        <v>16</v>
      </c>
      <c r="E250" s="82" t="s">
        <v>102</v>
      </c>
      <c r="F250" s="82" t="s">
        <v>238</v>
      </c>
      <c r="G250" s="82">
        <v>1084</v>
      </c>
      <c r="H250" s="82" t="s">
        <v>2315</v>
      </c>
      <c r="I250" s="82" t="s">
        <v>162</v>
      </c>
      <c r="J250" s="82" t="s">
        <v>1975</v>
      </c>
      <c r="K250" s="82" t="s">
        <v>117</v>
      </c>
      <c r="L250" s="82" t="s">
        <v>734</v>
      </c>
      <c r="M250" s="82" t="s">
        <v>2316</v>
      </c>
      <c r="N250" s="82" t="s">
        <v>767</v>
      </c>
      <c r="O250" s="36" t="s">
        <v>108</v>
      </c>
      <c r="P250" s="18"/>
      <c r="Q250" s="28" t="s">
        <v>108</v>
      </c>
      <c r="R250" s="18"/>
      <c r="S250" s="28" t="s">
        <v>108</v>
      </c>
      <c r="T250" s="18"/>
      <c r="U250" s="28" t="s">
        <v>108</v>
      </c>
      <c r="V250" s="18"/>
      <c r="W250" s="28" t="s">
        <v>108</v>
      </c>
      <c r="X250" s="18"/>
      <c r="Y250" s="28" t="s">
        <v>108</v>
      </c>
      <c r="Z250" s="46" t="str">
        <f t="shared" si="16"/>
        <v>C</v>
      </c>
      <c r="AA250" s="73" t="str">
        <f t="shared" si="17"/>
        <v>UTILIZOU O PDA CORRETAMENTE</v>
      </c>
      <c r="AB250" s="18" t="s">
        <v>108</v>
      </c>
      <c r="AC250" s="38" t="s">
        <v>1</v>
      </c>
      <c r="AD250" s="29" t="str">
        <f t="shared" si="19"/>
        <v>GUARULHOS</v>
      </c>
      <c r="AE250" s="21" t="s">
        <v>16</v>
      </c>
    </row>
    <row r="251" spans="1:31" ht="30" customHeight="1" x14ac:dyDescent="0.2">
      <c r="A251" s="82" t="s">
        <v>101</v>
      </c>
      <c r="B251" s="96">
        <v>2690536980</v>
      </c>
      <c r="C251" s="82" t="s">
        <v>62</v>
      </c>
      <c r="D251" s="82" t="s">
        <v>58</v>
      </c>
      <c r="E251" s="82" t="s">
        <v>102</v>
      </c>
      <c r="F251" s="82" t="s">
        <v>811</v>
      </c>
      <c r="G251" s="82">
        <v>168</v>
      </c>
      <c r="H251" s="82" t="s">
        <v>812</v>
      </c>
      <c r="I251" s="82" t="s">
        <v>169</v>
      </c>
      <c r="J251" s="82" t="s">
        <v>2011</v>
      </c>
      <c r="K251" s="82" t="s">
        <v>813</v>
      </c>
      <c r="L251" s="82" t="s">
        <v>734</v>
      </c>
      <c r="M251" s="82" t="s">
        <v>817</v>
      </c>
      <c r="N251" s="82" t="s">
        <v>144</v>
      </c>
      <c r="O251" s="36" t="s">
        <v>108</v>
      </c>
      <c r="P251" s="18"/>
      <c r="Q251" s="28" t="s">
        <v>108</v>
      </c>
      <c r="R251" s="18"/>
      <c r="S251" s="28" t="s">
        <v>108</v>
      </c>
      <c r="T251" s="18"/>
      <c r="U251" s="28" t="s">
        <v>108</v>
      </c>
      <c r="V251" s="18"/>
      <c r="W251" s="28" t="s">
        <v>108</v>
      </c>
      <c r="X251" s="18"/>
      <c r="Y251" s="28" t="s">
        <v>108</v>
      </c>
      <c r="Z251" s="46" t="str">
        <f t="shared" si="16"/>
        <v>C</v>
      </c>
      <c r="AA251" s="73" t="str">
        <f t="shared" si="17"/>
        <v>UTILIZOU O PDA CORRETAMENTE</v>
      </c>
      <c r="AB251" s="18" t="s">
        <v>108</v>
      </c>
      <c r="AC251" s="38" t="s">
        <v>1</v>
      </c>
      <c r="AD251" s="29" t="str">
        <f t="shared" si="19"/>
        <v>GUARULHOS</v>
      </c>
      <c r="AE251" s="21" t="s">
        <v>16</v>
      </c>
    </row>
    <row r="252" spans="1:31" ht="30" customHeight="1" x14ac:dyDescent="0.2">
      <c r="A252" s="82" t="s">
        <v>101</v>
      </c>
      <c r="B252" s="96">
        <v>2690481274</v>
      </c>
      <c r="C252" s="82" t="s">
        <v>65</v>
      </c>
      <c r="D252" s="82" t="s">
        <v>58</v>
      </c>
      <c r="E252" s="82" t="s">
        <v>102</v>
      </c>
      <c r="F252" s="82" t="s">
        <v>2317</v>
      </c>
      <c r="G252" s="82">
        <v>126</v>
      </c>
      <c r="H252" s="82" t="s">
        <v>260</v>
      </c>
      <c r="I252" s="82" t="s">
        <v>2013</v>
      </c>
      <c r="J252" s="82" t="s">
        <v>1979</v>
      </c>
      <c r="K252" s="82" t="s">
        <v>2318</v>
      </c>
      <c r="L252" s="82" t="s">
        <v>734</v>
      </c>
      <c r="M252" s="82" t="s">
        <v>2319</v>
      </c>
      <c r="N252" s="82" t="s">
        <v>1993</v>
      </c>
      <c r="O252" s="36" t="s">
        <v>108</v>
      </c>
      <c r="P252" s="18"/>
      <c r="Q252" s="28" t="s">
        <v>108</v>
      </c>
      <c r="R252" s="18"/>
      <c r="S252" s="28" t="s">
        <v>108</v>
      </c>
      <c r="T252" s="18"/>
      <c r="U252" s="28" t="s">
        <v>108</v>
      </c>
      <c r="V252" s="18"/>
      <c r="W252" s="28" t="s">
        <v>108</v>
      </c>
      <c r="X252" s="18"/>
      <c r="Y252" s="28" t="s">
        <v>108</v>
      </c>
      <c r="Z252" s="46" t="str">
        <f t="shared" si="16"/>
        <v>C</v>
      </c>
      <c r="AA252" s="73" t="str">
        <f t="shared" si="17"/>
        <v>UTILIZOU O PDA CORRETAMENTE</v>
      </c>
      <c r="AB252" s="18" t="s">
        <v>108</v>
      </c>
      <c r="AC252" s="38" t="s">
        <v>1</v>
      </c>
      <c r="AD252" s="29" t="str">
        <f t="shared" si="19"/>
        <v>GUARULHOS</v>
      </c>
      <c r="AE252" s="21" t="s">
        <v>16</v>
      </c>
    </row>
    <row r="253" spans="1:31" ht="30" customHeight="1" x14ac:dyDescent="0.2">
      <c r="A253" s="82" t="s">
        <v>101</v>
      </c>
      <c r="B253" s="82">
        <v>2615734976</v>
      </c>
      <c r="C253" s="82" t="s">
        <v>67</v>
      </c>
      <c r="D253" s="82" t="s">
        <v>58</v>
      </c>
      <c r="E253" s="82" t="s">
        <v>102</v>
      </c>
      <c r="F253" s="82" t="s">
        <v>1552</v>
      </c>
      <c r="G253" s="82">
        <v>375</v>
      </c>
      <c r="H253" s="82" t="s">
        <v>2320</v>
      </c>
      <c r="I253" s="82" t="s">
        <v>520</v>
      </c>
      <c r="J253" s="82" t="s">
        <v>1984</v>
      </c>
      <c r="K253" s="82" t="s">
        <v>2321</v>
      </c>
      <c r="L253" s="82" t="s">
        <v>734</v>
      </c>
      <c r="M253" s="82" t="s">
        <v>2322</v>
      </c>
      <c r="N253" s="82" t="s">
        <v>1980</v>
      </c>
      <c r="O253" s="85" t="s">
        <v>214</v>
      </c>
      <c r="P253" s="42"/>
      <c r="Q253" s="26" t="s">
        <v>214</v>
      </c>
      <c r="R253" s="10"/>
      <c r="S253" s="26" t="s">
        <v>214</v>
      </c>
      <c r="T253" s="10"/>
      <c r="U253" s="26" t="s">
        <v>214</v>
      </c>
      <c r="V253" s="10"/>
      <c r="W253" s="26" t="s">
        <v>214</v>
      </c>
      <c r="X253" s="10"/>
      <c r="Y253" s="26" t="s">
        <v>114</v>
      </c>
      <c r="Z253" s="46" t="str">
        <f t="shared" si="16"/>
        <v>NC</v>
      </c>
      <c r="AA253" s="73" t="str">
        <f t="shared" si="17"/>
        <v>NÃO UTILIZOU O PDA</v>
      </c>
      <c r="AB253" s="18" t="s">
        <v>108</v>
      </c>
      <c r="AC253" s="38" t="s">
        <v>1</v>
      </c>
      <c r="AD253" s="29" t="str">
        <f t="shared" si="19"/>
        <v>GUARULHOS</v>
      </c>
      <c r="AE253" s="21" t="s">
        <v>16</v>
      </c>
    </row>
    <row r="254" spans="1:31" ht="30" customHeight="1" x14ac:dyDescent="0.2">
      <c r="A254" s="82" t="s">
        <v>101</v>
      </c>
      <c r="B254" s="96">
        <v>2690501472</v>
      </c>
      <c r="C254" s="82" t="s">
        <v>65</v>
      </c>
      <c r="D254" s="82" t="s">
        <v>58</v>
      </c>
      <c r="E254" s="82" t="s">
        <v>102</v>
      </c>
      <c r="F254" s="82" t="s">
        <v>336</v>
      </c>
      <c r="G254" s="82">
        <v>268</v>
      </c>
      <c r="H254" s="82" t="s">
        <v>138</v>
      </c>
      <c r="I254" s="82" t="s">
        <v>337</v>
      </c>
      <c r="J254" s="82" t="s">
        <v>1979</v>
      </c>
      <c r="K254" s="82"/>
      <c r="L254" s="82" t="s">
        <v>734</v>
      </c>
      <c r="M254" s="82" t="s">
        <v>2323</v>
      </c>
      <c r="N254" s="82" t="s">
        <v>1993</v>
      </c>
      <c r="O254" s="36" t="s">
        <v>542</v>
      </c>
      <c r="P254" s="18"/>
      <c r="Q254" s="28" t="s">
        <v>542</v>
      </c>
      <c r="R254" s="18"/>
      <c r="S254" s="28" t="s">
        <v>542</v>
      </c>
      <c r="T254" s="18"/>
      <c r="U254" s="28" t="s">
        <v>542</v>
      </c>
      <c r="V254" s="18"/>
      <c r="W254" s="28" t="s">
        <v>542</v>
      </c>
      <c r="X254" s="18"/>
      <c r="Y254" s="28" t="s">
        <v>542</v>
      </c>
      <c r="Z254" s="46" t="str">
        <f t="shared" si="16"/>
        <v>C</v>
      </c>
      <c r="AA254" s="73" t="str">
        <f t="shared" si="17"/>
        <v>UTILIZOU O PDA CORRETAMENTE</v>
      </c>
      <c r="AB254" s="18" t="s">
        <v>542</v>
      </c>
      <c r="AC254" s="38" t="s">
        <v>1</v>
      </c>
      <c r="AD254" s="29" t="str">
        <f t="shared" si="19"/>
        <v>GUARULHOS</v>
      </c>
      <c r="AE254" s="21" t="s">
        <v>16</v>
      </c>
    </row>
    <row r="255" spans="1:31" ht="30" customHeight="1" x14ac:dyDescent="0.2">
      <c r="A255" s="82" t="s">
        <v>101</v>
      </c>
      <c r="B255" s="96">
        <v>2615422596</v>
      </c>
      <c r="C255" s="82" t="s">
        <v>62</v>
      </c>
      <c r="D255" s="82" t="s">
        <v>58</v>
      </c>
      <c r="E255" s="82" t="s">
        <v>102</v>
      </c>
      <c r="F255" s="82" t="s">
        <v>2324</v>
      </c>
      <c r="G255" s="82">
        <v>43</v>
      </c>
      <c r="H255" s="82" t="s">
        <v>138</v>
      </c>
      <c r="I255" s="82" t="s">
        <v>576</v>
      </c>
      <c r="J255" s="82" t="s">
        <v>2011</v>
      </c>
      <c r="K255" s="82" t="s">
        <v>2325</v>
      </c>
      <c r="L255" s="82" t="s">
        <v>734</v>
      </c>
      <c r="M255" s="82" t="s">
        <v>2326</v>
      </c>
      <c r="N255" s="82" t="s">
        <v>192</v>
      </c>
      <c r="O255" s="36" t="s">
        <v>542</v>
      </c>
      <c r="P255" s="18"/>
      <c r="Q255" s="28" t="s">
        <v>542</v>
      </c>
      <c r="R255" s="18"/>
      <c r="S255" s="28" t="s">
        <v>542</v>
      </c>
      <c r="T255" s="18"/>
      <c r="U255" s="28" t="s">
        <v>542</v>
      </c>
      <c r="V255" s="18"/>
      <c r="W255" s="28" t="s">
        <v>542</v>
      </c>
      <c r="X255" s="18"/>
      <c r="Y255" s="28" t="s">
        <v>542</v>
      </c>
      <c r="Z255" s="46" t="str">
        <f t="shared" si="16"/>
        <v>C</v>
      </c>
      <c r="AA255" s="73" t="str">
        <f t="shared" si="17"/>
        <v>UTILIZOU O PDA CORRETAMENTE</v>
      </c>
      <c r="AB255" s="18" t="s">
        <v>542</v>
      </c>
      <c r="AC255" s="38" t="s">
        <v>1</v>
      </c>
      <c r="AD255" s="29" t="str">
        <f t="shared" si="19"/>
        <v>GUARULHOS</v>
      </c>
      <c r="AE255" s="21" t="s">
        <v>16</v>
      </c>
    </row>
    <row r="256" spans="1:31" ht="30" customHeight="1" x14ac:dyDescent="0.2">
      <c r="A256" s="82" t="s">
        <v>2327</v>
      </c>
      <c r="B256" s="96">
        <v>2615576542</v>
      </c>
      <c r="C256" s="82" t="s">
        <v>66</v>
      </c>
      <c r="D256" s="82" t="s">
        <v>58</v>
      </c>
      <c r="E256" s="82" t="s">
        <v>0</v>
      </c>
      <c r="F256" s="82" t="s">
        <v>2329</v>
      </c>
      <c r="G256" s="82">
        <v>38</v>
      </c>
      <c r="H256" s="82" t="s">
        <v>110</v>
      </c>
      <c r="I256" s="82" t="s">
        <v>2330</v>
      </c>
      <c r="J256" s="82" t="s">
        <v>1989</v>
      </c>
      <c r="K256" s="82" t="s">
        <v>117</v>
      </c>
      <c r="L256" s="82" t="s">
        <v>833</v>
      </c>
      <c r="M256" s="82" t="s">
        <v>2331</v>
      </c>
      <c r="N256" s="82" t="s">
        <v>2332</v>
      </c>
      <c r="O256" s="36" t="s">
        <v>542</v>
      </c>
      <c r="P256" s="18"/>
      <c r="Q256" s="28" t="s">
        <v>542</v>
      </c>
      <c r="R256" s="18"/>
      <c r="S256" s="28" t="s">
        <v>542</v>
      </c>
      <c r="T256" s="18"/>
      <c r="U256" s="28" t="s">
        <v>542</v>
      </c>
      <c r="V256" s="18"/>
      <c r="W256" s="28" t="s">
        <v>542</v>
      </c>
      <c r="X256" s="18"/>
      <c r="Y256" s="28" t="s">
        <v>542</v>
      </c>
      <c r="Z256" s="46" t="str">
        <f t="shared" si="16"/>
        <v>C</v>
      </c>
      <c r="AA256" s="73" t="str">
        <f t="shared" si="17"/>
        <v>UTILIZOU O PDA CORRETAMENTE</v>
      </c>
      <c r="AB256" s="18" t="s">
        <v>542</v>
      </c>
      <c r="AC256" s="38" t="s">
        <v>1</v>
      </c>
      <c r="AD256" s="29" t="str">
        <f t="shared" si="19"/>
        <v>SÃO PAULO</v>
      </c>
      <c r="AE256" s="21" t="s">
        <v>16</v>
      </c>
    </row>
    <row r="257" spans="1:31" ht="30" customHeight="1" x14ac:dyDescent="0.2">
      <c r="A257" s="82" t="s">
        <v>2327</v>
      </c>
      <c r="B257" s="96">
        <v>2614846499</v>
      </c>
      <c r="C257" s="82" t="s">
        <v>66</v>
      </c>
      <c r="D257" s="82" t="s">
        <v>58</v>
      </c>
      <c r="E257" s="82" t="s">
        <v>0</v>
      </c>
      <c r="F257" s="82" t="s">
        <v>2329</v>
      </c>
      <c r="G257" s="82">
        <v>38</v>
      </c>
      <c r="H257" s="82" t="s">
        <v>115</v>
      </c>
      <c r="I257" s="82" t="s">
        <v>2330</v>
      </c>
      <c r="J257" s="82" t="s">
        <v>1989</v>
      </c>
      <c r="K257" s="82"/>
      <c r="L257" s="82" t="s">
        <v>833</v>
      </c>
      <c r="M257" s="82" t="s">
        <v>2333</v>
      </c>
      <c r="N257" s="82" t="s">
        <v>2332</v>
      </c>
      <c r="O257" s="36" t="s">
        <v>542</v>
      </c>
      <c r="P257" s="18"/>
      <c r="Q257" s="28" t="s">
        <v>542</v>
      </c>
      <c r="R257" s="18"/>
      <c r="S257" s="28" t="s">
        <v>542</v>
      </c>
      <c r="T257" s="18"/>
      <c r="U257" s="28" t="s">
        <v>542</v>
      </c>
      <c r="V257" s="18"/>
      <c r="W257" s="28" t="s">
        <v>542</v>
      </c>
      <c r="X257" s="18"/>
      <c r="Y257" s="28" t="s">
        <v>542</v>
      </c>
      <c r="Z257" s="46" t="str">
        <f t="shared" si="16"/>
        <v>C</v>
      </c>
      <c r="AA257" s="73" t="str">
        <f t="shared" si="17"/>
        <v>UTILIZOU O PDA CORRETAMENTE</v>
      </c>
      <c r="AB257" s="18" t="s">
        <v>542</v>
      </c>
      <c r="AC257" s="38" t="s">
        <v>1</v>
      </c>
      <c r="AD257" s="29" t="str">
        <f t="shared" si="19"/>
        <v>SÃO PAULO</v>
      </c>
      <c r="AE257" s="21" t="s">
        <v>16</v>
      </c>
    </row>
    <row r="258" spans="1:31" ht="30" customHeight="1" x14ac:dyDescent="0.2">
      <c r="A258" s="82" t="s">
        <v>2327</v>
      </c>
      <c r="B258" s="96">
        <v>2615720963</v>
      </c>
      <c r="C258" s="82" t="s">
        <v>2141</v>
      </c>
      <c r="D258" s="82" t="s">
        <v>16</v>
      </c>
      <c r="E258" s="82" t="s">
        <v>0</v>
      </c>
      <c r="F258" s="82" t="s">
        <v>2334</v>
      </c>
      <c r="G258" s="82">
        <v>1</v>
      </c>
      <c r="H258" s="82" t="s">
        <v>2335</v>
      </c>
      <c r="I258" s="82" t="s">
        <v>2336</v>
      </c>
      <c r="J258" s="82" t="s">
        <v>1977</v>
      </c>
      <c r="K258" s="82"/>
      <c r="L258" s="82" t="s">
        <v>833</v>
      </c>
      <c r="M258" s="82" t="s">
        <v>2337</v>
      </c>
      <c r="N258" s="82" t="s">
        <v>2338</v>
      </c>
      <c r="O258" s="36" t="s">
        <v>542</v>
      </c>
      <c r="P258" s="18"/>
      <c r="Q258" s="28" t="s">
        <v>542</v>
      </c>
      <c r="R258" s="18"/>
      <c r="S258" s="28" t="s">
        <v>542</v>
      </c>
      <c r="T258" s="18"/>
      <c r="U258" s="28" t="s">
        <v>542</v>
      </c>
      <c r="V258" s="18"/>
      <c r="W258" s="28" t="s">
        <v>542</v>
      </c>
      <c r="X258" s="18"/>
      <c r="Y258" s="28" t="s">
        <v>542</v>
      </c>
      <c r="Z258" s="46" t="str">
        <f t="shared" si="16"/>
        <v>C</v>
      </c>
      <c r="AA258" s="73" t="str">
        <f t="shared" si="17"/>
        <v>UTILIZOU O PDA CORRETAMENTE</v>
      </c>
      <c r="AB258" s="18" t="s">
        <v>542</v>
      </c>
      <c r="AC258" s="38" t="s">
        <v>1</v>
      </c>
      <c r="AD258" s="29" t="str">
        <f t="shared" si="19"/>
        <v>SÃO PAULO</v>
      </c>
      <c r="AE258" s="21" t="s">
        <v>16</v>
      </c>
    </row>
    <row r="259" spans="1:31" ht="30" customHeight="1" x14ac:dyDescent="0.2">
      <c r="A259" s="82" t="s">
        <v>2327</v>
      </c>
      <c r="B259" s="96">
        <v>2690560820</v>
      </c>
      <c r="C259" s="82" t="s">
        <v>60</v>
      </c>
      <c r="D259" s="82" t="s">
        <v>16</v>
      </c>
      <c r="E259" s="82" t="s">
        <v>0</v>
      </c>
      <c r="F259" s="82" t="s">
        <v>2340</v>
      </c>
      <c r="G259" s="82">
        <v>172</v>
      </c>
      <c r="H259" s="82" t="s">
        <v>117</v>
      </c>
      <c r="I259" s="82" t="s">
        <v>2341</v>
      </c>
      <c r="J259" s="82" t="s">
        <v>1975</v>
      </c>
      <c r="K259" s="82" t="s">
        <v>117</v>
      </c>
      <c r="L259" s="82" t="s">
        <v>833</v>
      </c>
      <c r="M259" s="82" t="s">
        <v>2342</v>
      </c>
      <c r="N259" s="82" t="s">
        <v>2328</v>
      </c>
      <c r="O259" s="36" t="s">
        <v>542</v>
      </c>
      <c r="P259" s="18"/>
      <c r="Q259" s="28" t="s">
        <v>542</v>
      </c>
      <c r="R259" s="18"/>
      <c r="S259" s="28" t="s">
        <v>542</v>
      </c>
      <c r="T259" s="18"/>
      <c r="U259" s="28" t="s">
        <v>542</v>
      </c>
      <c r="V259" s="18"/>
      <c r="W259" s="28" t="s">
        <v>542</v>
      </c>
      <c r="X259" s="18"/>
      <c r="Y259" s="28" t="s">
        <v>542</v>
      </c>
      <c r="Z259" s="46" t="str">
        <f t="shared" ref="Z259:Z276" si="20">IF(AND(O259="",Q259="",S259="",U259="",W259=""),"",IF(OR(AND(O259&lt;&gt;"NA",O259&lt;&gt;"C",O259&lt;&gt;"NC",O259&lt;&gt;"SF",O259&lt;&gt;""),AND(Q259&lt;&gt;"NA",Q259&lt;&gt;"C",Q259&lt;&gt;"NC",Q259&lt;&gt;"SF",Q259&lt;&gt;""),AND(S259&lt;&gt;"NA",S259&lt;&gt;"C",S259&lt;&gt;"NC",S259&lt;&gt;"SF",S259&lt;&gt;""),AND(U259&lt;&gt;"NA",U259&lt;&gt;"C",U259&lt;&gt;"NC",U259&lt;&gt;"SF",U259&lt;&gt;""),AND(W259&lt;&gt;"NA",W259&lt;&gt;"C",W259&lt;&gt;"NC",W259&lt;&gt;"SF",W259&lt;&gt;"")),"FALSO",IF(AND(O259="NA",Q259="NA",S259="NA",U259="NA",W259="NA"),"NA",IF(OR(O259="NC",Q259="NC",S259="NC",U259="NC",W259="NC",O259="SF",Q259="SF",S259="SF",U259="SF",W259="SF"),"NC",IF(OR(O259="C",Q259="C",S259="C",U259="C",W259="C"),"C","")))))</f>
        <v>C</v>
      </c>
      <c r="AA259" s="73" t="str">
        <f t="shared" ref="AA259:AA275" si="21">IF(AND(Y259="C",Z259="C"),"UTILIZOU O PDA CORRETAMENTE",IF(AND(Y259="C",Z259="NC"),"UTILIZOU O PDA CORRETAMENTE. NÃO HÁ FOTOS DE TODAS AS ETAPAS",IF(AND(Y259="NC",Z259="NC"),"NÃO UTILIZOU O PDA",IF(AND(Y259="NA",Z259="NA"),"NÃO AVALIADO POR FALHA DE SINCRONISMO"))))</f>
        <v>UTILIZOU O PDA CORRETAMENTE</v>
      </c>
      <c r="AB259" s="18" t="s">
        <v>542</v>
      </c>
      <c r="AC259" s="38" t="s">
        <v>1</v>
      </c>
      <c r="AD259" s="29" t="str">
        <f t="shared" si="19"/>
        <v>SÃO PAULO</v>
      </c>
      <c r="AE259" s="21" t="s">
        <v>16</v>
      </c>
    </row>
    <row r="260" spans="1:31" ht="30" customHeight="1" x14ac:dyDescent="0.2">
      <c r="A260" s="82" t="s">
        <v>2327</v>
      </c>
      <c r="B260" s="96">
        <v>2690603542</v>
      </c>
      <c r="C260" s="82" t="s">
        <v>60</v>
      </c>
      <c r="D260" s="82" t="s">
        <v>16</v>
      </c>
      <c r="E260" s="82" t="s">
        <v>0</v>
      </c>
      <c r="F260" s="82" t="s">
        <v>2344</v>
      </c>
      <c r="G260" s="82">
        <v>76</v>
      </c>
      <c r="H260" s="82"/>
      <c r="I260" s="82" t="s">
        <v>2345</v>
      </c>
      <c r="J260" s="82" t="s">
        <v>1975</v>
      </c>
      <c r="K260" s="82"/>
      <c r="L260" s="82" t="s">
        <v>833</v>
      </c>
      <c r="M260" s="82" t="s">
        <v>2339</v>
      </c>
      <c r="N260" s="82" t="s">
        <v>2346</v>
      </c>
      <c r="O260" s="36" t="s">
        <v>542</v>
      </c>
      <c r="P260" s="18"/>
      <c r="Q260" s="28" t="s">
        <v>542</v>
      </c>
      <c r="R260" s="18"/>
      <c r="S260" s="28" t="s">
        <v>542</v>
      </c>
      <c r="T260" s="18"/>
      <c r="U260" s="28" t="s">
        <v>542</v>
      </c>
      <c r="V260" s="18"/>
      <c r="W260" s="28" t="s">
        <v>542</v>
      </c>
      <c r="X260" s="18"/>
      <c r="Y260" s="28" t="s">
        <v>542</v>
      </c>
      <c r="Z260" s="46" t="str">
        <f t="shared" si="20"/>
        <v>C</v>
      </c>
      <c r="AA260" s="73" t="str">
        <f t="shared" si="21"/>
        <v>UTILIZOU O PDA CORRETAMENTE</v>
      </c>
      <c r="AB260" s="18" t="s">
        <v>542</v>
      </c>
      <c r="AC260" s="38" t="s">
        <v>1</v>
      </c>
      <c r="AD260" s="29" t="str">
        <f t="shared" si="19"/>
        <v>SÃO PAULO</v>
      </c>
      <c r="AE260" s="21" t="s">
        <v>16</v>
      </c>
    </row>
    <row r="261" spans="1:31" ht="30" customHeight="1" x14ac:dyDescent="0.2">
      <c r="A261" s="82" t="s">
        <v>2327</v>
      </c>
      <c r="B261" s="96">
        <v>2690623165</v>
      </c>
      <c r="C261" s="82" t="s">
        <v>60</v>
      </c>
      <c r="D261" s="82" t="s">
        <v>16</v>
      </c>
      <c r="E261" s="82" t="s">
        <v>0</v>
      </c>
      <c r="F261" s="82" t="s">
        <v>2350</v>
      </c>
      <c r="G261" s="82">
        <v>18</v>
      </c>
      <c r="H261" s="82" t="s">
        <v>222</v>
      </c>
      <c r="I261" s="82" t="s">
        <v>2351</v>
      </c>
      <c r="J261" s="82" t="s">
        <v>1979</v>
      </c>
      <c r="K261" s="82"/>
      <c r="L261" s="82" t="s">
        <v>833</v>
      </c>
      <c r="M261" s="82" t="s">
        <v>2352</v>
      </c>
      <c r="N261" s="82" t="s">
        <v>2349</v>
      </c>
      <c r="O261" s="36" t="s">
        <v>542</v>
      </c>
      <c r="P261" s="18"/>
      <c r="Q261" s="28" t="s">
        <v>542</v>
      </c>
      <c r="R261" s="18"/>
      <c r="S261" s="28" t="s">
        <v>542</v>
      </c>
      <c r="T261" s="18"/>
      <c r="U261" s="28" t="s">
        <v>542</v>
      </c>
      <c r="V261" s="18"/>
      <c r="W261" s="28" t="s">
        <v>542</v>
      </c>
      <c r="X261" s="18"/>
      <c r="Y261" s="28" t="s">
        <v>542</v>
      </c>
      <c r="Z261" s="46" t="str">
        <f t="shared" si="20"/>
        <v>C</v>
      </c>
      <c r="AA261" s="73" t="str">
        <f t="shared" si="21"/>
        <v>UTILIZOU O PDA CORRETAMENTE</v>
      </c>
      <c r="AB261" s="18" t="s">
        <v>542</v>
      </c>
      <c r="AC261" s="38" t="s">
        <v>1</v>
      </c>
      <c r="AD261" s="29" t="str">
        <f t="shared" si="19"/>
        <v>SÃO PAULO</v>
      </c>
      <c r="AE261" s="21" t="s">
        <v>16</v>
      </c>
    </row>
    <row r="262" spans="1:31" ht="30" customHeight="1" x14ac:dyDescent="0.2">
      <c r="A262" s="82" t="s">
        <v>2327</v>
      </c>
      <c r="B262" s="96">
        <v>2690574379</v>
      </c>
      <c r="C262" s="82" t="s">
        <v>60</v>
      </c>
      <c r="D262" s="82" t="s">
        <v>16</v>
      </c>
      <c r="E262" s="82" t="s">
        <v>0</v>
      </c>
      <c r="F262" s="82" t="s">
        <v>2354</v>
      </c>
      <c r="G262" s="82">
        <v>251</v>
      </c>
      <c r="H262" s="82" t="s">
        <v>110</v>
      </c>
      <c r="I262" s="82" t="s">
        <v>2355</v>
      </c>
      <c r="J262" s="82" t="s">
        <v>1975</v>
      </c>
      <c r="K262" s="82"/>
      <c r="L262" s="82" t="s">
        <v>833</v>
      </c>
      <c r="M262" s="82" t="s">
        <v>2343</v>
      </c>
      <c r="N262" s="82" t="s">
        <v>2356</v>
      </c>
      <c r="O262" s="36" t="s">
        <v>542</v>
      </c>
      <c r="P262" s="18"/>
      <c r="Q262" s="28" t="s">
        <v>542</v>
      </c>
      <c r="R262" s="18"/>
      <c r="S262" s="28" t="s">
        <v>542</v>
      </c>
      <c r="T262" s="18"/>
      <c r="U262" s="28" t="s">
        <v>542</v>
      </c>
      <c r="V262" s="18"/>
      <c r="W262" s="28" t="s">
        <v>542</v>
      </c>
      <c r="X262" s="18"/>
      <c r="Y262" s="28" t="s">
        <v>542</v>
      </c>
      <c r="Z262" s="46" t="str">
        <f t="shared" si="20"/>
        <v>C</v>
      </c>
      <c r="AA262" s="73" t="str">
        <f t="shared" si="21"/>
        <v>UTILIZOU O PDA CORRETAMENTE</v>
      </c>
      <c r="AB262" s="18" t="s">
        <v>542</v>
      </c>
      <c r="AC262" s="38" t="s">
        <v>1</v>
      </c>
      <c r="AD262" s="29" t="str">
        <f t="shared" si="19"/>
        <v>SÃO PAULO</v>
      </c>
      <c r="AE262" s="21" t="s">
        <v>16</v>
      </c>
    </row>
    <row r="263" spans="1:31" ht="30" customHeight="1" x14ac:dyDescent="0.2">
      <c r="A263" s="82" t="s">
        <v>2327</v>
      </c>
      <c r="B263" s="96">
        <v>2615707991</v>
      </c>
      <c r="C263" s="82" t="s">
        <v>63</v>
      </c>
      <c r="D263" s="82" t="s">
        <v>16</v>
      </c>
      <c r="E263" s="82" t="s">
        <v>0</v>
      </c>
      <c r="F263" s="82" t="s">
        <v>2357</v>
      </c>
      <c r="G263" s="82">
        <v>42</v>
      </c>
      <c r="H263" s="82" t="s">
        <v>117</v>
      </c>
      <c r="I263" s="82" t="s">
        <v>2347</v>
      </c>
      <c r="J263" s="82" t="s">
        <v>1975</v>
      </c>
      <c r="K263" s="82" t="s">
        <v>117</v>
      </c>
      <c r="L263" s="82" t="s">
        <v>833</v>
      </c>
      <c r="M263" s="82" t="s">
        <v>2358</v>
      </c>
      <c r="N263" s="82" t="s">
        <v>2346</v>
      </c>
      <c r="O263" s="36" t="s">
        <v>542</v>
      </c>
      <c r="P263" s="18"/>
      <c r="Q263" s="28" t="s">
        <v>542</v>
      </c>
      <c r="R263" s="18"/>
      <c r="S263" s="28" t="s">
        <v>542</v>
      </c>
      <c r="T263" s="18"/>
      <c r="U263" s="28" t="s">
        <v>542</v>
      </c>
      <c r="V263" s="18"/>
      <c r="W263" s="28" t="s">
        <v>542</v>
      </c>
      <c r="X263" s="18"/>
      <c r="Y263" s="28" t="s">
        <v>542</v>
      </c>
      <c r="Z263" s="46" t="str">
        <f t="shared" si="20"/>
        <v>C</v>
      </c>
      <c r="AA263" s="73" t="str">
        <f t="shared" si="21"/>
        <v>UTILIZOU O PDA CORRETAMENTE</v>
      </c>
      <c r="AB263" s="18" t="s">
        <v>542</v>
      </c>
      <c r="AC263" s="38" t="s">
        <v>1</v>
      </c>
      <c r="AD263" s="29" t="str">
        <f t="shared" si="19"/>
        <v>SÃO PAULO</v>
      </c>
      <c r="AE263" s="21" t="s">
        <v>16</v>
      </c>
    </row>
    <row r="264" spans="1:31" ht="30" customHeight="1" x14ac:dyDescent="0.2">
      <c r="A264" s="82" t="s">
        <v>2327</v>
      </c>
      <c r="B264" s="96">
        <v>2615744559</v>
      </c>
      <c r="C264" s="82" t="s">
        <v>67</v>
      </c>
      <c r="D264" s="82" t="s">
        <v>58</v>
      </c>
      <c r="E264" s="82" t="s">
        <v>0</v>
      </c>
      <c r="F264" s="82" t="s">
        <v>2359</v>
      </c>
      <c r="G264" s="82">
        <v>45</v>
      </c>
      <c r="H264" s="82" t="s">
        <v>110</v>
      </c>
      <c r="I264" s="82" t="s">
        <v>2360</v>
      </c>
      <c r="J264" s="82" t="s">
        <v>1984</v>
      </c>
      <c r="K264" s="82" t="s">
        <v>117</v>
      </c>
      <c r="L264" s="82" t="s">
        <v>833</v>
      </c>
      <c r="M264" s="82" t="s">
        <v>2361</v>
      </c>
      <c r="N264" s="82" t="s">
        <v>2362</v>
      </c>
      <c r="O264" s="36" t="s">
        <v>542</v>
      </c>
      <c r="P264" s="18"/>
      <c r="Q264" s="28" t="s">
        <v>542</v>
      </c>
      <c r="R264" s="18"/>
      <c r="S264" s="28" t="s">
        <v>542</v>
      </c>
      <c r="T264" s="18"/>
      <c r="U264" s="28" t="s">
        <v>542</v>
      </c>
      <c r="V264" s="18"/>
      <c r="W264" s="28" t="s">
        <v>542</v>
      </c>
      <c r="X264" s="18"/>
      <c r="Y264" s="28" t="s">
        <v>542</v>
      </c>
      <c r="Z264" s="46" t="str">
        <f t="shared" si="20"/>
        <v>C</v>
      </c>
      <c r="AA264" s="73" t="str">
        <f t="shared" si="21"/>
        <v>UTILIZOU O PDA CORRETAMENTE</v>
      </c>
      <c r="AB264" s="18" t="s">
        <v>542</v>
      </c>
      <c r="AC264" s="38" t="s">
        <v>1</v>
      </c>
      <c r="AD264" s="29" t="str">
        <f t="shared" si="19"/>
        <v>SÃO PAULO</v>
      </c>
      <c r="AE264" s="21" t="s">
        <v>16</v>
      </c>
    </row>
    <row r="265" spans="1:31" ht="30" customHeight="1" x14ac:dyDescent="0.2">
      <c r="A265" s="82" t="s">
        <v>2327</v>
      </c>
      <c r="B265" s="82">
        <v>2615881762</v>
      </c>
      <c r="C265" s="82" t="s">
        <v>2141</v>
      </c>
      <c r="D265" s="82" t="s">
        <v>16</v>
      </c>
      <c r="E265" s="82" t="s">
        <v>0</v>
      </c>
      <c r="F265" s="82" t="s">
        <v>2363</v>
      </c>
      <c r="G265" s="82">
        <v>13</v>
      </c>
      <c r="H265" s="82" t="s">
        <v>117</v>
      </c>
      <c r="I265" s="82" t="s">
        <v>2348</v>
      </c>
      <c r="J265" s="82" t="s">
        <v>1975</v>
      </c>
      <c r="K265" s="82" t="s">
        <v>2364</v>
      </c>
      <c r="L265" s="82" t="s">
        <v>833</v>
      </c>
      <c r="M265" s="82" t="s">
        <v>2365</v>
      </c>
      <c r="N265" s="82" t="s">
        <v>2349</v>
      </c>
      <c r="O265" s="85" t="s">
        <v>14</v>
      </c>
      <c r="P265" s="42"/>
      <c r="Q265" s="26" t="s">
        <v>14</v>
      </c>
      <c r="R265" s="10"/>
      <c r="S265" s="26" t="s">
        <v>14</v>
      </c>
      <c r="T265" s="10"/>
      <c r="U265" s="26" t="s">
        <v>14</v>
      </c>
      <c r="V265" s="10"/>
      <c r="W265" s="26" t="s">
        <v>14</v>
      </c>
      <c r="X265" s="10"/>
      <c r="Y265" s="26" t="s">
        <v>14</v>
      </c>
      <c r="Z265" s="46" t="str">
        <f t="shared" si="20"/>
        <v>NA</v>
      </c>
      <c r="AA265" s="73" t="str">
        <f t="shared" si="21"/>
        <v>NÃO AVALIADO POR FALHA DE SINCRONISMO</v>
      </c>
      <c r="AB265" s="18" t="s">
        <v>108</v>
      </c>
      <c r="AC265" s="38" t="s">
        <v>1</v>
      </c>
      <c r="AD265" s="29" t="str">
        <f t="shared" si="19"/>
        <v>SÃO PAULO</v>
      </c>
      <c r="AE265" s="21" t="s">
        <v>16</v>
      </c>
    </row>
    <row r="266" spans="1:31" ht="30" customHeight="1" x14ac:dyDescent="0.2">
      <c r="A266" s="82" t="s">
        <v>2327</v>
      </c>
      <c r="B266" s="96">
        <v>2614521507</v>
      </c>
      <c r="C266" s="82" t="s">
        <v>66</v>
      </c>
      <c r="D266" s="82" t="s">
        <v>58</v>
      </c>
      <c r="E266" s="82" t="s">
        <v>0</v>
      </c>
      <c r="F266" s="82" t="s">
        <v>2366</v>
      </c>
      <c r="G266" s="82">
        <v>226</v>
      </c>
      <c r="H266" s="82" t="s">
        <v>117</v>
      </c>
      <c r="I266" s="82" t="s">
        <v>2367</v>
      </c>
      <c r="J266" s="82" t="s">
        <v>1989</v>
      </c>
      <c r="K266" s="82" t="s">
        <v>2368</v>
      </c>
      <c r="L266" s="82" t="s">
        <v>833</v>
      </c>
      <c r="M266" s="82" t="s">
        <v>860</v>
      </c>
      <c r="N266" s="82" t="s">
        <v>2369</v>
      </c>
      <c r="O266" s="36" t="s">
        <v>108</v>
      </c>
      <c r="P266" s="18"/>
      <c r="Q266" s="28" t="s">
        <v>108</v>
      </c>
      <c r="R266" s="18"/>
      <c r="S266" s="28" t="s">
        <v>108</v>
      </c>
      <c r="T266" s="18"/>
      <c r="U266" s="28" t="s">
        <v>108</v>
      </c>
      <c r="V266" s="18"/>
      <c r="W266" s="28" t="s">
        <v>108</v>
      </c>
      <c r="X266" s="18"/>
      <c r="Y266" s="28" t="s">
        <v>108</v>
      </c>
      <c r="Z266" s="46" t="str">
        <f t="shared" si="20"/>
        <v>C</v>
      </c>
      <c r="AA266" s="73" t="str">
        <f t="shared" si="21"/>
        <v>UTILIZOU O PDA CORRETAMENTE</v>
      </c>
      <c r="AB266" s="18" t="s">
        <v>108</v>
      </c>
      <c r="AC266" s="38" t="s">
        <v>1</v>
      </c>
      <c r="AD266" s="29" t="str">
        <f t="shared" si="19"/>
        <v>SÃO PAULO</v>
      </c>
      <c r="AE266" s="21" t="s">
        <v>16</v>
      </c>
    </row>
    <row r="267" spans="1:31" ht="30" customHeight="1" x14ac:dyDescent="0.2">
      <c r="A267" s="82" t="s">
        <v>2327</v>
      </c>
      <c r="B267" s="96">
        <v>2615917512</v>
      </c>
      <c r="C267" s="82" t="s">
        <v>2141</v>
      </c>
      <c r="D267" s="82" t="s">
        <v>16</v>
      </c>
      <c r="E267" s="82" t="s">
        <v>0</v>
      </c>
      <c r="F267" s="82" t="s">
        <v>2370</v>
      </c>
      <c r="G267" s="82">
        <v>91</v>
      </c>
      <c r="H267" s="82" t="s">
        <v>2371</v>
      </c>
      <c r="I267" s="82" t="s">
        <v>2353</v>
      </c>
      <c r="J267" s="82" t="s">
        <v>1975</v>
      </c>
      <c r="K267" s="88" t="s">
        <v>2372</v>
      </c>
      <c r="L267" s="82" t="s">
        <v>833</v>
      </c>
      <c r="M267" s="82" t="s">
        <v>2373</v>
      </c>
      <c r="N267" s="82" t="s">
        <v>2349</v>
      </c>
      <c r="O267" s="36" t="s">
        <v>108</v>
      </c>
      <c r="P267" s="18"/>
      <c r="Q267" s="28" t="s">
        <v>108</v>
      </c>
      <c r="R267" s="18"/>
      <c r="S267" s="28" t="s">
        <v>108</v>
      </c>
      <c r="T267" s="18"/>
      <c r="U267" s="28" t="s">
        <v>108</v>
      </c>
      <c r="V267" s="18"/>
      <c r="W267" s="28" t="s">
        <v>108</v>
      </c>
      <c r="X267" s="18"/>
      <c r="Y267" s="28" t="s">
        <v>108</v>
      </c>
      <c r="Z267" s="46" t="str">
        <f t="shared" si="20"/>
        <v>C</v>
      </c>
      <c r="AA267" s="73" t="str">
        <f t="shared" si="21"/>
        <v>UTILIZOU O PDA CORRETAMENTE</v>
      </c>
      <c r="AB267" s="18" t="s">
        <v>108</v>
      </c>
      <c r="AC267" s="38" t="s">
        <v>1</v>
      </c>
      <c r="AD267" s="29" t="str">
        <f t="shared" si="19"/>
        <v>SÃO PAULO</v>
      </c>
      <c r="AE267" s="21" t="s">
        <v>16</v>
      </c>
    </row>
    <row r="268" spans="1:31" ht="30" customHeight="1" x14ac:dyDescent="0.2">
      <c r="A268" s="82" t="s">
        <v>2327</v>
      </c>
      <c r="B268" s="96">
        <v>2615913699</v>
      </c>
      <c r="C268" s="82" t="s">
        <v>2141</v>
      </c>
      <c r="D268" s="82" t="s">
        <v>16</v>
      </c>
      <c r="E268" s="82" t="s">
        <v>0</v>
      </c>
      <c r="F268" s="82" t="s">
        <v>2374</v>
      </c>
      <c r="G268" s="82">
        <v>927</v>
      </c>
      <c r="H268" s="82" t="s">
        <v>117</v>
      </c>
      <c r="I268" s="82" t="s">
        <v>2375</v>
      </c>
      <c r="J268" s="82" t="s">
        <v>1975</v>
      </c>
      <c r="K268" s="82" t="s">
        <v>117</v>
      </c>
      <c r="L268" s="82" t="s">
        <v>833</v>
      </c>
      <c r="M268" s="82" t="s">
        <v>2376</v>
      </c>
      <c r="N268" s="82" t="s">
        <v>2338</v>
      </c>
      <c r="O268" s="36" t="s">
        <v>108</v>
      </c>
      <c r="P268" s="18"/>
      <c r="Q268" s="28" t="s">
        <v>108</v>
      </c>
      <c r="R268" s="18"/>
      <c r="S268" s="28" t="s">
        <v>108</v>
      </c>
      <c r="T268" s="18"/>
      <c r="U268" s="28" t="s">
        <v>108</v>
      </c>
      <c r="V268" s="18"/>
      <c r="W268" s="28" t="s">
        <v>108</v>
      </c>
      <c r="X268" s="18"/>
      <c r="Y268" s="28" t="s">
        <v>108</v>
      </c>
      <c r="Z268" s="46" t="str">
        <f t="shared" si="20"/>
        <v>C</v>
      </c>
      <c r="AA268" s="73" t="str">
        <f t="shared" si="21"/>
        <v>UTILIZOU O PDA CORRETAMENTE</v>
      </c>
      <c r="AB268" s="18" t="s">
        <v>108</v>
      </c>
      <c r="AC268" s="38" t="s">
        <v>1</v>
      </c>
      <c r="AD268" s="29" t="str">
        <f t="shared" si="19"/>
        <v>SÃO PAULO</v>
      </c>
      <c r="AE268" s="21" t="s">
        <v>16</v>
      </c>
    </row>
    <row r="269" spans="1:31" ht="30" customHeight="1" x14ac:dyDescent="0.2">
      <c r="A269" s="82" t="s">
        <v>101</v>
      </c>
      <c r="B269" s="82">
        <v>2690699636</v>
      </c>
      <c r="C269" s="82" t="s">
        <v>60</v>
      </c>
      <c r="D269" s="82" t="s">
        <v>16</v>
      </c>
      <c r="E269" s="82" t="s">
        <v>102</v>
      </c>
      <c r="F269" s="82" t="s">
        <v>2015</v>
      </c>
      <c r="G269" s="82">
        <v>283</v>
      </c>
      <c r="H269" s="82" t="s">
        <v>2377</v>
      </c>
      <c r="I269" s="82" t="s">
        <v>169</v>
      </c>
      <c r="J269" s="82" t="s">
        <v>1979</v>
      </c>
      <c r="K269" s="82" t="s">
        <v>2378</v>
      </c>
      <c r="L269" s="82" t="s">
        <v>902</v>
      </c>
      <c r="M269" s="82" t="s">
        <v>2379</v>
      </c>
      <c r="N269" s="82" t="s">
        <v>597</v>
      </c>
      <c r="O269" s="36" t="s">
        <v>108</v>
      </c>
      <c r="P269" s="18"/>
      <c r="Q269" s="28" t="s">
        <v>108</v>
      </c>
      <c r="R269" s="18"/>
      <c r="S269" s="28" t="s">
        <v>108</v>
      </c>
      <c r="T269" s="18"/>
      <c r="U269" s="28" t="s">
        <v>108</v>
      </c>
      <c r="V269" s="18"/>
      <c r="W269" s="28" t="s">
        <v>108</v>
      </c>
      <c r="X269" s="18"/>
      <c r="Y269" s="28" t="s">
        <v>108</v>
      </c>
      <c r="Z269" s="46" t="str">
        <f t="shared" si="20"/>
        <v>C</v>
      </c>
      <c r="AA269" s="73" t="str">
        <f t="shared" si="21"/>
        <v>UTILIZOU O PDA CORRETAMENTE</v>
      </c>
      <c r="AB269" s="18" t="s">
        <v>108</v>
      </c>
      <c r="AC269" s="38" t="s">
        <v>1</v>
      </c>
      <c r="AD269" s="29" t="str">
        <f t="shared" ref="AD269:AD286" si="22">E269</f>
        <v>GUARULHOS</v>
      </c>
      <c r="AE269" s="21" t="s">
        <v>16</v>
      </c>
    </row>
    <row r="270" spans="1:31" ht="30" customHeight="1" x14ac:dyDescent="0.2">
      <c r="A270" s="82" t="s">
        <v>101</v>
      </c>
      <c r="B270" s="82">
        <v>2690760649</v>
      </c>
      <c r="C270" s="82" t="s">
        <v>60</v>
      </c>
      <c r="D270" s="82" t="s">
        <v>16</v>
      </c>
      <c r="E270" s="82" t="s">
        <v>102</v>
      </c>
      <c r="F270" s="82" t="s">
        <v>329</v>
      </c>
      <c r="G270" s="82">
        <v>167</v>
      </c>
      <c r="H270" s="82" t="s">
        <v>115</v>
      </c>
      <c r="I270" s="82" t="s">
        <v>520</v>
      </c>
      <c r="J270" s="82" t="s">
        <v>1979</v>
      </c>
      <c r="K270" s="82"/>
      <c r="L270" s="82" t="s">
        <v>902</v>
      </c>
      <c r="M270" s="82" t="s">
        <v>2380</v>
      </c>
      <c r="N270" s="82" t="s">
        <v>1980</v>
      </c>
      <c r="O270" s="36" t="s">
        <v>108</v>
      </c>
      <c r="P270" s="18"/>
      <c r="Q270" s="28" t="s">
        <v>108</v>
      </c>
      <c r="R270" s="18"/>
      <c r="S270" s="28" t="s">
        <v>108</v>
      </c>
      <c r="T270" s="18"/>
      <c r="U270" s="28" t="s">
        <v>108</v>
      </c>
      <c r="V270" s="18"/>
      <c r="W270" s="28" t="s">
        <v>108</v>
      </c>
      <c r="X270" s="18"/>
      <c r="Y270" s="28" t="s">
        <v>108</v>
      </c>
      <c r="Z270" s="46" t="str">
        <f t="shared" si="20"/>
        <v>C</v>
      </c>
      <c r="AA270" s="73" t="str">
        <f t="shared" si="21"/>
        <v>UTILIZOU O PDA CORRETAMENTE</v>
      </c>
      <c r="AB270" s="18" t="s">
        <v>108</v>
      </c>
      <c r="AC270" s="38" t="s">
        <v>1</v>
      </c>
      <c r="AD270" s="29" t="str">
        <f t="shared" si="22"/>
        <v>GUARULHOS</v>
      </c>
      <c r="AE270" s="21" t="s">
        <v>16</v>
      </c>
    </row>
    <row r="271" spans="1:31" ht="30" customHeight="1" x14ac:dyDescent="0.2">
      <c r="A271" s="82" t="s">
        <v>101</v>
      </c>
      <c r="B271" s="82">
        <v>2616172379</v>
      </c>
      <c r="C271" s="82" t="s">
        <v>67</v>
      </c>
      <c r="D271" s="82" t="s">
        <v>58</v>
      </c>
      <c r="E271" s="82" t="s">
        <v>102</v>
      </c>
      <c r="F271" s="82" t="s">
        <v>974</v>
      </c>
      <c r="G271" s="82">
        <v>90</v>
      </c>
      <c r="H271" s="82" t="s">
        <v>117</v>
      </c>
      <c r="I271" s="82" t="s">
        <v>220</v>
      </c>
      <c r="J271" s="82" t="s">
        <v>1984</v>
      </c>
      <c r="K271" s="82" t="s">
        <v>2381</v>
      </c>
      <c r="L271" s="82" t="s">
        <v>902</v>
      </c>
      <c r="M271" s="82" t="s">
        <v>2382</v>
      </c>
      <c r="N271" s="82" t="s">
        <v>144</v>
      </c>
      <c r="O271" s="85" t="s">
        <v>14</v>
      </c>
      <c r="P271" s="42"/>
      <c r="Q271" s="26" t="s">
        <v>14</v>
      </c>
      <c r="R271" s="10"/>
      <c r="S271" s="26" t="s">
        <v>14</v>
      </c>
      <c r="T271" s="10"/>
      <c r="U271" s="26" t="s">
        <v>14</v>
      </c>
      <c r="V271" s="10"/>
      <c r="W271" s="26" t="s">
        <v>14</v>
      </c>
      <c r="X271" s="10"/>
      <c r="Y271" s="26" t="s">
        <v>14</v>
      </c>
      <c r="Z271" s="46" t="str">
        <f t="shared" si="20"/>
        <v>NA</v>
      </c>
      <c r="AA271" s="73" t="str">
        <f t="shared" si="21"/>
        <v>NÃO AVALIADO POR FALHA DE SINCRONISMO</v>
      </c>
      <c r="AB271" s="18" t="s">
        <v>108</v>
      </c>
      <c r="AC271" s="38" t="s">
        <v>1</v>
      </c>
      <c r="AD271" s="29" t="str">
        <f t="shared" si="22"/>
        <v>GUARULHOS</v>
      </c>
      <c r="AE271" s="21" t="s">
        <v>16</v>
      </c>
    </row>
    <row r="272" spans="1:31" ht="30" customHeight="1" x14ac:dyDescent="0.2">
      <c r="A272" s="82" t="s">
        <v>101</v>
      </c>
      <c r="B272" s="82">
        <v>2690714732</v>
      </c>
      <c r="C272" s="82" t="s">
        <v>65</v>
      </c>
      <c r="D272" s="82" t="s">
        <v>58</v>
      </c>
      <c r="E272" s="82" t="s">
        <v>102</v>
      </c>
      <c r="F272" s="82" t="s">
        <v>2383</v>
      </c>
      <c r="G272" s="82">
        <v>16</v>
      </c>
      <c r="H272" s="82" t="s">
        <v>2384</v>
      </c>
      <c r="I272" s="82" t="s">
        <v>1172</v>
      </c>
      <c r="J272" s="82" t="s">
        <v>1979</v>
      </c>
      <c r="K272" s="82"/>
      <c r="L272" s="82" t="s">
        <v>902</v>
      </c>
      <c r="M272" s="82" t="s">
        <v>2385</v>
      </c>
      <c r="N272" s="82" t="s">
        <v>185</v>
      </c>
      <c r="O272" s="36" t="s">
        <v>108</v>
      </c>
      <c r="P272" s="18"/>
      <c r="Q272" s="28" t="s">
        <v>108</v>
      </c>
      <c r="R272" s="18"/>
      <c r="S272" s="28" t="s">
        <v>108</v>
      </c>
      <c r="T272" s="18"/>
      <c r="U272" s="28" t="s">
        <v>108</v>
      </c>
      <c r="V272" s="18"/>
      <c r="W272" s="28" t="s">
        <v>108</v>
      </c>
      <c r="X272" s="18"/>
      <c r="Y272" s="28" t="s">
        <v>108</v>
      </c>
      <c r="Z272" s="46" t="str">
        <f t="shared" si="20"/>
        <v>C</v>
      </c>
      <c r="AA272" s="73" t="str">
        <f t="shared" si="21"/>
        <v>UTILIZOU O PDA CORRETAMENTE</v>
      </c>
      <c r="AB272" s="18" t="s">
        <v>108</v>
      </c>
      <c r="AC272" s="38" t="s">
        <v>1</v>
      </c>
      <c r="AD272" s="29" t="str">
        <f t="shared" si="22"/>
        <v>GUARULHOS</v>
      </c>
      <c r="AE272" s="21" t="s">
        <v>16</v>
      </c>
    </row>
    <row r="273" spans="1:31" ht="30" customHeight="1" x14ac:dyDescent="0.2">
      <c r="A273" s="82" t="s">
        <v>101</v>
      </c>
      <c r="B273" s="82">
        <v>2690770339</v>
      </c>
      <c r="C273" s="82" t="s">
        <v>60</v>
      </c>
      <c r="D273" s="82" t="s">
        <v>16</v>
      </c>
      <c r="E273" s="82" t="s">
        <v>102</v>
      </c>
      <c r="F273" s="82" t="s">
        <v>811</v>
      </c>
      <c r="G273" s="82">
        <v>264</v>
      </c>
      <c r="H273" s="82" t="s">
        <v>2386</v>
      </c>
      <c r="I273" s="82" t="s">
        <v>169</v>
      </c>
      <c r="J273" s="82" t="s">
        <v>1979</v>
      </c>
      <c r="K273" s="82" t="s">
        <v>117</v>
      </c>
      <c r="L273" s="82" t="s">
        <v>902</v>
      </c>
      <c r="M273" s="82" t="s">
        <v>2387</v>
      </c>
      <c r="N273" s="82" t="s">
        <v>597</v>
      </c>
      <c r="O273" s="36" t="s">
        <v>108</v>
      </c>
      <c r="P273" s="18"/>
      <c r="Q273" s="28" t="s">
        <v>108</v>
      </c>
      <c r="R273" s="18"/>
      <c r="S273" s="28" t="s">
        <v>108</v>
      </c>
      <c r="T273" s="18"/>
      <c r="U273" s="28" t="s">
        <v>108</v>
      </c>
      <c r="V273" s="18"/>
      <c r="W273" s="28" t="s">
        <v>108</v>
      </c>
      <c r="X273" s="18"/>
      <c r="Y273" s="28" t="s">
        <v>108</v>
      </c>
      <c r="Z273" s="46" t="str">
        <f t="shared" si="20"/>
        <v>C</v>
      </c>
      <c r="AA273" s="73" t="str">
        <f t="shared" si="21"/>
        <v>UTILIZOU O PDA CORRETAMENTE</v>
      </c>
      <c r="AB273" s="18" t="s">
        <v>108</v>
      </c>
      <c r="AC273" s="38" t="s">
        <v>1</v>
      </c>
      <c r="AD273" s="29" t="str">
        <f t="shared" si="22"/>
        <v>GUARULHOS</v>
      </c>
      <c r="AE273" s="21" t="s">
        <v>16</v>
      </c>
    </row>
    <row r="274" spans="1:31" ht="30" customHeight="1" x14ac:dyDescent="0.2">
      <c r="A274" s="82" t="s">
        <v>101</v>
      </c>
      <c r="B274" s="82">
        <v>2690716047</v>
      </c>
      <c r="C274" s="82" t="s">
        <v>65</v>
      </c>
      <c r="D274" s="82" t="s">
        <v>58</v>
      </c>
      <c r="E274" s="82" t="s">
        <v>102</v>
      </c>
      <c r="F274" s="82" t="s">
        <v>2283</v>
      </c>
      <c r="G274" s="82">
        <v>370</v>
      </c>
      <c r="H274" s="82" t="s">
        <v>1061</v>
      </c>
      <c r="I274" s="82" t="s">
        <v>2284</v>
      </c>
      <c r="J274" s="82" t="s">
        <v>1979</v>
      </c>
      <c r="K274" s="82" t="s">
        <v>2388</v>
      </c>
      <c r="L274" s="82" t="s">
        <v>902</v>
      </c>
      <c r="M274" s="82" t="s">
        <v>2389</v>
      </c>
      <c r="N274" s="82" t="s">
        <v>1993</v>
      </c>
      <c r="O274" s="85" t="s">
        <v>14</v>
      </c>
      <c r="P274" s="42"/>
      <c r="Q274" s="26" t="s">
        <v>14</v>
      </c>
      <c r="R274" s="10"/>
      <c r="S274" s="26" t="s">
        <v>14</v>
      </c>
      <c r="T274" s="10"/>
      <c r="U274" s="26" t="s">
        <v>14</v>
      </c>
      <c r="V274" s="10"/>
      <c r="W274" s="26" t="s">
        <v>14</v>
      </c>
      <c r="X274" s="10"/>
      <c r="Y274" s="26" t="s">
        <v>14</v>
      </c>
      <c r="Z274" s="46" t="str">
        <f t="shared" si="20"/>
        <v>NA</v>
      </c>
      <c r="AA274" s="73" t="str">
        <f t="shared" si="21"/>
        <v>NÃO AVALIADO POR FALHA DE SINCRONISMO</v>
      </c>
      <c r="AB274" s="18" t="s">
        <v>108</v>
      </c>
      <c r="AC274" s="38" t="s">
        <v>1</v>
      </c>
      <c r="AD274" s="29" t="str">
        <f t="shared" si="22"/>
        <v>GUARULHOS</v>
      </c>
      <c r="AE274" s="21" t="s">
        <v>16</v>
      </c>
    </row>
    <row r="275" spans="1:31" ht="30" customHeight="1" x14ac:dyDescent="0.2">
      <c r="A275" s="82" t="s">
        <v>101</v>
      </c>
      <c r="B275" s="82">
        <v>2690778579</v>
      </c>
      <c r="C275" s="82" t="s">
        <v>60</v>
      </c>
      <c r="D275" s="82" t="s">
        <v>16</v>
      </c>
      <c r="E275" s="82" t="s">
        <v>102</v>
      </c>
      <c r="F275" s="82" t="s">
        <v>1632</v>
      </c>
      <c r="G275" s="82">
        <v>599</v>
      </c>
      <c r="H275" s="82" t="s">
        <v>110</v>
      </c>
      <c r="I275" s="82" t="s">
        <v>104</v>
      </c>
      <c r="J275" s="82" t="s">
        <v>1979</v>
      </c>
      <c r="K275" s="82"/>
      <c r="L275" s="82" t="s">
        <v>902</v>
      </c>
      <c r="M275" s="82" t="s">
        <v>2391</v>
      </c>
      <c r="N275" s="82" t="s">
        <v>1980</v>
      </c>
      <c r="O275" s="36" t="s">
        <v>108</v>
      </c>
      <c r="P275" s="18"/>
      <c r="Q275" s="28" t="s">
        <v>108</v>
      </c>
      <c r="R275" s="18"/>
      <c r="S275" s="28" t="s">
        <v>108</v>
      </c>
      <c r="T275" s="18"/>
      <c r="U275" s="28" t="s">
        <v>108</v>
      </c>
      <c r="V275" s="18"/>
      <c r="W275" s="28" t="s">
        <v>108</v>
      </c>
      <c r="X275" s="18"/>
      <c r="Y275" s="28" t="s">
        <v>108</v>
      </c>
      <c r="Z275" s="46" t="str">
        <f t="shared" si="20"/>
        <v>C</v>
      </c>
      <c r="AA275" s="73" t="str">
        <f t="shared" si="21"/>
        <v>UTILIZOU O PDA CORRETAMENTE</v>
      </c>
      <c r="AB275" s="18" t="s">
        <v>108</v>
      </c>
      <c r="AC275" s="38" t="s">
        <v>1</v>
      </c>
      <c r="AD275" s="29" t="str">
        <f t="shared" si="22"/>
        <v>GUARULHOS</v>
      </c>
      <c r="AE275" s="21" t="s">
        <v>16</v>
      </c>
    </row>
    <row r="276" spans="1:31" ht="30" customHeight="1" x14ac:dyDescent="0.2">
      <c r="A276" s="82" t="s">
        <v>101</v>
      </c>
      <c r="B276" s="82">
        <v>2690724882</v>
      </c>
      <c r="C276" s="82" t="s">
        <v>65</v>
      </c>
      <c r="D276" s="82" t="s">
        <v>58</v>
      </c>
      <c r="E276" s="82" t="s">
        <v>102</v>
      </c>
      <c r="F276" s="82" t="s">
        <v>2392</v>
      </c>
      <c r="G276" s="82">
        <v>330</v>
      </c>
      <c r="H276" s="82"/>
      <c r="I276" s="82" t="s">
        <v>1396</v>
      </c>
      <c r="J276" s="82" t="s">
        <v>1979</v>
      </c>
      <c r="K276" s="82"/>
      <c r="L276" s="82" t="s">
        <v>902</v>
      </c>
      <c r="M276" s="82" t="s">
        <v>1799</v>
      </c>
      <c r="N276" s="82" t="s">
        <v>131</v>
      </c>
      <c r="O276" s="36" t="s">
        <v>108</v>
      </c>
      <c r="P276" s="18"/>
      <c r="Q276" s="28" t="s">
        <v>108</v>
      </c>
      <c r="R276" s="18"/>
      <c r="S276" s="28" t="s">
        <v>108</v>
      </c>
      <c r="T276" s="18"/>
      <c r="U276" s="28" t="s">
        <v>108</v>
      </c>
      <c r="V276" s="18"/>
      <c r="W276" s="28" t="s">
        <v>108</v>
      </c>
      <c r="X276" s="18"/>
      <c r="Y276" s="28" t="s">
        <v>108</v>
      </c>
      <c r="Z276" s="46" t="str">
        <f t="shared" si="20"/>
        <v>C</v>
      </c>
      <c r="AA276" s="73" t="str">
        <f t="shared" ref="AA276:AA295" si="23">IF(AND(Y276="C",Z276="C"),"UTILIZOU O PDA CORRETAMENTE",IF(AND(Y276="C",Z276="NC"),"UTILIZOU O PDA CORRETAMENTE. NÃO HÁ FOTOS DE TODAS AS ETAPAS",IF(AND(Y276="NC",Z276="NC"),"NÃO UTILIZOU O PDA",IF(AND(Y276="NA",Z276="NA"),"NÃO AVALIADO POR FALHA DE SINCRONISMO"))))</f>
        <v>UTILIZOU O PDA CORRETAMENTE</v>
      </c>
      <c r="AB276" s="18" t="s">
        <v>108</v>
      </c>
      <c r="AC276" s="38" t="s">
        <v>1</v>
      </c>
      <c r="AD276" s="29" t="str">
        <f t="shared" si="22"/>
        <v>GUARULHOS</v>
      </c>
      <c r="AE276" s="21" t="s">
        <v>16</v>
      </c>
    </row>
    <row r="277" spans="1:31" ht="30" customHeight="1" x14ac:dyDescent="0.2">
      <c r="A277" s="82" t="s">
        <v>101</v>
      </c>
      <c r="B277" s="82">
        <v>2615903230</v>
      </c>
      <c r="C277" s="82" t="s">
        <v>60</v>
      </c>
      <c r="D277" s="82" t="s">
        <v>16</v>
      </c>
      <c r="E277" s="82" t="s">
        <v>102</v>
      </c>
      <c r="F277" s="82" t="s">
        <v>638</v>
      </c>
      <c r="G277" s="82">
        <v>359</v>
      </c>
      <c r="H277" s="82" t="s">
        <v>2393</v>
      </c>
      <c r="I277" s="82" t="s">
        <v>430</v>
      </c>
      <c r="J277" s="82" t="s">
        <v>1975</v>
      </c>
      <c r="K277" s="82" t="s">
        <v>548</v>
      </c>
      <c r="L277" s="82" t="s">
        <v>902</v>
      </c>
      <c r="M277" s="82" t="s">
        <v>2394</v>
      </c>
      <c r="N277" s="82" t="s">
        <v>146</v>
      </c>
      <c r="O277" s="36" t="s">
        <v>108</v>
      </c>
      <c r="P277" s="18"/>
      <c r="Q277" s="28" t="s">
        <v>108</v>
      </c>
      <c r="R277" s="18"/>
      <c r="S277" s="28" t="s">
        <v>108</v>
      </c>
      <c r="T277" s="18"/>
      <c r="U277" s="28" t="s">
        <v>108</v>
      </c>
      <c r="V277" s="18"/>
      <c r="W277" s="28" t="s">
        <v>108</v>
      </c>
      <c r="X277" s="18"/>
      <c r="Y277" s="28" t="s">
        <v>108</v>
      </c>
      <c r="Z277" s="46" t="str">
        <f t="shared" ref="Z277:Z295" si="24">IF(AND(O277="",Q277="",S277="",U277="",W277=""),"",IF(OR(AND(O277&lt;&gt;"NA",O277&lt;&gt;"C",O277&lt;&gt;"NC",O277&lt;&gt;"SF",O277&lt;&gt;""),AND(Q277&lt;&gt;"NA",Q277&lt;&gt;"C",Q277&lt;&gt;"NC",Q277&lt;&gt;"SF",Q277&lt;&gt;""),AND(S277&lt;&gt;"NA",S277&lt;&gt;"C",S277&lt;&gt;"NC",S277&lt;&gt;"SF",S277&lt;&gt;""),AND(U277&lt;&gt;"NA",U277&lt;&gt;"C",U277&lt;&gt;"NC",U277&lt;&gt;"SF",U277&lt;&gt;""),AND(W277&lt;&gt;"NA",W277&lt;&gt;"C",W277&lt;&gt;"NC",W277&lt;&gt;"SF",W277&lt;&gt;"")),"FALSO",IF(AND(O277="NA",Q277="NA",S277="NA",U277="NA",W277="NA"),"NA",IF(OR(O277="NC",Q277="NC",S277="NC",U277="NC",W277="NC",O277="SF",Q277="SF",S277="SF",U277="SF",W277="SF"),"NC",IF(OR(O277="C",Q277="C",S277="C",U277="C",W277="C"),"C","")))))</f>
        <v>C</v>
      </c>
      <c r="AA277" s="73" t="str">
        <f t="shared" si="23"/>
        <v>UTILIZOU O PDA CORRETAMENTE</v>
      </c>
      <c r="AB277" s="18" t="s">
        <v>108</v>
      </c>
      <c r="AC277" s="38" t="s">
        <v>1</v>
      </c>
      <c r="AD277" s="29" t="str">
        <f t="shared" si="22"/>
        <v>GUARULHOS</v>
      </c>
      <c r="AE277" s="21" t="s">
        <v>16</v>
      </c>
    </row>
    <row r="278" spans="1:31" ht="30" customHeight="1" x14ac:dyDescent="0.2">
      <c r="A278" s="82" t="s">
        <v>101</v>
      </c>
      <c r="B278" s="82">
        <v>2690758097</v>
      </c>
      <c r="C278" s="82" t="s">
        <v>65</v>
      </c>
      <c r="D278" s="82" t="s">
        <v>58</v>
      </c>
      <c r="E278" s="82" t="s">
        <v>102</v>
      </c>
      <c r="F278" s="82" t="s">
        <v>2395</v>
      </c>
      <c r="G278" s="82">
        <v>29</v>
      </c>
      <c r="H278" s="82" t="s">
        <v>1277</v>
      </c>
      <c r="I278" s="82" t="s">
        <v>1063</v>
      </c>
      <c r="J278" s="82" t="s">
        <v>1979</v>
      </c>
      <c r="K278" s="82" t="s">
        <v>2048</v>
      </c>
      <c r="L278" s="82" t="s">
        <v>902</v>
      </c>
      <c r="M278" s="82" t="s">
        <v>2396</v>
      </c>
      <c r="N278" s="82" t="s">
        <v>1993</v>
      </c>
      <c r="O278" s="36" t="s">
        <v>108</v>
      </c>
      <c r="P278" s="18"/>
      <c r="Q278" s="28" t="s">
        <v>108</v>
      </c>
      <c r="R278" s="18"/>
      <c r="S278" s="28" t="s">
        <v>108</v>
      </c>
      <c r="T278" s="18"/>
      <c r="U278" s="28" t="s">
        <v>108</v>
      </c>
      <c r="V278" s="18"/>
      <c r="W278" s="28" t="s">
        <v>108</v>
      </c>
      <c r="X278" s="18"/>
      <c r="Y278" s="28" t="s">
        <v>108</v>
      </c>
      <c r="Z278" s="46" t="str">
        <f t="shared" si="24"/>
        <v>C</v>
      </c>
      <c r="AA278" s="73" t="str">
        <f t="shared" si="23"/>
        <v>UTILIZOU O PDA CORRETAMENTE</v>
      </c>
      <c r="AB278" s="18" t="s">
        <v>108</v>
      </c>
      <c r="AC278" s="38" t="s">
        <v>1</v>
      </c>
      <c r="AD278" s="29" t="str">
        <f t="shared" si="22"/>
        <v>GUARULHOS</v>
      </c>
      <c r="AE278" s="21" t="s">
        <v>16</v>
      </c>
    </row>
    <row r="279" spans="1:31" ht="30" customHeight="1" x14ac:dyDescent="0.2">
      <c r="A279" s="82" t="s">
        <v>101</v>
      </c>
      <c r="B279" s="82">
        <v>2615935709</v>
      </c>
      <c r="C279" s="82" t="s">
        <v>67</v>
      </c>
      <c r="D279" s="82" t="s">
        <v>58</v>
      </c>
      <c r="E279" s="82" t="s">
        <v>102</v>
      </c>
      <c r="F279" s="82" t="s">
        <v>984</v>
      </c>
      <c r="G279" s="82">
        <v>62</v>
      </c>
      <c r="H279" s="82" t="s">
        <v>985</v>
      </c>
      <c r="I279" s="82" t="s">
        <v>158</v>
      </c>
      <c r="J279" s="82" t="s">
        <v>1984</v>
      </c>
      <c r="K279" s="82"/>
      <c r="L279" s="82" t="s">
        <v>902</v>
      </c>
      <c r="M279" s="82" t="s">
        <v>977</v>
      </c>
      <c r="N279" s="82" t="s">
        <v>160</v>
      </c>
      <c r="O279" s="36" t="s">
        <v>108</v>
      </c>
      <c r="P279" s="18"/>
      <c r="Q279" s="28" t="s">
        <v>108</v>
      </c>
      <c r="R279" s="18"/>
      <c r="S279" s="28" t="s">
        <v>108</v>
      </c>
      <c r="T279" s="18"/>
      <c r="U279" s="28" t="s">
        <v>108</v>
      </c>
      <c r="V279" s="18"/>
      <c r="W279" s="28" t="s">
        <v>108</v>
      </c>
      <c r="X279" s="18"/>
      <c r="Y279" s="28" t="s">
        <v>108</v>
      </c>
      <c r="Z279" s="46" t="str">
        <f t="shared" si="24"/>
        <v>C</v>
      </c>
      <c r="AA279" s="73" t="str">
        <f t="shared" si="23"/>
        <v>UTILIZOU O PDA CORRETAMENTE</v>
      </c>
      <c r="AB279" s="18" t="s">
        <v>108</v>
      </c>
      <c r="AC279" s="38" t="s">
        <v>1</v>
      </c>
      <c r="AD279" s="29" t="str">
        <f t="shared" si="22"/>
        <v>GUARULHOS</v>
      </c>
      <c r="AE279" s="21" t="s">
        <v>16</v>
      </c>
    </row>
    <row r="280" spans="1:31" ht="30" customHeight="1" x14ac:dyDescent="0.2">
      <c r="A280" s="82" t="s">
        <v>101</v>
      </c>
      <c r="B280" s="82">
        <v>2690789928</v>
      </c>
      <c r="C280" s="82" t="s">
        <v>60</v>
      </c>
      <c r="D280" s="82" t="s">
        <v>16</v>
      </c>
      <c r="E280" s="82" t="s">
        <v>102</v>
      </c>
      <c r="F280" s="82" t="s">
        <v>2196</v>
      </c>
      <c r="G280" s="82">
        <v>167</v>
      </c>
      <c r="H280" s="82" t="s">
        <v>174</v>
      </c>
      <c r="I280" s="82" t="s">
        <v>1170</v>
      </c>
      <c r="J280" s="82" t="s">
        <v>1975</v>
      </c>
      <c r="K280" s="82"/>
      <c r="L280" s="82" t="s">
        <v>987</v>
      </c>
      <c r="M280" s="82" t="s">
        <v>2397</v>
      </c>
      <c r="N280" s="82" t="s">
        <v>767</v>
      </c>
      <c r="O280" s="36" t="s">
        <v>108</v>
      </c>
      <c r="P280" s="18"/>
      <c r="Q280" s="28" t="s">
        <v>108</v>
      </c>
      <c r="R280" s="18"/>
      <c r="S280" s="28" t="s">
        <v>108</v>
      </c>
      <c r="T280" s="18"/>
      <c r="U280" s="28" t="s">
        <v>108</v>
      </c>
      <c r="V280" s="18"/>
      <c r="W280" s="28" t="s">
        <v>108</v>
      </c>
      <c r="X280" s="18"/>
      <c r="Y280" s="28" t="s">
        <v>108</v>
      </c>
      <c r="Z280" s="46" t="str">
        <f t="shared" si="24"/>
        <v>C</v>
      </c>
      <c r="AA280" s="73" t="str">
        <f t="shared" si="23"/>
        <v>UTILIZOU O PDA CORRETAMENTE</v>
      </c>
      <c r="AB280" s="18" t="s">
        <v>108</v>
      </c>
      <c r="AC280" s="38" t="s">
        <v>1</v>
      </c>
      <c r="AD280" s="29" t="str">
        <f t="shared" si="22"/>
        <v>GUARULHOS</v>
      </c>
      <c r="AE280" s="21" t="s">
        <v>16</v>
      </c>
    </row>
    <row r="281" spans="1:31" ht="30" customHeight="1" x14ac:dyDescent="0.2">
      <c r="A281" s="82" t="s">
        <v>101</v>
      </c>
      <c r="B281" s="82">
        <v>2616208451</v>
      </c>
      <c r="C281" s="82" t="s">
        <v>60</v>
      </c>
      <c r="D281" s="82" t="s">
        <v>16</v>
      </c>
      <c r="E281" s="82" t="s">
        <v>102</v>
      </c>
      <c r="F281" s="82" t="s">
        <v>2398</v>
      </c>
      <c r="G281" s="82">
        <v>73</v>
      </c>
      <c r="H281" s="82" t="s">
        <v>2399</v>
      </c>
      <c r="I281" s="82" t="s">
        <v>179</v>
      </c>
      <c r="J281" s="82" t="s">
        <v>1979</v>
      </c>
      <c r="K281" s="82"/>
      <c r="L281" s="82" t="s">
        <v>987</v>
      </c>
      <c r="M281" s="82" t="s">
        <v>2400</v>
      </c>
      <c r="N281" s="82" t="s">
        <v>1986</v>
      </c>
      <c r="O281" s="36" t="s">
        <v>108</v>
      </c>
      <c r="P281" s="18"/>
      <c r="Q281" s="28" t="s">
        <v>108</v>
      </c>
      <c r="R281" s="18"/>
      <c r="S281" s="28" t="s">
        <v>108</v>
      </c>
      <c r="T281" s="18"/>
      <c r="U281" s="28" t="s">
        <v>108</v>
      </c>
      <c r="V281" s="18"/>
      <c r="W281" s="28" t="s">
        <v>108</v>
      </c>
      <c r="X281" s="18"/>
      <c r="Y281" s="28" t="s">
        <v>108</v>
      </c>
      <c r="Z281" s="46" t="str">
        <f t="shared" si="24"/>
        <v>C</v>
      </c>
      <c r="AA281" s="73" t="str">
        <f t="shared" si="23"/>
        <v>UTILIZOU O PDA CORRETAMENTE</v>
      </c>
      <c r="AB281" s="18" t="s">
        <v>108</v>
      </c>
      <c r="AC281" s="38" t="s">
        <v>1</v>
      </c>
      <c r="AD281" s="29" t="str">
        <f t="shared" si="22"/>
        <v>GUARULHOS</v>
      </c>
      <c r="AE281" s="21" t="s">
        <v>16</v>
      </c>
    </row>
    <row r="282" spans="1:31" ht="30" customHeight="1" x14ac:dyDescent="0.2">
      <c r="A282" s="82" t="s">
        <v>101</v>
      </c>
      <c r="B282" s="82">
        <v>2690816730</v>
      </c>
      <c r="C282" s="82" t="s">
        <v>60</v>
      </c>
      <c r="D282" s="82" t="s">
        <v>16</v>
      </c>
      <c r="E282" s="82" t="s">
        <v>102</v>
      </c>
      <c r="F282" s="82" t="s">
        <v>289</v>
      </c>
      <c r="G282" s="82">
        <v>476</v>
      </c>
      <c r="H282" s="82" t="s">
        <v>1798</v>
      </c>
      <c r="I282" s="82" t="s">
        <v>291</v>
      </c>
      <c r="J282" s="82" t="s">
        <v>1979</v>
      </c>
      <c r="K282" s="82" t="s">
        <v>117</v>
      </c>
      <c r="L282" s="82" t="s">
        <v>987</v>
      </c>
      <c r="M282" s="82" t="s">
        <v>2397</v>
      </c>
      <c r="N282" s="82" t="s">
        <v>2140</v>
      </c>
      <c r="O282" s="36" t="s">
        <v>108</v>
      </c>
      <c r="P282" s="18"/>
      <c r="Q282" s="28" t="s">
        <v>108</v>
      </c>
      <c r="R282" s="18"/>
      <c r="S282" s="28" t="s">
        <v>108</v>
      </c>
      <c r="T282" s="18"/>
      <c r="U282" s="28" t="s">
        <v>108</v>
      </c>
      <c r="V282" s="18"/>
      <c r="W282" s="28" t="s">
        <v>108</v>
      </c>
      <c r="X282" s="18"/>
      <c r="Y282" s="28" t="s">
        <v>108</v>
      </c>
      <c r="Z282" s="46" t="str">
        <f t="shared" si="24"/>
        <v>C</v>
      </c>
      <c r="AA282" s="73" t="str">
        <f t="shared" si="23"/>
        <v>UTILIZOU O PDA CORRETAMENTE</v>
      </c>
      <c r="AB282" s="18" t="s">
        <v>108</v>
      </c>
      <c r="AC282" s="38" t="s">
        <v>1</v>
      </c>
      <c r="AD282" s="29" t="str">
        <f t="shared" si="22"/>
        <v>GUARULHOS</v>
      </c>
      <c r="AE282" s="21" t="s">
        <v>16</v>
      </c>
    </row>
    <row r="283" spans="1:31" ht="30" customHeight="1" x14ac:dyDescent="0.2">
      <c r="A283" s="82" t="s">
        <v>101</v>
      </c>
      <c r="B283" s="82">
        <v>2690847248</v>
      </c>
      <c r="C283" s="82" t="s">
        <v>60</v>
      </c>
      <c r="D283" s="82" t="s">
        <v>16</v>
      </c>
      <c r="E283" s="82" t="s">
        <v>102</v>
      </c>
      <c r="F283" s="82" t="s">
        <v>890</v>
      </c>
      <c r="G283" s="82">
        <v>123</v>
      </c>
      <c r="H283" s="82" t="s">
        <v>891</v>
      </c>
      <c r="I283" s="82" t="s">
        <v>892</v>
      </c>
      <c r="J283" s="82" t="s">
        <v>1979</v>
      </c>
      <c r="K283" s="82" t="s">
        <v>2404</v>
      </c>
      <c r="L283" s="82" t="s">
        <v>987</v>
      </c>
      <c r="M283" s="82" t="s">
        <v>2405</v>
      </c>
      <c r="N283" s="82" t="s">
        <v>597</v>
      </c>
      <c r="O283" s="36" t="s">
        <v>108</v>
      </c>
      <c r="P283" s="18"/>
      <c r="Q283" s="28" t="s">
        <v>108</v>
      </c>
      <c r="R283" s="18"/>
      <c r="S283" s="28" t="s">
        <v>108</v>
      </c>
      <c r="T283" s="18"/>
      <c r="U283" s="28" t="s">
        <v>108</v>
      </c>
      <c r="V283" s="18"/>
      <c r="W283" s="28" t="s">
        <v>108</v>
      </c>
      <c r="X283" s="18"/>
      <c r="Y283" s="28" t="s">
        <v>108</v>
      </c>
      <c r="Z283" s="46" t="str">
        <f t="shared" si="24"/>
        <v>C</v>
      </c>
      <c r="AA283" s="73" t="str">
        <f t="shared" si="23"/>
        <v>UTILIZOU O PDA CORRETAMENTE</v>
      </c>
      <c r="AB283" s="18" t="s">
        <v>108</v>
      </c>
      <c r="AC283" s="38" t="s">
        <v>1</v>
      </c>
      <c r="AD283" s="29" t="str">
        <f t="shared" si="22"/>
        <v>GUARULHOS</v>
      </c>
      <c r="AE283" s="21" t="s">
        <v>16</v>
      </c>
    </row>
    <row r="284" spans="1:31" ht="30" customHeight="1" x14ac:dyDescent="0.2">
      <c r="A284" s="82" t="s">
        <v>101</v>
      </c>
      <c r="B284" s="82">
        <v>2616333648</v>
      </c>
      <c r="C284" s="82" t="s">
        <v>65</v>
      </c>
      <c r="D284" s="82" t="s">
        <v>58</v>
      </c>
      <c r="E284" s="82" t="s">
        <v>102</v>
      </c>
      <c r="F284" s="82" t="s">
        <v>2407</v>
      </c>
      <c r="G284" s="82">
        <v>340</v>
      </c>
      <c r="H284" s="82" t="s">
        <v>2408</v>
      </c>
      <c r="I284" s="82" t="s">
        <v>216</v>
      </c>
      <c r="J284" s="82" t="s">
        <v>1979</v>
      </c>
      <c r="K284" s="82"/>
      <c r="L284" s="82" t="s">
        <v>987</v>
      </c>
      <c r="M284" s="82" t="s">
        <v>2409</v>
      </c>
      <c r="N284" s="82" t="s">
        <v>185</v>
      </c>
      <c r="O284" s="36" t="s">
        <v>108</v>
      </c>
      <c r="P284" s="18"/>
      <c r="Q284" s="28" t="s">
        <v>108</v>
      </c>
      <c r="R284" s="18"/>
      <c r="S284" s="28" t="s">
        <v>108</v>
      </c>
      <c r="T284" s="18"/>
      <c r="U284" s="28" t="s">
        <v>108</v>
      </c>
      <c r="V284" s="18"/>
      <c r="W284" s="28" t="s">
        <v>108</v>
      </c>
      <c r="X284" s="18"/>
      <c r="Y284" s="28" t="s">
        <v>108</v>
      </c>
      <c r="Z284" s="46" t="str">
        <f t="shared" si="24"/>
        <v>C</v>
      </c>
      <c r="AA284" s="73" t="str">
        <f t="shared" si="23"/>
        <v>UTILIZOU O PDA CORRETAMENTE</v>
      </c>
      <c r="AB284" s="18" t="s">
        <v>108</v>
      </c>
      <c r="AC284" s="38" t="s">
        <v>1</v>
      </c>
      <c r="AD284" s="29" t="str">
        <f t="shared" si="22"/>
        <v>GUARULHOS</v>
      </c>
      <c r="AE284" s="21" t="s">
        <v>16</v>
      </c>
    </row>
    <row r="285" spans="1:31" ht="30" customHeight="1" x14ac:dyDescent="0.2">
      <c r="A285" s="82" t="s">
        <v>101</v>
      </c>
      <c r="B285" s="82">
        <v>2690858150</v>
      </c>
      <c r="C285" s="82" t="s">
        <v>60</v>
      </c>
      <c r="D285" s="82" t="s">
        <v>16</v>
      </c>
      <c r="E285" s="82" t="s">
        <v>102</v>
      </c>
      <c r="F285" s="82" t="s">
        <v>128</v>
      </c>
      <c r="G285" s="82">
        <v>43</v>
      </c>
      <c r="H285" s="82" t="s">
        <v>2410</v>
      </c>
      <c r="I285" s="82" t="s">
        <v>301</v>
      </c>
      <c r="J285" s="82" t="s">
        <v>1979</v>
      </c>
      <c r="K285" s="82" t="s">
        <v>117</v>
      </c>
      <c r="L285" s="82" t="s">
        <v>987</v>
      </c>
      <c r="M285" s="82" t="s">
        <v>2411</v>
      </c>
      <c r="N285" s="82" t="s">
        <v>1986</v>
      </c>
      <c r="O285" s="36" t="s">
        <v>108</v>
      </c>
      <c r="P285" s="18"/>
      <c r="Q285" s="28" t="s">
        <v>108</v>
      </c>
      <c r="R285" s="18"/>
      <c r="S285" s="28" t="s">
        <v>108</v>
      </c>
      <c r="T285" s="18"/>
      <c r="U285" s="28" t="s">
        <v>108</v>
      </c>
      <c r="V285" s="18"/>
      <c r="W285" s="28" t="s">
        <v>108</v>
      </c>
      <c r="X285" s="18"/>
      <c r="Y285" s="28" t="s">
        <v>108</v>
      </c>
      <c r="Z285" s="46" t="str">
        <f t="shared" si="24"/>
        <v>C</v>
      </c>
      <c r="AA285" s="73" t="str">
        <f t="shared" si="23"/>
        <v>UTILIZOU O PDA CORRETAMENTE</v>
      </c>
      <c r="AB285" s="18" t="s">
        <v>108</v>
      </c>
      <c r="AC285" s="38" t="s">
        <v>1</v>
      </c>
      <c r="AD285" s="29" t="str">
        <f t="shared" si="22"/>
        <v>GUARULHOS</v>
      </c>
      <c r="AE285" s="21" t="s">
        <v>16</v>
      </c>
    </row>
    <row r="286" spans="1:31" ht="30" customHeight="1" x14ac:dyDescent="0.2">
      <c r="A286" s="82" t="s">
        <v>101</v>
      </c>
      <c r="B286" s="82">
        <v>2690799752</v>
      </c>
      <c r="C286" s="82" t="s">
        <v>65</v>
      </c>
      <c r="D286" s="82" t="s">
        <v>58</v>
      </c>
      <c r="E286" s="82" t="s">
        <v>102</v>
      </c>
      <c r="F286" s="82" t="s">
        <v>429</v>
      </c>
      <c r="G286" s="82">
        <v>14</v>
      </c>
      <c r="H286" s="82"/>
      <c r="I286" s="82" t="s">
        <v>430</v>
      </c>
      <c r="J286" s="82" t="s">
        <v>1979</v>
      </c>
      <c r="K286" s="82" t="s">
        <v>2067</v>
      </c>
      <c r="L286" s="82" t="s">
        <v>987</v>
      </c>
      <c r="M286" s="82" t="s">
        <v>2412</v>
      </c>
      <c r="N286" s="82" t="s">
        <v>1980</v>
      </c>
      <c r="O286" s="36" t="s">
        <v>108</v>
      </c>
      <c r="P286" s="18"/>
      <c r="Q286" s="28" t="s">
        <v>108</v>
      </c>
      <c r="R286" s="18"/>
      <c r="S286" s="28" t="s">
        <v>108</v>
      </c>
      <c r="T286" s="18"/>
      <c r="U286" s="28" t="s">
        <v>108</v>
      </c>
      <c r="V286" s="18"/>
      <c r="W286" s="28" t="s">
        <v>108</v>
      </c>
      <c r="X286" s="18"/>
      <c r="Y286" s="28" t="s">
        <v>108</v>
      </c>
      <c r="Z286" s="46" t="str">
        <f t="shared" si="24"/>
        <v>C</v>
      </c>
      <c r="AA286" s="73" t="str">
        <f t="shared" si="23"/>
        <v>UTILIZOU O PDA CORRETAMENTE</v>
      </c>
      <c r="AB286" s="18" t="s">
        <v>108</v>
      </c>
      <c r="AC286" s="38" t="s">
        <v>1</v>
      </c>
      <c r="AD286" s="29" t="str">
        <f t="shared" si="22"/>
        <v>GUARULHOS</v>
      </c>
      <c r="AE286" s="21" t="s">
        <v>16</v>
      </c>
    </row>
    <row r="287" spans="1:31" ht="30" customHeight="1" x14ac:dyDescent="0.2">
      <c r="A287" s="82" t="s">
        <v>101</v>
      </c>
      <c r="B287" s="82">
        <v>2616333386</v>
      </c>
      <c r="C287" s="82" t="s">
        <v>67</v>
      </c>
      <c r="D287" s="82" t="s">
        <v>58</v>
      </c>
      <c r="E287" s="82" t="s">
        <v>102</v>
      </c>
      <c r="F287" s="82" t="s">
        <v>2413</v>
      </c>
      <c r="G287" s="82">
        <v>8</v>
      </c>
      <c r="H287" s="82"/>
      <c r="I287" s="82" t="s">
        <v>337</v>
      </c>
      <c r="J287" s="82" t="s">
        <v>1984</v>
      </c>
      <c r="K287" s="82" t="s">
        <v>2414</v>
      </c>
      <c r="L287" s="82" t="s">
        <v>987</v>
      </c>
      <c r="M287" s="82" t="s">
        <v>2415</v>
      </c>
      <c r="N287" s="82" t="s">
        <v>113</v>
      </c>
      <c r="O287" s="36" t="s">
        <v>108</v>
      </c>
      <c r="P287" s="18"/>
      <c r="Q287" s="28" t="s">
        <v>108</v>
      </c>
      <c r="R287" s="18"/>
      <c r="S287" s="28" t="s">
        <v>108</v>
      </c>
      <c r="T287" s="18"/>
      <c r="U287" s="28" t="s">
        <v>108</v>
      </c>
      <c r="V287" s="18"/>
      <c r="W287" s="28" t="s">
        <v>108</v>
      </c>
      <c r="X287" s="18"/>
      <c r="Y287" s="28" t="s">
        <v>108</v>
      </c>
      <c r="Z287" s="46" t="str">
        <f t="shared" si="24"/>
        <v>C</v>
      </c>
      <c r="AA287" s="73" t="str">
        <f t="shared" si="23"/>
        <v>UTILIZOU O PDA CORRETAMENTE</v>
      </c>
      <c r="AB287" s="18" t="s">
        <v>108</v>
      </c>
      <c r="AC287" s="38" t="s">
        <v>1</v>
      </c>
      <c r="AD287" s="29" t="str">
        <f t="shared" ref="AD287:AD305" si="25">E287</f>
        <v>GUARULHOS</v>
      </c>
      <c r="AE287" s="21" t="s">
        <v>16</v>
      </c>
    </row>
    <row r="288" spans="1:31" ht="30" customHeight="1" x14ac:dyDescent="0.2">
      <c r="A288" s="82" t="s">
        <v>101</v>
      </c>
      <c r="B288" s="82">
        <v>2690847767</v>
      </c>
      <c r="C288" s="82" t="s">
        <v>65</v>
      </c>
      <c r="D288" s="82" t="s">
        <v>58</v>
      </c>
      <c r="E288" s="82" t="s">
        <v>102</v>
      </c>
      <c r="F288" s="82" t="s">
        <v>1267</v>
      </c>
      <c r="G288" s="82">
        <v>238</v>
      </c>
      <c r="H288" s="82" t="s">
        <v>174</v>
      </c>
      <c r="I288" s="82" t="s">
        <v>1063</v>
      </c>
      <c r="J288" s="82" t="s">
        <v>1979</v>
      </c>
      <c r="K288" s="82" t="s">
        <v>2416</v>
      </c>
      <c r="L288" s="82" t="s">
        <v>987</v>
      </c>
      <c r="M288" s="82" t="s">
        <v>1005</v>
      </c>
      <c r="N288" s="82" t="s">
        <v>1993</v>
      </c>
      <c r="O288" s="36" t="s">
        <v>108</v>
      </c>
      <c r="P288" s="18"/>
      <c r="Q288" s="28" t="s">
        <v>108</v>
      </c>
      <c r="R288" s="18"/>
      <c r="S288" s="28" t="s">
        <v>108</v>
      </c>
      <c r="T288" s="18"/>
      <c r="U288" s="28" t="s">
        <v>108</v>
      </c>
      <c r="V288" s="18"/>
      <c r="W288" s="28" t="s">
        <v>108</v>
      </c>
      <c r="X288" s="18"/>
      <c r="Y288" s="28" t="s">
        <v>108</v>
      </c>
      <c r="Z288" s="46" t="str">
        <f t="shared" si="24"/>
        <v>C</v>
      </c>
      <c r="AA288" s="73" t="str">
        <f t="shared" si="23"/>
        <v>UTILIZOU O PDA CORRETAMENTE</v>
      </c>
      <c r="AB288" s="18" t="s">
        <v>108</v>
      </c>
      <c r="AC288" s="38" t="s">
        <v>1</v>
      </c>
      <c r="AD288" s="29" t="str">
        <f t="shared" si="25"/>
        <v>GUARULHOS</v>
      </c>
      <c r="AE288" s="21" t="s">
        <v>16</v>
      </c>
    </row>
    <row r="289" spans="1:31" ht="30" customHeight="1" x14ac:dyDescent="0.2">
      <c r="A289" s="82" t="s">
        <v>101</v>
      </c>
      <c r="B289" s="82">
        <v>2690884534</v>
      </c>
      <c r="C289" s="82" t="s">
        <v>60</v>
      </c>
      <c r="D289" s="82" t="s">
        <v>16</v>
      </c>
      <c r="E289" s="82" t="s">
        <v>102</v>
      </c>
      <c r="F289" s="82" t="s">
        <v>2417</v>
      </c>
      <c r="G289" s="82">
        <v>195</v>
      </c>
      <c r="H289" s="82" t="s">
        <v>1829</v>
      </c>
      <c r="I289" s="82" t="s">
        <v>220</v>
      </c>
      <c r="J289" s="82" t="s">
        <v>1977</v>
      </c>
      <c r="K289" s="82" t="s">
        <v>117</v>
      </c>
      <c r="L289" s="82" t="s">
        <v>1038</v>
      </c>
      <c r="M289" s="82" t="s">
        <v>2418</v>
      </c>
      <c r="N289" s="82" t="s">
        <v>2045</v>
      </c>
      <c r="O289" s="36" t="s">
        <v>108</v>
      </c>
      <c r="P289" s="18"/>
      <c r="Q289" s="28" t="s">
        <v>108</v>
      </c>
      <c r="R289" s="18"/>
      <c r="S289" s="28" t="s">
        <v>108</v>
      </c>
      <c r="T289" s="18"/>
      <c r="U289" s="28" t="s">
        <v>108</v>
      </c>
      <c r="V289" s="18"/>
      <c r="W289" s="28" t="s">
        <v>108</v>
      </c>
      <c r="X289" s="18"/>
      <c r="Y289" s="28" t="s">
        <v>108</v>
      </c>
      <c r="Z289" s="46" t="str">
        <f t="shared" si="24"/>
        <v>C</v>
      </c>
      <c r="AA289" s="73" t="str">
        <f t="shared" si="23"/>
        <v>UTILIZOU O PDA CORRETAMENTE</v>
      </c>
      <c r="AB289" s="18" t="s">
        <v>108</v>
      </c>
      <c r="AC289" s="38" t="s">
        <v>1</v>
      </c>
      <c r="AD289" s="29" t="str">
        <f t="shared" si="25"/>
        <v>GUARULHOS</v>
      </c>
      <c r="AE289" s="21" t="s">
        <v>16</v>
      </c>
    </row>
    <row r="290" spans="1:31" ht="30" customHeight="1" x14ac:dyDescent="0.2">
      <c r="A290" s="82" t="s">
        <v>101</v>
      </c>
      <c r="B290" s="82">
        <v>2690881123</v>
      </c>
      <c r="C290" s="82" t="s">
        <v>60</v>
      </c>
      <c r="D290" s="82" t="s">
        <v>16</v>
      </c>
      <c r="E290" s="82" t="s">
        <v>102</v>
      </c>
      <c r="F290" s="82" t="s">
        <v>2419</v>
      </c>
      <c r="G290" s="82">
        <v>315</v>
      </c>
      <c r="H290" s="82" t="s">
        <v>2420</v>
      </c>
      <c r="I290" s="82" t="s">
        <v>277</v>
      </c>
      <c r="J290" s="82" t="s">
        <v>1979</v>
      </c>
      <c r="K290" s="82" t="s">
        <v>117</v>
      </c>
      <c r="L290" s="82" t="s">
        <v>1038</v>
      </c>
      <c r="M290" s="82" t="s">
        <v>2421</v>
      </c>
      <c r="N290" s="82" t="s">
        <v>597</v>
      </c>
      <c r="O290" s="36" t="s">
        <v>108</v>
      </c>
      <c r="P290" s="18"/>
      <c r="Q290" s="28" t="s">
        <v>108</v>
      </c>
      <c r="R290" s="18"/>
      <c r="S290" s="28" t="s">
        <v>108</v>
      </c>
      <c r="T290" s="18"/>
      <c r="U290" s="28" t="s">
        <v>108</v>
      </c>
      <c r="V290" s="18"/>
      <c r="W290" s="28" t="s">
        <v>108</v>
      </c>
      <c r="X290" s="18"/>
      <c r="Y290" s="28" t="s">
        <v>108</v>
      </c>
      <c r="Z290" s="46" t="str">
        <f t="shared" si="24"/>
        <v>C</v>
      </c>
      <c r="AA290" s="73" t="str">
        <f t="shared" si="23"/>
        <v>UTILIZOU O PDA CORRETAMENTE</v>
      </c>
      <c r="AB290" s="18" t="s">
        <v>108</v>
      </c>
      <c r="AC290" s="38" t="s">
        <v>1</v>
      </c>
      <c r="AD290" s="29" t="str">
        <f t="shared" si="25"/>
        <v>GUARULHOS</v>
      </c>
      <c r="AE290" s="21" t="s">
        <v>16</v>
      </c>
    </row>
    <row r="291" spans="1:31" ht="30" customHeight="1" x14ac:dyDescent="0.2">
      <c r="A291" s="82" t="s">
        <v>101</v>
      </c>
      <c r="B291" s="82">
        <v>2616383338</v>
      </c>
      <c r="C291" s="82" t="s">
        <v>61</v>
      </c>
      <c r="D291" s="82" t="s">
        <v>58</v>
      </c>
      <c r="E291" s="82" t="s">
        <v>102</v>
      </c>
      <c r="F291" s="82" t="s">
        <v>1643</v>
      </c>
      <c r="G291" s="82">
        <v>231</v>
      </c>
      <c r="H291" s="82" t="s">
        <v>115</v>
      </c>
      <c r="I291" s="82" t="s">
        <v>1644</v>
      </c>
      <c r="J291" s="82" t="s">
        <v>2089</v>
      </c>
      <c r="K291" s="82"/>
      <c r="L291" s="82" t="s">
        <v>1038</v>
      </c>
      <c r="M291" s="82" t="s">
        <v>1052</v>
      </c>
      <c r="N291" s="82" t="s">
        <v>767</v>
      </c>
      <c r="O291" s="36" t="s">
        <v>108</v>
      </c>
      <c r="P291" s="18"/>
      <c r="Q291" s="28" t="s">
        <v>108</v>
      </c>
      <c r="R291" s="18"/>
      <c r="S291" s="28" t="s">
        <v>108</v>
      </c>
      <c r="T291" s="18"/>
      <c r="U291" s="28" t="s">
        <v>108</v>
      </c>
      <c r="V291" s="18"/>
      <c r="W291" s="28" t="s">
        <v>108</v>
      </c>
      <c r="X291" s="18"/>
      <c r="Y291" s="28" t="s">
        <v>108</v>
      </c>
      <c r="Z291" s="46" t="str">
        <f t="shared" si="24"/>
        <v>C</v>
      </c>
      <c r="AA291" s="73" t="str">
        <f t="shared" si="23"/>
        <v>UTILIZOU O PDA CORRETAMENTE</v>
      </c>
      <c r="AB291" s="18" t="s">
        <v>108</v>
      </c>
      <c r="AC291" s="38" t="s">
        <v>1</v>
      </c>
      <c r="AD291" s="29" t="str">
        <f t="shared" si="25"/>
        <v>GUARULHOS</v>
      </c>
      <c r="AE291" s="21" t="s">
        <v>16</v>
      </c>
    </row>
    <row r="292" spans="1:31" ht="30" customHeight="1" x14ac:dyDescent="0.2">
      <c r="A292" s="82" t="s">
        <v>101</v>
      </c>
      <c r="B292" s="82">
        <v>2690953016</v>
      </c>
      <c r="C292" s="82" t="s">
        <v>60</v>
      </c>
      <c r="D292" s="82" t="s">
        <v>16</v>
      </c>
      <c r="E292" s="82" t="s">
        <v>102</v>
      </c>
      <c r="F292" s="82" t="s">
        <v>2422</v>
      </c>
      <c r="G292" s="82">
        <v>53</v>
      </c>
      <c r="H292" s="82" t="s">
        <v>2423</v>
      </c>
      <c r="I292" s="82" t="s">
        <v>267</v>
      </c>
      <c r="J292" s="82" t="s">
        <v>1975</v>
      </c>
      <c r="K292" s="82" t="s">
        <v>2424</v>
      </c>
      <c r="L292" s="82" t="s">
        <v>1038</v>
      </c>
      <c r="M292" s="82" t="s">
        <v>2425</v>
      </c>
      <c r="N292" s="82" t="s">
        <v>767</v>
      </c>
      <c r="O292" s="85" t="s">
        <v>14</v>
      </c>
      <c r="P292" s="42"/>
      <c r="Q292" s="26" t="s">
        <v>14</v>
      </c>
      <c r="R292" s="10"/>
      <c r="S292" s="26" t="s">
        <v>14</v>
      </c>
      <c r="T292" s="10"/>
      <c r="U292" s="26" t="s">
        <v>14</v>
      </c>
      <c r="V292" s="10"/>
      <c r="W292" s="26" t="s">
        <v>14</v>
      </c>
      <c r="X292" s="10"/>
      <c r="Y292" s="26" t="s">
        <v>14</v>
      </c>
      <c r="Z292" s="46" t="str">
        <f t="shared" si="24"/>
        <v>NA</v>
      </c>
      <c r="AA292" s="73" t="str">
        <f t="shared" si="23"/>
        <v>NÃO AVALIADO POR FALHA DE SINCRONISMO</v>
      </c>
      <c r="AB292" s="18" t="s">
        <v>108</v>
      </c>
      <c r="AC292" s="38" t="s">
        <v>1</v>
      </c>
      <c r="AD292" s="29" t="str">
        <f t="shared" si="25"/>
        <v>GUARULHOS</v>
      </c>
      <c r="AE292" s="21" t="s">
        <v>16</v>
      </c>
    </row>
    <row r="293" spans="1:31" ht="30" customHeight="1" x14ac:dyDescent="0.2">
      <c r="A293" s="82" t="s">
        <v>101</v>
      </c>
      <c r="B293" s="82">
        <v>2690895410</v>
      </c>
      <c r="C293" s="82" t="s">
        <v>65</v>
      </c>
      <c r="D293" s="82" t="s">
        <v>58</v>
      </c>
      <c r="E293" s="82" t="s">
        <v>102</v>
      </c>
      <c r="F293" s="82" t="s">
        <v>931</v>
      </c>
      <c r="G293" s="82">
        <v>317</v>
      </c>
      <c r="H293" s="82" t="s">
        <v>174</v>
      </c>
      <c r="I293" s="82" t="s">
        <v>308</v>
      </c>
      <c r="J293" s="82" t="s">
        <v>1979</v>
      </c>
      <c r="K293" s="82" t="s">
        <v>2007</v>
      </c>
      <c r="L293" s="82" t="s">
        <v>1038</v>
      </c>
      <c r="M293" s="82" t="s">
        <v>2426</v>
      </c>
      <c r="N293" s="82" t="s">
        <v>597</v>
      </c>
      <c r="O293" s="36" t="s">
        <v>108</v>
      </c>
      <c r="P293" s="18"/>
      <c r="Q293" s="28" t="s">
        <v>108</v>
      </c>
      <c r="R293" s="18"/>
      <c r="S293" s="28" t="s">
        <v>108</v>
      </c>
      <c r="T293" s="18"/>
      <c r="U293" s="28" t="s">
        <v>108</v>
      </c>
      <c r="V293" s="18"/>
      <c r="W293" s="28" t="s">
        <v>108</v>
      </c>
      <c r="X293" s="18"/>
      <c r="Y293" s="28" t="s">
        <v>108</v>
      </c>
      <c r="Z293" s="46" t="str">
        <f t="shared" si="24"/>
        <v>C</v>
      </c>
      <c r="AA293" s="73" t="str">
        <f t="shared" si="23"/>
        <v>UTILIZOU O PDA CORRETAMENTE</v>
      </c>
      <c r="AB293" s="18" t="s">
        <v>108</v>
      </c>
      <c r="AC293" s="38" t="s">
        <v>1</v>
      </c>
      <c r="AD293" s="29" t="str">
        <f t="shared" si="25"/>
        <v>GUARULHOS</v>
      </c>
      <c r="AE293" s="21" t="s">
        <v>16</v>
      </c>
    </row>
    <row r="294" spans="1:31" ht="30" customHeight="1" x14ac:dyDescent="0.2">
      <c r="A294" s="82" t="s">
        <v>101</v>
      </c>
      <c r="B294" s="82">
        <v>2616540543</v>
      </c>
      <c r="C294" s="82" t="s">
        <v>61</v>
      </c>
      <c r="D294" s="82" t="s">
        <v>58</v>
      </c>
      <c r="E294" s="82" t="s">
        <v>102</v>
      </c>
      <c r="F294" s="82" t="s">
        <v>2427</v>
      </c>
      <c r="G294" s="82">
        <v>131</v>
      </c>
      <c r="H294" s="82" t="s">
        <v>1628</v>
      </c>
      <c r="I294" s="82" t="s">
        <v>367</v>
      </c>
      <c r="J294" s="82" t="s">
        <v>2089</v>
      </c>
      <c r="K294" s="82" t="s">
        <v>2428</v>
      </c>
      <c r="L294" s="82" t="s">
        <v>1059</v>
      </c>
      <c r="M294" s="82" t="s">
        <v>2429</v>
      </c>
      <c r="N294" s="82" t="s">
        <v>2000</v>
      </c>
      <c r="O294" s="36" t="s">
        <v>108</v>
      </c>
      <c r="P294" s="18"/>
      <c r="Q294" s="28" t="s">
        <v>108</v>
      </c>
      <c r="R294" s="18"/>
      <c r="S294" s="28" t="s">
        <v>108</v>
      </c>
      <c r="T294" s="18"/>
      <c r="U294" s="28" t="s">
        <v>108</v>
      </c>
      <c r="V294" s="18"/>
      <c r="W294" s="28" t="s">
        <v>108</v>
      </c>
      <c r="X294" s="18"/>
      <c r="Y294" s="28" t="s">
        <v>108</v>
      </c>
      <c r="Z294" s="46" t="str">
        <f t="shared" si="24"/>
        <v>C</v>
      </c>
      <c r="AA294" s="73" t="str">
        <f t="shared" si="23"/>
        <v>UTILIZOU O PDA CORRETAMENTE</v>
      </c>
      <c r="AB294" s="18" t="s">
        <v>108</v>
      </c>
      <c r="AC294" s="38" t="s">
        <v>1</v>
      </c>
      <c r="AD294" s="29" t="str">
        <f t="shared" si="25"/>
        <v>GUARULHOS</v>
      </c>
      <c r="AE294" s="21" t="s">
        <v>16</v>
      </c>
    </row>
    <row r="295" spans="1:31" ht="30" customHeight="1" x14ac:dyDescent="0.2">
      <c r="A295" s="82" t="s">
        <v>101</v>
      </c>
      <c r="B295" s="82">
        <v>2616359385</v>
      </c>
      <c r="C295" s="82" t="s">
        <v>67</v>
      </c>
      <c r="D295" s="82" t="s">
        <v>58</v>
      </c>
      <c r="E295" s="82" t="s">
        <v>102</v>
      </c>
      <c r="F295" s="82" t="s">
        <v>109</v>
      </c>
      <c r="G295" s="82">
        <v>389</v>
      </c>
      <c r="H295" s="82" t="s">
        <v>117</v>
      </c>
      <c r="I295" s="82" t="s">
        <v>111</v>
      </c>
      <c r="J295" s="82" t="s">
        <v>1984</v>
      </c>
      <c r="K295" s="82" t="s">
        <v>117</v>
      </c>
      <c r="L295" s="82" t="s">
        <v>1059</v>
      </c>
      <c r="M295" s="82" t="s">
        <v>2430</v>
      </c>
      <c r="N295" s="82" t="s">
        <v>113</v>
      </c>
      <c r="O295" s="36" t="s">
        <v>108</v>
      </c>
      <c r="P295" s="18"/>
      <c r="Q295" s="28" t="s">
        <v>108</v>
      </c>
      <c r="R295" s="18"/>
      <c r="S295" s="28" t="s">
        <v>108</v>
      </c>
      <c r="T295" s="18"/>
      <c r="U295" s="28" t="s">
        <v>108</v>
      </c>
      <c r="V295" s="18"/>
      <c r="W295" s="28" t="s">
        <v>108</v>
      </c>
      <c r="X295" s="18"/>
      <c r="Y295" s="28" t="s">
        <v>108</v>
      </c>
      <c r="Z295" s="46" t="str">
        <f t="shared" si="24"/>
        <v>C</v>
      </c>
      <c r="AA295" s="73" t="str">
        <f t="shared" si="23"/>
        <v>UTILIZOU O PDA CORRETAMENTE</v>
      </c>
      <c r="AB295" s="18" t="s">
        <v>108</v>
      </c>
      <c r="AC295" s="38" t="s">
        <v>1</v>
      </c>
      <c r="AD295" s="29" t="str">
        <f t="shared" si="25"/>
        <v>GUARULHOS</v>
      </c>
      <c r="AE295" s="21" t="s">
        <v>16</v>
      </c>
    </row>
    <row r="296" spans="1:31" ht="30" customHeight="1" x14ac:dyDescent="0.2">
      <c r="A296" s="82" t="s">
        <v>101</v>
      </c>
      <c r="B296" s="82">
        <v>2690980796</v>
      </c>
      <c r="C296" s="82" t="s">
        <v>65</v>
      </c>
      <c r="D296" s="82" t="s">
        <v>58</v>
      </c>
      <c r="E296" s="82" t="s">
        <v>102</v>
      </c>
      <c r="F296" s="82" t="s">
        <v>2307</v>
      </c>
      <c r="G296" s="82">
        <v>125</v>
      </c>
      <c r="H296" s="82" t="s">
        <v>260</v>
      </c>
      <c r="I296" s="82" t="s">
        <v>483</v>
      </c>
      <c r="J296" s="82" t="s">
        <v>1979</v>
      </c>
      <c r="K296" s="82" t="s">
        <v>2048</v>
      </c>
      <c r="L296" s="82" t="s">
        <v>1059</v>
      </c>
      <c r="M296" s="82" t="s">
        <v>2431</v>
      </c>
      <c r="N296" s="82" t="s">
        <v>1993</v>
      </c>
      <c r="O296" s="36" t="s">
        <v>108</v>
      </c>
      <c r="P296" s="18"/>
      <c r="Q296" s="28" t="s">
        <v>108</v>
      </c>
      <c r="R296" s="18"/>
      <c r="S296" s="28" t="s">
        <v>108</v>
      </c>
      <c r="T296" s="18"/>
      <c r="U296" s="28" t="s">
        <v>108</v>
      </c>
      <c r="V296" s="18"/>
      <c r="W296" s="28" t="s">
        <v>108</v>
      </c>
      <c r="X296" s="18"/>
      <c r="Y296" s="28" t="s">
        <v>108</v>
      </c>
      <c r="Z296" s="46" t="str">
        <f t="shared" ref="Z296:Z312" si="26">IF(AND(O296="",Q296="",S296="",U296="",W296=""),"",IF(OR(AND(O296&lt;&gt;"NA",O296&lt;&gt;"C",O296&lt;&gt;"NC",O296&lt;&gt;"SF",O296&lt;&gt;""),AND(Q296&lt;&gt;"NA",Q296&lt;&gt;"C",Q296&lt;&gt;"NC",Q296&lt;&gt;"SF",Q296&lt;&gt;""),AND(S296&lt;&gt;"NA",S296&lt;&gt;"C",S296&lt;&gt;"NC",S296&lt;&gt;"SF",S296&lt;&gt;""),AND(U296&lt;&gt;"NA",U296&lt;&gt;"C",U296&lt;&gt;"NC",U296&lt;&gt;"SF",U296&lt;&gt;""),AND(W296&lt;&gt;"NA",W296&lt;&gt;"C",W296&lt;&gt;"NC",W296&lt;&gt;"SF",W296&lt;&gt;"")),"FALSO",IF(AND(O296="NA",Q296="NA",S296="NA",U296="NA",W296="NA"),"NA",IF(OR(O296="NC",Q296="NC",S296="NC",U296="NC",W296="NC",O296="SF",Q296="SF",S296="SF",U296="SF",W296="SF"),"NC",IF(OR(O296="C",Q296="C",S296="C",U296="C",W296="C"),"C","")))))</f>
        <v>C</v>
      </c>
      <c r="AA296" s="73" t="str">
        <f t="shared" ref="AA296:AA311" si="27">IF(AND(Y296="C",Z296="C"),"UTILIZOU O PDA CORRETAMENTE",IF(AND(Y296="C",Z296="NC"),"UTILIZOU O PDA CORRETAMENTE. NÃO HÁ FOTOS DE TODAS AS ETAPAS",IF(AND(Y296="NC",Z296="NC"),"NÃO UTILIZOU O PDA",IF(AND(Y296="NA",Z296="NA"),"NÃO AVALIADO POR FALHA DE SINCRONISMO"))))</f>
        <v>UTILIZOU O PDA CORRETAMENTE</v>
      </c>
      <c r="AB296" s="18" t="s">
        <v>108</v>
      </c>
      <c r="AC296" s="38" t="s">
        <v>1</v>
      </c>
      <c r="AD296" s="29" t="str">
        <f t="shared" si="25"/>
        <v>GUARULHOS</v>
      </c>
      <c r="AE296" s="21" t="s">
        <v>16</v>
      </c>
    </row>
    <row r="297" spans="1:31" ht="30" customHeight="1" x14ac:dyDescent="0.2">
      <c r="A297" s="82" t="s">
        <v>101</v>
      </c>
      <c r="B297" s="82">
        <v>2691012304</v>
      </c>
      <c r="C297" s="82" t="s">
        <v>60</v>
      </c>
      <c r="D297" s="82" t="s">
        <v>16</v>
      </c>
      <c r="E297" s="82" t="s">
        <v>102</v>
      </c>
      <c r="F297" s="82" t="s">
        <v>1878</v>
      </c>
      <c r="G297" s="82">
        <v>48</v>
      </c>
      <c r="H297" s="82" t="s">
        <v>260</v>
      </c>
      <c r="I297" s="82" t="s">
        <v>237</v>
      </c>
      <c r="J297" s="82" t="s">
        <v>1979</v>
      </c>
      <c r="K297" s="82"/>
      <c r="L297" s="82" t="s">
        <v>1089</v>
      </c>
      <c r="M297" s="82" t="s">
        <v>2432</v>
      </c>
      <c r="N297" s="82" t="s">
        <v>1986</v>
      </c>
      <c r="O297" s="36" t="s">
        <v>108</v>
      </c>
      <c r="P297" s="18"/>
      <c r="Q297" s="28" t="s">
        <v>108</v>
      </c>
      <c r="R297" s="18"/>
      <c r="S297" s="28" t="s">
        <v>108</v>
      </c>
      <c r="T297" s="18"/>
      <c r="U297" s="28" t="s">
        <v>108</v>
      </c>
      <c r="V297" s="18"/>
      <c r="W297" s="28" t="s">
        <v>108</v>
      </c>
      <c r="X297" s="18"/>
      <c r="Y297" s="28" t="s">
        <v>108</v>
      </c>
      <c r="Z297" s="46" t="str">
        <f t="shared" si="26"/>
        <v>C</v>
      </c>
      <c r="AA297" s="73" t="str">
        <f t="shared" si="27"/>
        <v>UTILIZOU O PDA CORRETAMENTE</v>
      </c>
      <c r="AB297" s="18" t="s">
        <v>108</v>
      </c>
      <c r="AC297" s="38" t="s">
        <v>1</v>
      </c>
      <c r="AD297" s="29" t="str">
        <f t="shared" si="25"/>
        <v>GUARULHOS</v>
      </c>
      <c r="AE297" s="21" t="s">
        <v>16</v>
      </c>
    </row>
    <row r="298" spans="1:31" ht="30" customHeight="1" x14ac:dyDescent="0.2">
      <c r="A298" s="82" t="s">
        <v>101</v>
      </c>
      <c r="B298" s="82">
        <v>2616571540</v>
      </c>
      <c r="C298" s="82" t="s">
        <v>60</v>
      </c>
      <c r="D298" s="82" t="s">
        <v>16</v>
      </c>
      <c r="E298" s="82" t="s">
        <v>102</v>
      </c>
      <c r="F298" s="82" t="s">
        <v>2433</v>
      </c>
      <c r="G298" s="82">
        <v>79</v>
      </c>
      <c r="H298" s="82"/>
      <c r="I298" s="82" t="s">
        <v>340</v>
      </c>
      <c r="J298" s="82" t="s">
        <v>1979</v>
      </c>
      <c r="K298" s="82"/>
      <c r="L298" s="82" t="s">
        <v>1089</v>
      </c>
      <c r="M298" s="82" t="s">
        <v>2434</v>
      </c>
      <c r="N298" s="82" t="s">
        <v>1986</v>
      </c>
      <c r="O298" s="36" t="s">
        <v>108</v>
      </c>
      <c r="P298" s="18"/>
      <c r="Q298" s="28" t="s">
        <v>108</v>
      </c>
      <c r="R298" s="18"/>
      <c r="S298" s="28" t="s">
        <v>108</v>
      </c>
      <c r="T298" s="18"/>
      <c r="U298" s="28" t="s">
        <v>108</v>
      </c>
      <c r="V298" s="18"/>
      <c r="W298" s="28" t="s">
        <v>108</v>
      </c>
      <c r="X298" s="18"/>
      <c r="Y298" s="28" t="s">
        <v>108</v>
      </c>
      <c r="Z298" s="46" t="str">
        <f t="shared" si="26"/>
        <v>C</v>
      </c>
      <c r="AA298" s="73" t="str">
        <f t="shared" si="27"/>
        <v>UTILIZOU O PDA CORRETAMENTE</v>
      </c>
      <c r="AB298" s="18" t="s">
        <v>108</v>
      </c>
      <c r="AC298" s="38" t="s">
        <v>1</v>
      </c>
      <c r="AD298" s="29" t="str">
        <f t="shared" si="25"/>
        <v>GUARULHOS</v>
      </c>
      <c r="AE298" s="21" t="s">
        <v>16</v>
      </c>
    </row>
    <row r="299" spans="1:31" ht="30" customHeight="1" x14ac:dyDescent="0.2">
      <c r="A299" s="82" t="s">
        <v>101</v>
      </c>
      <c r="B299" s="82">
        <v>2616235729</v>
      </c>
      <c r="C299" s="82" t="s">
        <v>67</v>
      </c>
      <c r="D299" s="82" t="s">
        <v>58</v>
      </c>
      <c r="E299" s="82" t="s">
        <v>102</v>
      </c>
      <c r="F299" s="82" t="s">
        <v>2435</v>
      </c>
      <c r="G299" s="82">
        <v>37</v>
      </c>
      <c r="H299" s="82" t="s">
        <v>2116</v>
      </c>
      <c r="I299" s="82" t="s">
        <v>576</v>
      </c>
      <c r="J299" s="82" t="s">
        <v>1984</v>
      </c>
      <c r="K299" s="82" t="s">
        <v>2436</v>
      </c>
      <c r="L299" s="82" t="s">
        <v>1089</v>
      </c>
      <c r="M299" s="82" t="s">
        <v>2437</v>
      </c>
      <c r="N299" s="82" t="s">
        <v>119</v>
      </c>
      <c r="O299" s="36" t="s">
        <v>108</v>
      </c>
      <c r="P299" s="18"/>
      <c r="Q299" s="28" t="s">
        <v>108</v>
      </c>
      <c r="R299" s="18"/>
      <c r="S299" s="28" t="s">
        <v>108</v>
      </c>
      <c r="T299" s="18"/>
      <c r="U299" s="28" t="s">
        <v>108</v>
      </c>
      <c r="V299" s="18"/>
      <c r="W299" s="28" t="s">
        <v>108</v>
      </c>
      <c r="X299" s="18"/>
      <c r="Y299" s="28" t="s">
        <v>108</v>
      </c>
      <c r="Z299" s="46" t="str">
        <f t="shared" si="26"/>
        <v>C</v>
      </c>
      <c r="AA299" s="73" t="str">
        <f t="shared" si="27"/>
        <v>UTILIZOU O PDA CORRETAMENTE</v>
      </c>
      <c r="AB299" s="18" t="s">
        <v>108</v>
      </c>
      <c r="AC299" s="38" t="s">
        <v>1</v>
      </c>
      <c r="AD299" s="29" t="str">
        <f t="shared" si="25"/>
        <v>GUARULHOS</v>
      </c>
      <c r="AE299" s="21" t="s">
        <v>16</v>
      </c>
    </row>
    <row r="300" spans="1:31" ht="30" customHeight="1" x14ac:dyDescent="0.2">
      <c r="A300" s="82" t="s">
        <v>101</v>
      </c>
      <c r="B300" s="82">
        <v>2691015468</v>
      </c>
      <c r="C300" s="82" t="s">
        <v>65</v>
      </c>
      <c r="D300" s="82" t="s">
        <v>58</v>
      </c>
      <c r="E300" s="82" t="s">
        <v>102</v>
      </c>
      <c r="F300" s="82" t="s">
        <v>758</v>
      </c>
      <c r="G300" s="82">
        <v>67</v>
      </c>
      <c r="H300" s="82" t="s">
        <v>222</v>
      </c>
      <c r="I300" s="82" t="s">
        <v>154</v>
      </c>
      <c r="J300" s="82" t="s">
        <v>1979</v>
      </c>
      <c r="K300" s="82" t="s">
        <v>2067</v>
      </c>
      <c r="L300" s="82" t="s">
        <v>1089</v>
      </c>
      <c r="M300" s="82" t="s">
        <v>2438</v>
      </c>
      <c r="N300" s="82" t="s">
        <v>1980</v>
      </c>
      <c r="O300" s="36" t="s">
        <v>108</v>
      </c>
      <c r="P300" s="18"/>
      <c r="Q300" s="28" t="s">
        <v>108</v>
      </c>
      <c r="R300" s="18"/>
      <c r="S300" s="28" t="s">
        <v>108</v>
      </c>
      <c r="T300" s="18"/>
      <c r="U300" s="28" t="s">
        <v>108</v>
      </c>
      <c r="V300" s="18"/>
      <c r="W300" s="28" t="s">
        <v>108</v>
      </c>
      <c r="X300" s="18"/>
      <c r="Y300" s="28" t="s">
        <v>108</v>
      </c>
      <c r="Z300" s="46" t="str">
        <f t="shared" si="26"/>
        <v>C</v>
      </c>
      <c r="AA300" s="73" t="str">
        <f t="shared" si="27"/>
        <v>UTILIZOU O PDA CORRETAMENTE</v>
      </c>
      <c r="AB300" s="18" t="s">
        <v>108</v>
      </c>
      <c r="AC300" s="38" t="s">
        <v>1</v>
      </c>
      <c r="AD300" s="29" t="str">
        <f t="shared" si="25"/>
        <v>GUARULHOS</v>
      </c>
      <c r="AE300" s="21" t="s">
        <v>16</v>
      </c>
    </row>
    <row r="301" spans="1:31" ht="30" customHeight="1" x14ac:dyDescent="0.2">
      <c r="A301" s="82" t="s">
        <v>101</v>
      </c>
      <c r="B301" s="82">
        <v>2691030232</v>
      </c>
      <c r="C301" s="82" t="s">
        <v>65</v>
      </c>
      <c r="D301" s="82" t="s">
        <v>58</v>
      </c>
      <c r="E301" s="82" t="s">
        <v>102</v>
      </c>
      <c r="F301" s="82" t="s">
        <v>141</v>
      </c>
      <c r="G301" s="82">
        <v>3293</v>
      </c>
      <c r="H301" s="82" t="s">
        <v>322</v>
      </c>
      <c r="I301" s="82" t="s">
        <v>247</v>
      </c>
      <c r="J301" s="82" t="s">
        <v>1979</v>
      </c>
      <c r="K301" s="82"/>
      <c r="L301" s="82" t="s">
        <v>1089</v>
      </c>
      <c r="M301" s="82" t="s">
        <v>1090</v>
      </c>
      <c r="N301" s="82" t="s">
        <v>185</v>
      </c>
      <c r="O301" s="36" t="s">
        <v>108</v>
      </c>
      <c r="P301" s="18"/>
      <c r="Q301" s="28" t="s">
        <v>108</v>
      </c>
      <c r="R301" s="18"/>
      <c r="S301" s="28" t="s">
        <v>108</v>
      </c>
      <c r="T301" s="18"/>
      <c r="U301" s="28" t="s">
        <v>108</v>
      </c>
      <c r="V301" s="18"/>
      <c r="W301" s="28" t="s">
        <v>108</v>
      </c>
      <c r="X301" s="18"/>
      <c r="Y301" s="28" t="s">
        <v>108</v>
      </c>
      <c r="Z301" s="46" t="str">
        <f t="shared" si="26"/>
        <v>C</v>
      </c>
      <c r="AA301" s="73" t="str">
        <f t="shared" si="27"/>
        <v>UTILIZOU O PDA CORRETAMENTE</v>
      </c>
      <c r="AB301" s="18" t="s">
        <v>108</v>
      </c>
      <c r="AC301" s="38" t="s">
        <v>1</v>
      </c>
      <c r="AD301" s="29" t="str">
        <f t="shared" si="25"/>
        <v>GUARULHOS</v>
      </c>
      <c r="AE301" s="21" t="s">
        <v>16</v>
      </c>
    </row>
    <row r="302" spans="1:31" ht="30" customHeight="1" x14ac:dyDescent="0.2">
      <c r="A302" s="82" t="s">
        <v>101</v>
      </c>
      <c r="B302" s="82">
        <v>2616615624</v>
      </c>
      <c r="C302" s="82" t="s">
        <v>65</v>
      </c>
      <c r="D302" s="82" t="s">
        <v>58</v>
      </c>
      <c r="E302" s="82" t="s">
        <v>102</v>
      </c>
      <c r="F302" s="82" t="s">
        <v>1479</v>
      </c>
      <c r="G302" s="82">
        <v>431</v>
      </c>
      <c r="H302" s="82" t="s">
        <v>117</v>
      </c>
      <c r="I302" s="82" t="s">
        <v>581</v>
      </c>
      <c r="J302" s="82" t="s">
        <v>1979</v>
      </c>
      <c r="K302" s="82" t="s">
        <v>2439</v>
      </c>
      <c r="L302" s="82" t="s">
        <v>1089</v>
      </c>
      <c r="M302" s="82" t="s">
        <v>2440</v>
      </c>
      <c r="N302" s="82" t="s">
        <v>1993</v>
      </c>
      <c r="O302" s="36" t="s">
        <v>108</v>
      </c>
      <c r="P302" s="18"/>
      <c r="Q302" s="28" t="s">
        <v>108</v>
      </c>
      <c r="R302" s="18"/>
      <c r="S302" s="28" t="s">
        <v>108</v>
      </c>
      <c r="T302" s="18"/>
      <c r="U302" s="28" t="s">
        <v>108</v>
      </c>
      <c r="V302" s="18"/>
      <c r="W302" s="28" t="s">
        <v>108</v>
      </c>
      <c r="X302" s="18"/>
      <c r="Y302" s="28" t="s">
        <v>108</v>
      </c>
      <c r="Z302" s="46" t="str">
        <f t="shared" si="26"/>
        <v>C</v>
      </c>
      <c r="AA302" s="73" t="str">
        <f t="shared" si="27"/>
        <v>UTILIZOU O PDA CORRETAMENTE</v>
      </c>
      <c r="AB302" s="18" t="s">
        <v>108</v>
      </c>
      <c r="AC302" s="38" t="s">
        <v>1</v>
      </c>
      <c r="AD302" s="29" t="str">
        <f t="shared" si="25"/>
        <v>GUARULHOS</v>
      </c>
      <c r="AE302" s="21" t="s">
        <v>16</v>
      </c>
    </row>
    <row r="303" spans="1:31" ht="30" customHeight="1" x14ac:dyDescent="0.2">
      <c r="A303" s="82" t="s">
        <v>101</v>
      </c>
      <c r="B303" s="82">
        <v>2616236490</v>
      </c>
      <c r="C303" s="82" t="s">
        <v>66</v>
      </c>
      <c r="D303" s="82" t="s">
        <v>58</v>
      </c>
      <c r="E303" s="82" t="s">
        <v>102</v>
      </c>
      <c r="F303" s="82" t="s">
        <v>2441</v>
      </c>
      <c r="G303" s="82">
        <v>88</v>
      </c>
      <c r="H303" s="82" t="s">
        <v>1953</v>
      </c>
      <c r="I303" s="82" t="s">
        <v>104</v>
      </c>
      <c r="J303" s="82" t="s">
        <v>1989</v>
      </c>
      <c r="K303" s="82"/>
      <c r="L303" s="82" t="s">
        <v>1089</v>
      </c>
      <c r="M303" s="82" t="s">
        <v>2442</v>
      </c>
      <c r="N303" s="82" t="s">
        <v>107</v>
      </c>
      <c r="O303" s="36" t="s">
        <v>108</v>
      </c>
      <c r="P303" s="18"/>
      <c r="Q303" s="28" t="s">
        <v>108</v>
      </c>
      <c r="R303" s="18"/>
      <c r="S303" s="28" t="s">
        <v>108</v>
      </c>
      <c r="T303" s="18"/>
      <c r="U303" s="28" t="s">
        <v>108</v>
      </c>
      <c r="V303" s="18"/>
      <c r="W303" s="28" t="s">
        <v>108</v>
      </c>
      <c r="X303" s="18"/>
      <c r="Y303" s="28" t="s">
        <v>108</v>
      </c>
      <c r="Z303" s="46" t="str">
        <f t="shared" si="26"/>
        <v>C</v>
      </c>
      <c r="AA303" s="73" t="str">
        <f t="shared" si="27"/>
        <v>UTILIZOU O PDA CORRETAMENTE</v>
      </c>
      <c r="AB303" s="18" t="s">
        <v>108</v>
      </c>
      <c r="AC303" s="38" t="s">
        <v>1</v>
      </c>
      <c r="AD303" s="29" t="str">
        <f t="shared" si="25"/>
        <v>GUARULHOS</v>
      </c>
      <c r="AE303" s="21" t="s">
        <v>16</v>
      </c>
    </row>
    <row r="304" spans="1:31" ht="30" customHeight="1" x14ac:dyDescent="0.2">
      <c r="A304" s="82" t="s">
        <v>101</v>
      </c>
      <c r="B304" s="82">
        <v>2616642502</v>
      </c>
      <c r="C304" s="82" t="s">
        <v>60</v>
      </c>
      <c r="D304" s="82" t="s">
        <v>16</v>
      </c>
      <c r="E304" s="82" t="s">
        <v>102</v>
      </c>
      <c r="F304" s="82" t="s">
        <v>1112</v>
      </c>
      <c r="G304" s="82">
        <v>9</v>
      </c>
      <c r="H304" s="82" t="s">
        <v>1113</v>
      </c>
      <c r="I304" s="82" t="s">
        <v>104</v>
      </c>
      <c r="J304" s="82" t="s">
        <v>1979</v>
      </c>
      <c r="K304" s="82" t="s">
        <v>117</v>
      </c>
      <c r="L304" s="82" t="s">
        <v>1141</v>
      </c>
      <c r="M304" s="82" t="s">
        <v>2443</v>
      </c>
      <c r="N304" s="82" t="s">
        <v>1980</v>
      </c>
      <c r="O304" s="36" t="s">
        <v>108</v>
      </c>
      <c r="P304" s="18"/>
      <c r="Q304" s="28" t="s">
        <v>108</v>
      </c>
      <c r="R304" s="18"/>
      <c r="S304" s="28" t="s">
        <v>108</v>
      </c>
      <c r="T304" s="18"/>
      <c r="U304" s="28" t="s">
        <v>108</v>
      </c>
      <c r="V304" s="18"/>
      <c r="W304" s="28" t="s">
        <v>108</v>
      </c>
      <c r="X304" s="18"/>
      <c r="Y304" s="28" t="s">
        <v>108</v>
      </c>
      <c r="Z304" s="46" t="str">
        <f t="shared" si="26"/>
        <v>C</v>
      </c>
      <c r="AA304" s="73" t="str">
        <f t="shared" si="27"/>
        <v>UTILIZOU O PDA CORRETAMENTE</v>
      </c>
      <c r="AB304" s="18" t="s">
        <v>108</v>
      </c>
      <c r="AC304" s="38" t="s">
        <v>1</v>
      </c>
      <c r="AD304" s="29" t="str">
        <f t="shared" si="25"/>
        <v>GUARULHOS</v>
      </c>
      <c r="AE304" s="21" t="s">
        <v>16</v>
      </c>
    </row>
    <row r="305" spans="1:31" ht="30" customHeight="1" x14ac:dyDescent="0.2">
      <c r="A305" s="82" t="s">
        <v>101</v>
      </c>
      <c r="B305" s="82">
        <v>2691062016</v>
      </c>
      <c r="C305" s="82" t="s">
        <v>60</v>
      </c>
      <c r="D305" s="82" t="s">
        <v>16</v>
      </c>
      <c r="E305" s="82" t="s">
        <v>102</v>
      </c>
      <c r="F305" s="82" t="s">
        <v>521</v>
      </c>
      <c r="G305" s="82">
        <v>33</v>
      </c>
      <c r="H305" s="82" t="s">
        <v>522</v>
      </c>
      <c r="I305" s="82" t="s">
        <v>523</v>
      </c>
      <c r="J305" s="82" t="s">
        <v>1979</v>
      </c>
      <c r="K305" s="82"/>
      <c r="L305" s="82" t="s">
        <v>1141</v>
      </c>
      <c r="M305" s="82" t="s">
        <v>2444</v>
      </c>
      <c r="N305" s="82" t="s">
        <v>2042</v>
      </c>
      <c r="O305" s="36" t="s">
        <v>108</v>
      </c>
      <c r="P305" s="18"/>
      <c r="Q305" s="28" t="s">
        <v>108</v>
      </c>
      <c r="R305" s="18"/>
      <c r="S305" s="28" t="s">
        <v>108</v>
      </c>
      <c r="T305" s="18"/>
      <c r="U305" s="28" t="s">
        <v>108</v>
      </c>
      <c r="V305" s="18"/>
      <c r="W305" s="28" t="s">
        <v>108</v>
      </c>
      <c r="X305" s="18"/>
      <c r="Y305" s="28" t="s">
        <v>108</v>
      </c>
      <c r="Z305" s="46" t="str">
        <f t="shared" si="26"/>
        <v>C</v>
      </c>
      <c r="AA305" s="73" t="str">
        <f t="shared" si="27"/>
        <v>UTILIZOU O PDA CORRETAMENTE</v>
      </c>
      <c r="AB305" s="18" t="s">
        <v>108</v>
      </c>
      <c r="AC305" s="38" t="s">
        <v>1</v>
      </c>
      <c r="AD305" s="29" t="str">
        <f t="shared" si="25"/>
        <v>GUARULHOS</v>
      </c>
      <c r="AE305" s="21" t="s">
        <v>16</v>
      </c>
    </row>
    <row r="306" spans="1:31" ht="30" customHeight="1" x14ac:dyDescent="0.2">
      <c r="A306" s="82" t="s">
        <v>101</v>
      </c>
      <c r="B306" s="82">
        <v>2616658179</v>
      </c>
      <c r="C306" s="82" t="s">
        <v>60</v>
      </c>
      <c r="D306" s="82" t="s">
        <v>16</v>
      </c>
      <c r="E306" s="82" t="s">
        <v>102</v>
      </c>
      <c r="F306" s="82" t="s">
        <v>413</v>
      </c>
      <c r="G306" s="82">
        <v>3504</v>
      </c>
      <c r="H306" s="82" t="s">
        <v>2445</v>
      </c>
      <c r="I306" s="82" t="s">
        <v>177</v>
      </c>
      <c r="J306" s="82" t="s">
        <v>1979</v>
      </c>
      <c r="K306" s="82" t="s">
        <v>2446</v>
      </c>
      <c r="L306" s="82" t="s">
        <v>1141</v>
      </c>
      <c r="M306" s="82" t="s">
        <v>2447</v>
      </c>
      <c r="N306" s="82" t="s">
        <v>2042</v>
      </c>
      <c r="O306" s="36" t="s">
        <v>108</v>
      </c>
      <c r="P306" s="18"/>
      <c r="Q306" s="28" t="s">
        <v>108</v>
      </c>
      <c r="R306" s="18"/>
      <c r="S306" s="28" t="s">
        <v>108</v>
      </c>
      <c r="T306" s="18"/>
      <c r="U306" s="28" t="s">
        <v>108</v>
      </c>
      <c r="V306" s="18"/>
      <c r="W306" s="28" t="s">
        <v>108</v>
      </c>
      <c r="X306" s="18"/>
      <c r="Y306" s="28" t="s">
        <v>108</v>
      </c>
      <c r="Z306" s="46" t="str">
        <f t="shared" si="26"/>
        <v>C</v>
      </c>
      <c r="AA306" s="73" t="str">
        <f t="shared" si="27"/>
        <v>UTILIZOU O PDA CORRETAMENTE</v>
      </c>
      <c r="AB306" s="18" t="s">
        <v>108</v>
      </c>
      <c r="AC306" s="38" t="s">
        <v>1</v>
      </c>
      <c r="AD306" s="29" t="str">
        <f t="shared" ref="AD306:AD323" si="28">E306</f>
        <v>GUARULHOS</v>
      </c>
      <c r="AE306" s="21" t="s">
        <v>16</v>
      </c>
    </row>
    <row r="307" spans="1:31" ht="30" customHeight="1" x14ac:dyDescent="0.2">
      <c r="A307" s="82" t="s">
        <v>101</v>
      </c>
      <c r="B307" s="82">
        <v>2616751572</v>
      </c>
      <c r="C307" s="82" t="s">
        <v>65</v>
      </c>
      <c r="D307" s="82" t="s">
        <v>58</v>
      </c>
      <c r="E307" s="82" t="s">
        <v>102</v>
      </c>
      <c r="F307" s="82" t="s">
        <v>571</v>
      </c>
      <c r="G307" s="82">
        <v>25</v>
      </c>
      <c r="H307" s="82" t="s">
        <v>2448</v>
      </c>
      <c r="I307" s="82" t="s">
        <v>118</v>
      </c>
      <c r="J307" s="82" t="s">
        <v>1979</v>
      </c>
      <c r="K307" s="82" t="s">
        <v>2007</v>
      </c>
      <c r="L307" s="82" t="s">
        <v>1141</v>
      </c>
      <c r="M307" s="82" t="s">
        <v>2449</v>
      </c>
      <c r="N307" s="82" t="s">
        <v>597</v>
      </c>
      <c r="O307" s="36" t="s">
        <v>108</v>
      </c>
      <c r="P307" s="18"/>
      <c r="Q307" s="28" t="s">
        <v>108</v>
      </c>
      <c r="R307" s="18"/>
      <c r="S307" s="28" t="s">
        <v>108</v>
      </c>
      <c r="T307" s="18"/>
      <c r="U307" s="28" t="s">
        <v>108</v>
      </c>
      <c r="V307" s="18"/>
      <c r="W307" s="28" t="s">
        <v>108</v>
      </c>
      <c r="X307" s="18"/>
      <c r="Y307" s="28" t="s">
        <v>108</v>
      </c>
      <c r="Z307" s="46" t="str">
        <f t="shared" si="26"/>
        <v>C</v>
      </c>
      <c r="AA307" s="73" t="str">
        <f t="shared" si="27"/>
        <v>UTILIZOU O PDA CORRETAMENTE</v>
      </c>
      <c r="AB307" s="18" t="s">
        <v>108</v>
      </c>
      <c r="AC307" s="38" t="s">
        <v>1</v>
      </c>
      <c r="AD307" s="29" t="str">
        <f t="shared" si="28"/>
        <v>GUARULHOS</v>
      </c>
      <c r="AE307" s="21" t="s">
        <v>16</v>
      </c>
    </row>
    <row r="308" spans="1:31" ht="30" customHeight="1" x14ac:dyDescent="0.2">
      <c r="A308" s="91" t="s">
        <v>101</v>
      </c>
      <c r="B308" s="91">
        <v>2616616138</v>
      </c>
      <c r="C308" s="91" t="s">
        <v>65</v>
      </c>
      <c r="D308" s="91" t="s">
        <v>58</v>
      </c>
      <c r="E308" s="91" t="s">
        <v>102</v>
      </c>
      <c r="F308" s="91" t="s">
        <v>932</v>
      </c>
      <c r="G308" s="91">
        <v>268</v>
      </c>
      <c r="H308" s="91" t="s">
        <v>1185</v>
      </c>
      <c r="I308" s="91" t="s">
        <v>177</v>
      </c>
      <c r="J308" s="91" t="s">
        <v>1979</v>
      </c>
      <c r="K308" s="91" t="s">
        <v>2450</v>
      </c>
      <c r="L308" s="91" t="s">
        <v>1141</v>
      </c>
      <c r="M308" s="91" t="s">
        <v>2451</v>
      </c>
      <c r="N308" s="91" t="s">
        <v>171</v>
      </c>
      <c r="O308" s="36" t="s">
        <v>108</v>
      </c>
      <c r="P308" s="18"/>
      <c r="Q308" s="28" t="s">
        <v>108</v>
      </c>
      <c r="R308" s="18"/>
      <c r="S308" s="28" t="s">
        <v>108</v>
      </c>
      <c r="T308" s="18"/>
      <c r="U308" s="28" t="s">
        <v>108</v>
      </c>
      <c r="V308" s="18"/>
      <c r="W308" s="28" t="s">
        <v>108</v>
      </c>
      <c r="X308" s="18"/>
      <c r="Y308" s="28" t="s">
        <v>108</v>
      </c>
      <c r="Z308" s="46" t="str">
        <f t="shared" si="26"/>
        <v>C</v>
      </c>
      <c r="AA308" s="73" t="str">
        <f t="shared" si="27"/>
        <v>UTILIZOU O PDA CORRETAMENTE</v>
      </c>
      <c r="AB308" s="18" t="s">
        <v>108</v>
      </c>
      <c r="AC308" s="38" t="s">
        <v>1</v>
      </c>
      <c r="AD308" s="29" t="str">
        <f t="shared" si="28"/>
        <v>GUARULHOS</v>
      </c>
      <c r="AE308" s="21" t="s">
        <v>16</v>
      </c>
    </row>
    <row r="309" spans="1:31" ht="30" customHeight="1" x14ac:dyDescent="0.2">
      <c r="A309" s="82" t="s">
        <v>101</v>
      </c>
      <c r="B309" s="82">
        <v>2614609154</v>
      </c>
      <c r="C309" s="82" t="s">
        <v>66</v>
      </c>
      <c r="D309" s="82" t="s">
        <v>58</v>
      </c>
      <c r="E309" s="82" t="s">
        <v>102</v>
      </c>
      <c r="F309" s="82" t="s">
        <v>2452</v>
      </c>
      <c r="G309" s="82">
        <v>10</v>
      </c>
      <c r="H309" s="82" t="s">
        <v>241</v>
      </c>
      <c r="I309" s="82" t="s">
        <v>229</v>
      </c>
      <c r="J309" s="82" t="s">
        <v>1989</v>
      </c>
      <c r="K309" s="82"/>
      <c r="L309" s="82" t="s">
        <v>1189</v>
      </c>
      <c r="M309" s="82" t="s">
        <v>2453</v>
      </c>
      <c r="N309" s="82" t="s">
        <v>119</v>
      </c>
      <c r="O309" s="36" t="s">
        <v>108</v>
      </c>
      <c r="P309" s="18"/>
      <c r="Q309" s="28" t="s">
        <v>108</v>
      </c>
      <c r="R309" s="18"/>
      <c r="S309" s="28" t="s">
        <v>108</v>
      </c>
      <c r="T309" s="18"/>
      <c r="U309" s="28" t="s">
        <v>108</v>
      </c>
      <c r="V309" s="18"/>
      <c r="W309" s="28" t="s">
        <v>108</v>
      </c>
      <c r="X309" s="18"/>
      <c r="Y309" s="28" t="s">
        <v>108</v>
      </c>
      <c r="Z309" s="46" t="str">
        <f t="shared" si="26"/>
        <v>C</v>
      </c>
      <c r="AA309" s="73" t="str">
        <f t="shared" si="27"/>
        <v>UTILIZOU O PDA CORRETAMENTE</v>
      </c>
      <c r="AB309" s="18" t="s">
        <v>108</v>
      </c>
      <c r="AC309" s="38" t="s">
        <v>1</v>
      </c>
      <c r="AD309" s="29" t="str">
        <f t="shared" si="28"/>
        <v>GUARULHOS</v>
      </c>
      <c r="AE309" s="21" t="s">
        <v>16</v>
      </c>
    </row>
    <row r="310" spans="1:31" ht="30" customHeight="1" x14ac:dyDescent="0.2">
      <c r="A310" s="82" t="s">
        <v>101</v>
      </c>
      <c r="B310" s="82">
        <v>2616756713</v>
      </c>
      <c r="C310" s="82" t="s">
        <v>60</v>
      </c>
      <c r="D310" s="82" t="s">
        <v>16</v>
      </c>
      <c r="E310" s="82" t="s">
        <v>102</v>
      </c>
      <c r="F310" s="82" t="s">
        <v>2455</v>
      </c>
      <c r="G310" s="82">
        <v>72</v>
      </c>
      <c r="H310" s="82" t="s">
        <v>110</v>
      </c>
      <c r="I310" s="82" t="s">
        <v>143</v>
      </c>
      <c r="J310" s="82" t="s">
        <v>1979</v>
      </c>
      <c r="K310" s="82" t="s">
        <v>2456</v>
      </c>
      <c r="L310" s="82" t="s">
        <v>1189</v>
      </c>
      <c r="M310" s="82" t="s">
        <v>1206</v>
      </c>
      <c r="N310" s="82" t="s">
        <v>2000</v>
      </c>
      <c r="O310" s="85" t="s">
        <v>214</v>
      </c>
      <c r="P310" s="42"/>
      <c r="Q310" s="26" t="s">
        <v>214</v>
      </c>
      <c r="R310" s="10"/>
      <c r="S310" s="26" t="s">
        <v>214</v>
      </c>
      <c r="T310" s="10"/>
      <c r="U310" s="26" t="s">
        <v>214</v>
      </c>
      <c r="V310" s="10"/>
      <c r="W310" s="26" t="s">
        <v>214</v>
      </c>
      <c r="X310" s="10"/>
      <c r="Y310" s="26" t="s">
        <v>114</v>
      </c>
      <c r="Z310" s="46" t="str">
        <f t="shared" si="26"/>
        <v>NC</v>
      </c>
      <c r="AA310" s="73" t="str">
        <f t="shared" si="27"/>
        <v>NÃO UTILIZOU O PDA</v>
      </c>
      <c r="AB310" s="18" t="s">
        <v>108</v>
      </c>
      <c r="AC310" s="38" t="s">
        <v>1</v>
      </c>
      <c r="AD310" s="29" t="str">
        <f t="shared" si="28"/>
        <v>GUARULHOS</v>
      </c>
      <c r="AE310" s="21" t="s">
        <v>16</v>
      </c>
    </row>
    <row r="311" spans="1:31" ht="30" customHeight="1" x14ac:dyDescent="0.2">
      <c r="A311" s="82" t="s">
        <v>101</v>
      </c>
      <c r="B311" s="82">
        <v>2616833622</v>
      </c>
      <c r="C311" s="82" t="s">
        <v>67</v>
      </c>
      <c r="D311" s="82" t="s">
        <v>58</v>
      </c>
      <c r="E311" s="82" t="s">
        <v>102</v>
      </c>
      <c r="F311" s="82" t="s">
        <v>1474</v>
      </c>
      <c r="G311" s="82">
        <v>413</v>
      </c>
      <c r="H311" s="82" t="s">
        <v>1475</v>
      </c>
      <c r="I311" s="82" t="s">
        <v>264</v>
      </c>
      <c r="J311" s="82" t="s">
        <v>1984</v>
      </c>
      <c r="K311" s="82" t="s">
        <v>2457</v>
      </c>
      <c r="L311" s="82" t="s">
        <v>1189</v>
      </c>
      <c r="M311" s="82" t="s">
        <v>2458</v>
      </c>
      <c r="N311" s="82" t="s">
        <v>231</v>
      </c>
      <c r="O311" s="36" t="s">
        <v>108</v>
      </c>
      <c r="P311" s="18"/>
      <c r="Q311" s="28" t="s">
        <v>214</v>
      </c>
      <c r="R311" s="18"/>
      <c r="S311" s="28" t="s">
        <v>108</v>
      </c>
      <c r="T311" s="18"/>
      <c r="U311" s="28" t="s">
        <v>108</v>
      </c>
      <c r="V311" s="18"/>
      <c r="W311" s="28" t="s">
        <v>114</v>
      </c>
      <c r="X311" s="18" t="s">
        <v>2459</v>
      </c>
      <c r="Y311" s="28" t="s">
        <v>108</v>
      </c>
      <c r="Z311" s="46" t="str">
        <f t="shared" si="26"/>
        <v>NC</v>
      </c>
      <c r="AA311" s="73" t="str">
        <f t="shared" si="27"/>
        <v>UTILIZOU O PDA CORRETAMENTE. NÃO HÁ FOTOS DE TODAS AS ETAPAS</v>
      </c>
      <c r="AB311" s="18" t="s">
        <v>108</v>
      </c>
      <c r="AC311" s="38" t="s">
        <v>1</v>
      </c>
      <c r="AD311" s="29" t="str">
        <f t="shared" si="28"/>
        <v>GUARULHOS</v>
      </c>
      <c r="AE311" s="21" t="s">
        <v>16</v>
      </c>
    </row>
    <row r="312" spans="1:31" ht="30" customHeight="1" x14ac:dyDescent="0.2">
      <c r="A312" s="82" t="s">
        <v>101</v>
      </c>
      <c r="B312" s="82">
        <v>2616845516</v>
      </c>
      <c r="C312" s="82" t="s">
        <v>2301</v>
      </c>
      <c r="D312" s="82" t="s">
        <v>58</v>
      </c>
      <c r="E312" s="82" t="s">
        <v>102</v>
      </c>
      <c r="F312" s="82" t="s">
        <v>847</v>
      </c>
      <c r="G312" s="82">
        <v>442</v>
      </c>
      <c r="H312" s="82" t="s">
        <v>121</v>
      </c>
      <c r="I312" s="82" t="s">
        <v>849</v>
      </c>
      <c r="J312" s="82" t="s">
        <v>2302</v>
      </c>
      <c r="K312" s="82" t="s">
        <v>2460</v>
      </c>
      <c r="L312" s="82" t="s">
        <v>1189</v>
      </c>
      <c r="M312" s="82" t="s">
        <v>2461</v>
      </c>
      <c r="N312" s="82" t="s">
        <v>1993</v>
      </c>
      <c r="O312" s="85" t="s">
        <v>14</v>
      </c>
      <c r="P312" s="42"/>
      <c r="Q312" s="26" t="s">
        <v>14</v>
      </c>
      <c r="R312" s="10"/>
      <c r="S312" s="26" t="s">
        <v>14</v>
      </c>
      <c r="T312" s="10"/>
      <c r="U312" s="26" t="s">
        <v>14</v>
      </c>
      <c r="V312" s="10"/>
      <c r="W312" s="26" t="s">
        <v>14</v>
      </c>
      <c r="X312" s="10"/>
      <c r="Y312" s="26" t="s">
        <v>14</v>
      </c>
      <c r="Z312" s="46" t="str">
        <f t="shared" si="26"/>
        <v>NA</v>
      </c>
      <c r="AA312" s="73" t="str">
        <f t="shared" ref="AA312:AA330" si="29">IF(AND(Y312="C",Z312="C"),"UTILIZOU O PDA CORRETAMENTE",IF(AND(Y312="C",Z312="NC"),"UTILIZOU O PDA CORRETAMENTE. NÃO HÁ FOTOS DE TODAS AS ETAPAS",IF(AND(Y312="NC",Z312="NC"),"NÃO UTILIZOU O PDA",IF(AND(Y312="NA",Z312="NA"),"NÃO AVALIADO POR FALHA DE SINCRONISMO"))))</f>
        <v>NÃO AVALIADO POR FALHA DE SINCRONISMO</v>
      </c>
      <c r="AB312" s="18" t="s">
        <v>108</v>
      </c>
      <c r="AC312" s="38" t="s">
        <v>1</v>
      </c>
      <c r="AD312" s="29" t="str">
        <f t="shared" si="28"/>
        <v>GUARULHOS</v>
      </c>
      <c r="AE312" s="21" t="s">
        <v>16</v>
      </c>
    </row>
    <row r="313" spans="1:31" ht="30" customHeight="1" x14ac:dyDescent="0.2">
      <c r="A313" s="82" t="s">
        <v>101</v>
      </c>
      <c r="B313" s="82">
        <v>2691197278</v>
      </c>
      <c r="C313" s="82" t="s">
        <v>60</v>
      </c>
      <c r="D313" s="82" t="s">
        <v>16</v>
      </c>
      <c r="E313" s="82" t="s">
        <v>102</v>
      </c>
      <c r="F313" s="82" t="s">
        <v>2462</v>
      </c>
      <c r="G313" s="82">
        <v>85</v>
      </c>
      <c r="H313" s="82" t="s">
        <v>639</v>
      </c>
      <c r="I313" s="82" t="s">
        <v>2463</v>
      </c>
      <c r="J313" s="82" t="s">
        <v>1979</v>
      </c>
      <c r="K313" s="82"/>
      <c r="L313" s="82" t="s">
        <v>1189</v>
      </c>
      <c r="M313" s="82" t="s">
        <v>2464</v>
      </c>
      <c r="N313" s="82" t="s">
        <v>1986</v>
      </c>
      <c r="O313" s="36" t="s">
        <v>108</v>
      </c>
      <c r="P313" s="18"/>
      <c r="Q313" s="28" t="s">
        <v>108</v>
      </c>
      <c r="R313" s="18"/>
      <c r="S313" s="28" t="s">
        <v>108</v>
      </c>
      <c r="T313" s="18"/>
      <c r="U313" s="28" t="s">
        <v>108</v>
      </c>
      <c r="V313" s="18"/>
      <c r="W313" s="28" t="s">
        <v>108</v>
      </c>
      <c r="X313" s="18"/>
      <c r="Y313" s="28" t="s">
        <v>108</v>
      </c>
      <c r="Z313" s="46" t="str">
        <f t="shared" ref="Z313:Z331" si="30">IF(AND(O313="",Q313="",S313="",U313="",W313=""),"",IF(OR(AND(O313&lt;&gt;"NA",O313&lt;&gt;"C",O313&lt;&gt;"NC",O313&lt;&gt;"SF",O313&lt;&gt;""),AND(Q313&lt;&gt;"NA",Q313&lt;&gt;"C",Q313&lt;&gt;"NC",Q313&lt;&gt;"SF",Q313&lt;&gt;""),AND(S313&lt;&gt;"NA",S313&lt;&gt;"C",S313&lt;&gt;"NC",S313&lt;&gt;"SF",S313&lt;&gt;""),AND(U313&lt;&gt;"NA",U313&lt;&gt;"C",U313&lt;&gt;"NC",U313&lt;&gt;"SF",U313&lt;&gt;""),AND(W313&lt;&gt;"NA",W313&lt;&gt;"C",W313&lt;&gt;"NC",W313&lt;&gt;"SF",W313&lt;&gt;"")),"FALSO",IF(AND(O313="NA",Q313="NA",S313="NA",U313="NA",W313="NA"),"NA",IF(OR(O313="NC",Q313="NC",S313="NC",U313="NC",W313="NC",O313="SF",Q313="SF",S313="SF",U313="SF",W313="SF"),"NC",IF(OR(O313="C",Q313="C",S313="C",U313="C",W313="C"),"C","")))))</f>
        <v>C</v>
      </c>
      <c r="AA313" s="73" t="str">
        <f t="shared" si="29"/>
        <v>UTILIZOU O PDA CORRETAMENTE</v>
      </c>
      <c r="AB313" s="18" t="s">
        <v>108</v>
      </c>
      <c r="AC313" s="38" t="s">
        <v>1</v>
      </c>
      <c r="AD313" s="29" t="str">
        <f t="shared" si="28"/>
        <v>GUARULHOS</v>
      </c>
      <c r="AE313" s="21" t="s">
        <v>16</v>
      </c>
    </row>
    <row r="314" spans="1:31" ht="30" customHeight="1" x14ac:dyDescent="0.2">
      <c r="A314" s="82" t="s">
        <v>101</v>
      </c>
      <c r="B314" s="82">
        <v>2691212901</v>
      </c>
      <c r="C314" s="82" t="s">
        <v>59</v>
      </c>
      <c r="D314" s="82" t="s">
        <v>16</v>
      </c>
      <c r="E314" s="82" t="s">
        <v>102</v>
      </c>
      <c r="F314" s="82" t="s">
        <v>682</v>
      </c>
      <c r="G314" s="82">
        <v>63</v>
      </c>
      <c r="H314" s="82"/>
      <c r="I314" s="82" t="s">
        <v>647</v>
      </c>
      <c r="J314" s="82" t="s">
        <v>1975</v>
      </c>
      <c r="K314" s="82" t="s">
        <v>2465</v>
      </c>
      <c r="L314" s="82" t="s">
        <v>1189</v>
      </c>
      <c r="M314" s="82" t="s">
        <v>2466</v>
      </c>
      <c r="N314" s="82" t="s">
        <v>452</v>
      </c>
      <c r="O314" s="36" t="s">
        <v>108</v>
      </c>
      <c r="P314" s="18"/>
      <c r="Q314" s="28" t="s">
        <v>214</v>
      </c>
      <c r="R314" s="18"/>
      <c r="S314" s="28" t="s">
        <v>214</v>
      </c>
      <c r="T314" s="18"/>
      <c r="U314" s="28" t="s">
        <v>214</v>
      </c>
      <c r="V314" s="18"/>
      <c r="W314" s="28" t="s">
        <v>214</v>
      </c>
      <c r="X314" s="18"/>
      <c r="Y314" s="28" t="s">
        <v>108</v>
      </c>
      <c r="Z314" s="46" t="str">
        <f t="shared" si="30"/>
        <v>NC</v>
      </c>
      <c r="AA314" s="73" t="str">
        <f t="shared" si="29"/>
        <v>UTILIZOU O PDA CORRETAMENTE. NÃO HÁ FOTOS DE TODAS AS ETAPAS</v>
      </c>
      <c r="AB314" s="18" t="s">
        <v>108</v>
      </c>
      <c r="AC314" s="38" t="s">
        <v>1</v>
      </c>
      <c r="AD314" s="29" t="str">
        <f t="shared" si="28"/>
        <v>GUARULHOS</v>
      </c>
      <c r="AE314" s="21" t="s">
        <v>16</v>
      </c>
    </row>
    <row r="315" spans="1:31" ht="30" customHeight="1" x14ac:dyDescent="0.2">
      <c r="A315" s="82" t="s">
        <v>101</v>
      </c>
      <c r="B315" s="82">
        <v>2617168616</v>
      </c>
      <c r="C315" s="82" t="s">
        <v>60</v>
      </c>
      <c r="D315" s="82" t="s">
        <v>16</v>
      </c>
      <c r="E315" s="82" t="s">
        <v>102</v>
      </c>
      <c r="F315" s="82" t="s">
        <v>2467</v>
      </c>
      <c r="G315" s="82">
        <v>260</v>
      </c>
      <c r="H315" s="82"/>
      <c r="I315" s="82" t="s">
        <v>516</v>
      </c>
      <c r="J315" s="82" t="s">
        <v>1979</v>
      </c>
      <c r="K315" s="82"/>
      <c r="L315" s="82" t="s">
        <v>1253</v>
      </c>
      <c r="M315" s="82" t="s">
        <v>2468</v>
      </c>
      <c r="N315" s="82" t="s">
        <v>1986</v>
      </c>
      <c r="O315" s="36" t="s">
        <v>108</v>
      </c>
      <c r="P315" s="18"/>
      <c r="Q315" s="28" t="s">
        <v>108</v>
      </c>
      <c r="R315" s="18"/>
      <c r="S315" s="28" t="s">
        <v>108</v>
      </c>
      <c r="T315" s="18"/>
      <c r="U315" s="28" t="s">
        <v>108</v>
      </c>
      <c r="V315" s="18"/>
      <c r="W315" s="28" t="s">
        <v>108</v>
      </c>
      <c r="X315" s="18"/>
      <c r="Y315" s="28" t="s">
        <v>108</v>
      </c>
      <c r="Z315" s="46" t="str">
        <f t="shared" si="30"/>
        <v>C</v>
      </c>
      <c r="AA315" s="73" t="str">
        <f t="shared" si="29"/>
        <v>UTILIZOU O PDA CORRETAMENTE</v>
      </c>
      <c r="AB315" s="18" t="s">
        <v>108</v>
      </c>
      <c r="AC315" s="38" t="s">
        <v>1</v>
      </c>
      <c r="AD315" s="29" t="str">
        <f t="shared" si="28"/>
        <v>GUARULHOS</v>
      </c>
      <c r="AE315" s="21" t="s">
        <v>16</v>
      </c>
    </row>
    <row r="316" spans="1:31" ht="30" customHeight="1" x14ac:dyDescent="0.2">
      <c r="A316" s="82" t="s">
        <v>101</v>
      </c>
      <c r="B316" s="82">
        <v>2691369117</v>
      </c>
      <c r="C316" s="82" t="s">
        <v>60</v>
      </c>
      <c r="D316" s="82" t="s">
        <v>16</v>
      </c>
      <c r="E316" s="82" t="s">
        <v>102</v>
      </c>
      <c r="F316" s="82" t="s">
        <v>1520</v>
      </c>
      <c r="G316" s="82">
        <v>98</v>
      </c>
      <c r="H316" s="82" t="s">
        <v>2469</v>
      </c>
      <c r="I316" s="82" t="s">
        <v>220</v>
      </c>
      <c r="J316" s="82" t="s">
        <v>1979</v>
      </c>
      <c r="K316" s="82"/>
      <c r="L316" s="82" t="s">
        <v>1253</v>
      </c>
      <c r="M316" s="82" t="s">
        <v>2470</v>
      </c>
      <c r="N316" s="82" t="s">
        <v>1980</v>
      </c>
      <c r="O316" s="36" t="s">
        <v>108</v>
      </c>
      <c r="P316" s="18"/>
      <c r="Q316" s="28" t="s">
        <v>108</v>
      </c>
      <c r="R316" s="18"/>
      <c r="S316" s="28" t="s">
        <v>108</v>
      </c>
      <c r="T316" s="18"/>
      <c r="U316" s="28" t="s">
        <v>108</v>
      </c>
      <c r="V316" s="18"/>
      <c r="W316" s="28" t="s">
        <v>108</v>
      </c>
      <c r="X316" s="18"/>
      <c r="Y316" s="28" t="s">
        <v>108</v>
      </c>
      <c r="Z316" s="46" t="str">
        <f t="shared" si="30"/>
        <v>C</v>
      </c>
      <c r="AA316" s="73" t="str">
        <f t="shared" si="29"/>
        <v>UTILIZOU O PDA CORRETAMENTE</v>
      </c>
      <c r="AB316" s="18" t="s">
        <v>108</v>
      </c>
      <c r="AC316" s="38" t="s">
        <v>1</v>
      </c>
      <c r="AD316" s="29" t="str">
        <f t="shared" si="28"/>
        <v>GUARULHOS</v>
      </c>
      <c r="AE316" s="21" t="s">
        <v>16</v>
      </c>
    </row>
    <row r="317" spans="1:31" ht="30" customHeight="1" x14ac:dyDescent="0.2">
      <c r="A317" s="82" t="s">
        <v>101</v>
      </c>
      <c r="B317" s="82">
        <v>2613172888</v>
      </c>
      <c r="C317" s="82" t="s">
        <v>66</v>
      </c>
      <c r="D317" s="82" t="s">
        <v>58</v>
      </c>
      <c r="E317" s="82" t="s">
        <v>102</v>
      </c>
      <c r="F317" s="82" t="s">
        <v>2471</v>
      </c>
      <c r="G317" s="82">
        <v>464</v>
      </c>
      <c r="H317" s="82" t="s">
        <v>2472</v>
      </c>
      <c r="I317" s="82" t="s">
        <v>2473</v>
      </c>
      <c r="J317" s="82" t="s">
        <v>1989</v>
      </c>
      <c r="K317" s="82"/>
      <c r="L317" s="82" t="s">
        <v>1253</v>
      </c>
      <c r="M317" s="82" t="s">
        <v>1329</v>
      </c>
      <c r="N317" s="82" t="s">
        <v>113</v>
      </c>
      <c r="O317" s="36" t="s">
        <v>108</v>
      </c>
      <c r="P317" s="18"/>
      <c r="Q317" s="28" t="s">
        <v>108</v>
      </c>
      <c r="R317" s="18"/>
      <c r="S317" s="28" t="s">
        <v>108</v>
      </c>
      <c r="T317" s="18"/>
      <c r="U317" s="28" t="s">
        <v>108</v>
      </c>
      <c r="V317" s="18"/>
      <c r="W317" s="28" t="s">
        <v>108</v>
      </c>
      <c r="X317" s="18"/>
      <c r="Y317" s="28" t="s">
        <v>108</v>
      </c>
      <c r="Z317" s="46" t="str">
        <f t="shared" si="30"/>
        <v>C</v>
      </c>
      <c r="AA317" s="73" t="str">
        <f t="shared" si="29"/>
        <v>UTILIZOU O PDA CORRETAMENTE</v>
      </c>
      <c r="AB317" s="18" t="s">
        <v>108</v>
      </c>
      <c r="AC317" s="38" t="s">
        <v>1</v>
      </c>
      <c r="AD317" s="29" t="str">
        <f t="shared" si="28"/>
        <v>GUARULHOS</v>
      </c>
      <c r="AE317" s="21" t="s">
        <v>16</v>
      </c>
    </row>
    <row r="318" spans="1:31" ht="30" customHeight="1" x14ac:dyDescent="0.2">
      <c r="A318" s="82" t="s">
        <v>101</v>
      </c>
      <c r="B318" s="82">
        <v>2611631810</v>
      </c>
      <c r="C318" s="82" t="s">
        <v>66</v>
      </c>
      <c r="D318" s="82" t="s">
        <v>58</v>
      </c>
      <c r="E318" s="82" t="s">
        <v>102</v>
      </c>
      <c r="F318" s="82" t="s">
        <v>655</v>
      </c>
      <c r="G318" s="82">
        <v>685</v>
      </c>
      <c r="H318" s="82" t="s">
        <v>148</v>
      </c>
      <c r="I318" s="82" t="s">
        <v>1309</v>
      </c>
      <c r="J318" s="82" t="s">
        <v>1989</v>
      </c>
      <c r="K318" s="82" t="s">
        <v>117</v>
      </c>
      <c r="L318" s="82" t="s">
        <v>1253</v>
      </c>
      <c r="M318" s="82" t="s">
        <v>2474</v>
      </c>
      <c r="N318" s="82" t="s">
        <v>113</v>
      </c>
      <c r="O318" s="36" t="s">
        <v>108</v>
      </c>
      <c r="P318" s="18"/>
      <c r="Q318" s="28" t="s">
        <v>108</v>
      </c>
      <c r="R318" s="18"/>
      <c r="S318" s="28" t="s">
        <v>108</v>
      </c>
      <c r="T318" s="18"/>
      <c r="U318" s="28" t="s">
        <v>108</v>
      </c>
      <c r="V318" s="18"/>
      <c r="W318" s="28" t="s">
        <v>108</v>
      </c>
      <c r="X318" s="18"/>
      <c r="Y318" s="28" t="s">
        <v>108</v>
      </c>
      <c r="Z318" s="46" t="str">
        <f t="shared" si="30"/>
        <v>C</v>
      </c>
      <c r="AA318" s="73" t="str">
        <f t="shared" si="29"/>
        <v>UTILIZOU O PDA CORRETAMENTE</v>
      </c>
      <c r="AB318" s="18" t="s">
        <v>108</v>
      </c>
      <c r="AC318" s="38" t="s">
        <v>1</v>
      </c>
      <c r="AD318" s="29" t="str">
        <f t="shared" si="28"/>
        <v>GUARULHOS</v>
      </c>
      <c r="AE318" s="21" t="s">
        <v>16</v>
      </c>
    </row>
    <row r="319" spans="1:31" ht="30" customHeight="1" x14ac:dyDescent="0.2">
      <c r="A319" s="82" t="s">
        <v>101</v>
      </c>
      <c r="B319" s="82">
        <v>2691413374</v>
      </c>
      <c r="C319" s="82" t="s">
        <v>60</v>
      </c>
      <c r="D319" s="82" t="s">
        <v>16</v>
      </c>
      <c r="E319" s="82" t="s">
        <v>102</v>
      </c>
      <c r="F319" s="82" t="s">
        <v>233</v>
      </c>
      <c r="G319" s="82">
        <v>170</v>
      </c>
      <c r="H319" s="82" t="s">
        <v>241</v>
      </c>
      <c r="I319" s="82" t="s">
        <v>104</v>
      </c>
      <c r="J319" s="82" t="s">
        <v>1979</v>
      </c>
      <c r="K319" s="82"/>
      <c r="L319" s="82" t="s">
        <v>1253</v>
      </c>
      <c r="M319" s="82" t="s">
        <v>2475</v>
      </c>
      <c r="N319" s="82" t="s">
        <v>1980</v>
      </c>
      <c r="O319" s="36" t="s">
        <v>108</v>
      </c>
      <c r="P319" s="18"/>
      <c r="Q319" s="28" t="s">
        <v>108</v>
      </c>
      <c r="R319" s="18"/>
      <c r="S319" s="28" t="s">
        <v>108</v>
      </c>
      <c r="T319" s="18"/>
      <c r="U319" s="28" t="s">
        <v>108</v>
      </c>
      <c r="V319" s="18"/>
      <c r="W319" s="28" t="s">
        <v>108</v>
      </c>
      <c r="X319" s="18"/>
      <c r="Y319" s="28" t="s">
        <v>108</v>
      </c>
      <c r="Z319" s="46" t="str">
        <f t="shared" si="30"/>
        <v>C</v>
      </c>
      <c r="AA319" s="73" t="str">
        <f t="shared" si="29"/>
        <v>UTILIZOU O PDA CORRETAMENTE</v>
      </c>
      <c r="AB319" s="18" t="s">
        <v>108</v>
      </c>
      <c r="AC319" s="38" t="s">
        <v>1</v>
      </c>
      <c r="AD319" s="29" t="str">
        <f t="shared" si="28"/>
        <v>GUARULHOS</v>
      </c>
      <c r="AE319" s="21" t="s">
        <v>16</v>
      </c>
    </row>
    <row r="320" spans="1:31" ht="30" customHeight="1" x14ac:dyDescent="0.2">
      <c r="A320" s="82" t="s">
        <v>101</v>
      </c>
      <c r="B320" s="82">
        <v>2617148601</v>
      </c>
      <c r="C320" s="82" t="s">
        <v>65</v>
      </c>
      <c r="D320" s="82" t="s">
        <v>58</v>
      </c>
      <c r="E320" s="82" t="s">
        <v>102</v>
      </c>
      <c r="F320" s="82" t="s">
        <v>2476</v>
      </c>
      <c r="G320" s="82">
        <v>14</v>
      </c>
      <c r="H320" s="82" t="s">
        <v>117</v>
      </c>
      <c r="I320" s="82" t="s">
        <v>989</v>
      </c>
      <c r="J320" s="82" t="s">
        <v>1979</v>
      </c>
      <c r="K320" s="82" t="s">
        <v>117</v>
      </c>
      <c r="L320" s="82" t="s">
        <v>1253</v>
      </c>
      <c r="M320" s="82" t="s">
        <v>2477</v>
      </c>
      <c r="N320" s="82" t="s">
        <v>2042</v>
      </c>
      <c r="O320" s="36" t="s">
        <v>108</v>
      </c>
      <c r="P320" s="18"/>
      <c r="Q320" s="28" t="s">
        <v>108</v>
      </c>
      <c r="R320" s="18"/>
      <c r="S320" s="28" t="s">
        <v>108</v>
      </c>
      <c r="T320" s="18"/>
      <c r="U320" s="28" t="s">
        <v>108</v>
      </c>
      <c r="V320" s="18"/>
      <c r="W320" s="28" t="s">
        <v>108</v>
      </c>
      <c r="X320" s="18"/>
      <c r="Y320" s="28" t="s">
        <v>108</v>
      </c>
      <c r="Z320" s="46" t="str">
        <f t="shared" si="30"/>
        <v>C</v>
      </c>
      <c r="AA320" s="73" t="str">
        <f t="shared" si="29"/>
        <v>UTILIZOU O PDA CORRETAMENTE</v>
      </c>
      <c r="AB320" s="18" t="s">
        <v>108</v>
      </c>
      <c r="AC320" s="38" t="s">
        <v>1</v>
      </c>
      <c r="AD320" s="29" t="str">
        <f t="shared" si="28"/>
        <v>GUARULHOS</v>
      </c>
      <c r="AE320" s="21" t="s">
        <v>16</v>
      </c>
    </row>
    <row r="321" spans="1:31" ht="30" customHeight="1" x14ac:dyDescent="0.2">
      <c r="A321" s="82" t="s">
        <v>101</v>
      </c>
      <c r="B321" s="82">
        <v>2691357296</v>
      </c>
      <c r="C321" s="82" t="s">
        <v>65</v>
      </c>
      <c r="D321" s="82" t="s">
        <v>58</v>
      </c>
      <c r="E321" s="82" t="s">
        <v>102</v>
      </c>
      <c r="F321" s="82" t="s">
        <v>931</v>
      </c>
      <c r="G321" s="82">
        <v>317</v>
      </c>
      <c r="H321" s="82" t="s">
        <v>174</v>
      </c>
      <c r="I321" s="82" t="s">
        <v>308</v>
      </c>
      <c r="J321" s="82" t="s">
        <v>1979</v>
      </c>
      <c r="K321" s="82" t="s">
        <v>2007</v>
      </c>
      <c r="L321" s="82" t="s">
        <v>1253</v>
      </c>
      <c r="M321" s="82" t="s">
        <v>2478</v>
      </c>
      <c r="N321" s="82" t="s">
        <v>597</v>
      </c>
      <c r="O321" s="36" t="s">
        <v>108</v>
      </c>
      <c r="P321" s="18"/>
      <c r="Q321" s="28" t="s">
        <v>108</v>
      </c>
      <c r="R321" s="18"/>
      <c r="S321" s="28" t="s">
        <v>108</v>
      </c>
      <c r="T321" s="18"/>
      <c r="U321" s="28" t="s">
        <v>108</v>
      </c>
      <c r="V321" s="18"/>
      <c r="W321" s="28" t="s">
        <v>108</v>
      </c>
      <c r="X321" s="18"/>
      <c r="Y321" s="28" t="s">
        <v>108</v>
      </c>
      <c r="Z321" s="46" t="str">
        <f t="shared" si="30"/>
        <v>C</v>
      </c>
      <c r="AA321" s="73" t="str">
        <f t="shared" si="29"/>
        <v>UTILIZOU O PDA CORRETAMENTE</v>
      </c>
      <c r="AB321" s="18" t="s">
        <v>108</v>
      </c>
      <c r="AC321" s="38" t="s">
        <v>1</v>
      </c>
      <c r="AD321" s="29" t="str">
        <f t="shared" si="28"/>
        <v>GUARULHOS</v>
      </c>
      <c r="AE321" s="21" t="s">
        <v>16</v>
      </c>
    </row>
    <row r="322" spans="1:31" ht="30" customHeight="1" x14ac:dyDescent="0.2">
      <c r="A322" s="82" t="s">
        <v>101</v>
      </c>
      <c r="B322" s="82">
        <v>2691437509</v>
      </c>
      <c r="C322" s="82" t="s">
        <v>60</v>
      </c>
      <c r="D322" s="82" t="s">
        <v>16</v>
      </c>
      <c r="E322" s="82" t="s">
        <v>102</v>
      </c>
      <c r="F322" s="82" t="s">
        <v>2479</v>
      </c>
      <c r="G322" s="82">
        <v>29</v>
      </c>
      <c r="H322" s="82" t="s">
        <v>2480</v>
      </c>
      <c r="I322" s="82" t="s">
        <v>220</v>
      </c>
      <c r="J322" s="82" t="s">
        <v>1979</v>
      </c>
      <c r="K322" s="82"/>
      <c r="L322" s="82" t="s">
        <v>1253</v>
      </c>
      <c r="M322" s="82" t="s">
        <v>2481</v>
      </c>
      <c r="N322" s="82" t="s">
        <v>1980</v>
      </c>
      <c r="O322" s="36" t="s">
        <v>108</v>
      </c>
      <c r="P322" s="18"/>
      <c r="Q322" s="28" t="s">
        <v>108</v>
      </c>
      <c r="R322" s="18"/>
      <c r="S322" s="28" t="s">
        <v>108</v>
      </c>
      <c r="T322" s="18"/>
      <c r="U322" s="28" t="s">
        <v>108</v>
      </c>
      <c r="V322" s="18"/>
      <c r="W322" s="28" t="s">
        <v>108</v>
      </c>
      <c r="X322" s="18"/>
      <c r="Y322" s="28" t="s">
        <v>108</v>
      </c>
      <c r="Z322" s="46" t="str">
        <f t="shared" si="30"/>
        <v>C</v>
      </c>
      <c r="AA322" s="73" t="str">
        <f t="shared" si="29"/>
        <v>UTILIZOU O PDA CORRETAMENTE</v>
      </c>
      <c r="AB322" s="18" t="s">
        <v>108</v>
      </c>
      <c r="AC322" s="38" t="s">
        <v>1</v>
      </c>
      <c r="AD322" s="29" t="str">
        <f t="shared" si="28"/>
        <v>GUARULHOS</v>
      </c>
      <c r="AE322" s="21" t="s">
        <v>16</v>
      </c>
    </row>
    <row r="323" spans="1:31" ht="30" customHeight="1" x14ac:dyDescent="0.2">
      <c r="A323" s="82" t="s">
        <v>101</v>
      </c>
      <c r="B323" s="82">
        <v>2691443089</v>
      </c>
      <c r="C323" s="82" t="s">
        <v>60</v>
      </c>
      <c r="D323" s="82" t="s">
        <v>16</v>
      </c>
      <c r="E323" s="82" t="s">
        <v>102</v>
      </c>
      <c r="F323" s="82" t="s">
        <v>2482</v>
      </c>
      <c r="G323" s="82">
        <v>94</v>
      </c>
      <c r="H323" s="82" t="s">
        <v>2483</v>
      </c>
      <c r="I323" s="82" t="s">
        <v>1120</v>
      </c>
      <c r="J323" s="82" t="s">
        <v>1979</v>
      </c>
      <c r="K323" s="82"/>
      <c r="L323" s="82" t="s">
        <v>1253</v>
      </c>
      <c r="M323" s="82" t="s">
        <v>1282</v>
      </c>
      <c r="N323" s="82" t="s">
        <v>185</v>
      </c>
      <c r="O323" s="36" t="s">
        <v>108</v>
      </c>
      <c r="P323" s="18"/>
      <c r="Q323" s="28" t="s">
        <v>108</v>
      </c>
      <c r="R323" s="18"/>
      <c r="S323" s="28" t="s">
        <v>108</v>
      </c>
      <c r="T323" s="18"/>
      <c r="U323" s="28" t="s">
        <v>108</v>
      </c>
      <c r="V323" s="18"/>
      <c r="W323" s="28" t="s">
        <v>108</v>
      </c>
      <c r="X323" s="18"/>
      <c r="Y323" s="28" t="s">
        <v>108</v>
      </c>
      <c r="Z323" s="46" t="str">
        <f t="shared" si="30"/>
        <v>C</v>
      </c>
      <c r="AA323" s="73" t="str">
        <f t="shared" si="29"/>
        <v>UTILIZOU O PDA CORRETAMENTE</v>
      </c>
      <c r="AB323" s="18" t="s">
        <v>108</v>
      </c>
      <c r="AC323" s="38" t="s">
        <v>1</v>
      </c>
      <c r="AD323" s="29" t="str">
        <f t="shared" si="28"/>
        <v>GUARULHOS</v>
      </c>
      <c r="AE323" s="21" t="s">
        <v>16</v>
      </c>
    </row>
    <row r="324" spans="1:31" ht="30" customHeight="1" x14ac:dyDescent="0.2">
      <c r="A324" s="82" t="s">
        <v>101</v>
      </c>
      <c r="B324" s="82">
        <v>2614197910</v>
      </c>
      <c r="C324" s="82" t="s">
        <v>66</v>
      </c>
      <c r="D324" s="82" t="s">
        <v>58</v>
      </c>
      <c r="E324" s="82" t="s">
        <v>102</v>
      </c>
      <c r="F324" s="82" t="s">
        <v>1371</v>
      </c>
      <c r="G324" s="82">
        <v>239</v>
      </c>
      <c r="H324" s="82" t="s">
        <v>2484</v>
      </c>
      <c r="I324" s="82" t="s">
        <v>277</v>
      </c>
      <c r="J324" s="82" t="s">
        <v>1989</v>
      </c>
      <c r="K324" s="82" t="s">
        <v>1375</v>
      </c>
      <c r="L324" s="82" t="s">
        <v>1370</v>
      </c>
      <c r="M324" s="82" t="s">
        <v>2485</v>
      </c>
      <c r="N324" s="82" t="s">
        <v>274</v>
      </c>
      <c r="O324" s="36" t="s">
        <v>108</v>
      </c>
      <c r="P324" s="18"/>
      <c r="Q324" s="28" t="s">
        <v>108</v>
      </c>
      <c r="R324" s="18"/>
      <c r="S324" s="28" t="s">
        <v>108</v>
      </c>
      <c r="T324" s="18"/>
      <c r="U324" s="28" t="s">
        <v>108</v>
      </c>
      <c r="V324" s="18"/>
      <c r="W324" s="28" t="s">
        <v>108</v>
      </c>
      <c r="X324" s="18"/>
      <c r="Y324" s="28" t="s">
        <v>108</v>
      </c>
      <c r="Z324" s="46" t="str">
        <f t="shared" si="30"/>
        <v>C</v>
      </c>
      <c r="AA324" s="73" t="str">
        <f t="shared" si="29"/>
        <v>UTILIZOU O PDA CORRETAMENTE</v>
      </c>
      <c r="AB324" s="18" t="s">
        <v>108</v>
      </c>
      <c r="AC324" s="38" t="s">
        <v>1</v>
      </c>
      <c r="AD324" s="29" t="str">
        <f t="shared" ref="AD324:AD340" si="31">E324</f>
        <v>GUARULHOS</v>
      </c>
      <c r="AE324" s="21" t="s">
        <v>16</v>
      </c>
    </row>
    <row r="325" spans="1:31" ht="30" customHeight="1" x14ac:dyDescent="0.2">
      <c r="A325" s="82" t="s">
        <v>101</v>
      </c>
      <c r="B325" s="82">
        <v>2691474601</v>
      </c>
      <c r="C325" s="82" t="s">
        <v>60</v>
      </c>
      <c r="D325" s="82" t="s">
        <v>16</v>
      </c>
      <c r="E325" s="82" t="s">
        <v>102</v>
      </c>
      <c r="F325" s="82" t="s">
        <v>2406</v>
      </c>
      <c r="G325" s="82">
        <v>334</v>
      </c>
      <c r="H325" s="82" t="s">
        <v>2486</v>
      </c>
      <c r="I325" s="82" t="s">
        <v>169</v>
      </c>
      <c r="J325" s="82" t="s">
        <v>1975</v>
      </c>
      <c r="K325" s="82" t="s">
        <v>117</v>
      </c>
      <c r="L325" s="82" t="s">
        <v>1370</v>
      </c>
      <c r="M325" s="82" t="s">
        <v>2487</v>
      </c>
      <c r="N325" s="82" t="s">
        <v>2137</v>
      </c>
      <c r="O325" s="36" t="s">
        <v>108</v>
      </c>
      <c r="P325" s="18"/>
      <c r="Q325" s="28" t="s">
        <v>108</v>
      </c>
      <c r="R325" s="18"/>
      <c r="S325" s="28" t="s">
        <v>108</v>
      </c>
      <c r="T325" s="18"/>
      <c r="U325" s="28" t="s">
        <v>108</v>
      </c>
      <c r="V325" s="18"/>
      <c r="W325" s="28" t="s">
        <v>108</v>
      </c>
      <c r="X325" s="18"/>
      <c r="Y325" s="28" t="s">
        <v>108</v>
      </c>
      <c r="Z325" s="46" t="str">
        <f t="shared" si="30"/>
        <v>C</v>
      </c>
      <c r="AA325" s="73" t="str">
        <f t="shared" si="29"/>
        <v>UTILIZOU O PDA CORRETAMENTE</v>
      </c>
      <c r="AB325" s="18" t="s">
        <v>108</v>
      </c>
      <c r="AC325" s="38" t="s">
        <v>1</v>
      </c>
      <c r="AD325" s="29" t="str">
        <f t="shared" si="31"/>
        <v>GUARULHOS</v>
      </c>
      <c r="AE325" s="21" t="s">
        <v>16</v>
      </c>
    </row>
    <row r="326" spans="1:31" ht="30" customHeight="1" x14ac:dyDescent="0.2">
      <c r="A326" s="82" t="s">
        <v>101</v>
      </c>
      <c r="B326" s="82">
        <v>2617339576</v>
      </c>
      <c r="C326" s="82" t="s">
        <v>60</v>
      </c>
      <c r="D326" s="82" t="s">
        <v>16</v>
      </c>
      <c r="E326" s="82" t="s">
        <v>102</v>
      </c>
      <c r="F326" s="82" t="s">
        <v>2488</v>
      </c>
      <c r="G326" s="82">
        <v>19</v>
      </c>
      <c r="H326" s="82" t="s">
        <v>1190</v>
      </c>
      <c r="I326" s="82" t="s">
        <v>264</v>
      </c>
      <c r="J326" s="82" t="s">
        <v>1979</v>
      </c>
      <c r="K326" s="82" t="s">
        <v>117</v>
      </c>
      <c r="L326" s="82" t="s">
        <v>1370</v>
      </c>
      <c r="M326" s="82" t="s">
        <v>2489</v>
      </c>
      <c r="N326" s="82" t="s">
        <v>2042</v>
      </c>
      <c r="O326" s="36" t="s">
        <v>108</v>
      </c>
      <c r="P326" s="18"/>
      <c r="Q326" s="28" t="s">
        <v>108</v>
      </c>
      <c r="R326" s="18"/>
      <c r="S326" s="28" t="s">
        <v>108</v>
      </c>
      <c r="T326" s="18"/>
      <c r="U326" s="28" t="s">
        <v>108</v>
      </c>
      <c r="V326" s="18"/>
      <c r="W326" s="28" t="s">
        <v>108</v>
      </c>
      <c r="X326" s="18"/>
      <c r="Y326" s="28" t="s">
        <v>108</v>
      </c>
      <c r="Z326" s="46" t="str">
        <f t="shared" si="30"/>
        <v>C</v>
      </c>
      <c r="AA326" s="73" t="str">
        <f t="shared" si="29"/>
        <v>UTILIZOU O PDA CORRETAMENTE</v>
      </c>
      <c r="AB326" s="18" t="s">
        <v>108</v>
      </c>
      <c r="AC326" s="38" t="s">
        <v>1</v>
      </c>
      <c r="AD326" s="29" t="str">
        <f t="shared" si="31"/>
        <v>GUARULHOS</v>
      </c>
      <c r="AE326" s="21" t="s">
        <v>16</v>
      </c>
    </row>
    <row r="327" spans="1:31" ht="30" customHeight="1" x14ac:dyDescent="0.2">
      <c r="A327" s="82" t="s">
        <v>101</v>
      </c>
      <c r="B327" s="82">
        <v>2617160148</v>
      </c>
      <c r="C327" s="82" t="s">
        <v>67</v>
      </c>
      <c r="D327" s="82" t="s">
        <v>58</v>
      </c>
      <c r="E327" s="82" t="s">
        <v>102</v>
      </c>
      <c r="F327" s="82" t="s">
        <v>655</v>
      </c>
      <c r="G327" s="82">
        <v>4201</v>
      </c>
      <c r="H327" s="82" t="s">
        <v>2490</v>
      </c>
      <c r="I327" s="82" t="s">
        <v>367</v>
      </c>
      <c r="J327" s="82" t="s">
        <v>1984</v>
      </c>
      <c r="K327" s="82" t="s">
        <v>2491</v>
      </c>
      <c r="L327" s="82" t="s">
        <v>1370</v>
      </c>
      <c r="M327" s="82" t="s">
        <v>2492</v>
      </c>
      <c r="N327" s="82" t="s">
        <v>274</v>
      </c>
      <c r="O327" s="85" t="s">
        <v>214</v>
      </c>
      <c r="P327" s="42"/>
      <c r="Q327" s="26" t="s">
        <v>214</v>
      </c>
      <c r="R327" s="10"/>
      <c r="S327" s="26" t="s">
        <v>214</v>
      </c>
      <c r="T327" s="10"/>
      <c r="U327" s="26" t="s">
        <v>214</v>
      </c>
      <c r="V327" s="10"/>
      <c r="W327" s="26" t="s">
        <v>214</v>
      </c>
      <c r="X327" s="10"/>
      <c r="Y327" s="26" t="s">
        <v>114</v>
      </c>
      <c r="Z327" s="46" t="str">
        <f t="shared" si="30"/>
        <v>NC</v>
      </c>
      <c r="AA327" s="73" t="str">
        <f t="shared" si="29"/>
        <v>NÃO UTILIZOU O PDA</v>
      </c>
      <c r="AB327" s="18" t="s">
        <v>108</v>
      </c>
      <c r="AC327" s="38" t="s">
        <v>1</v>
      </c>
      <c r="AD327" s="29" t="str">
        <f t="shared" si="31"/>
        <v>GUARULHOS</v>
      </c>
      <c r="AE327" s="21" t="s">
        <v>16</v>
      </c>
    </row>
    <row r="328" spans="1:31" ht="30" customHeight="1" x14ac:dyDescent="0.2">
      <c r="A328" s="82" t="s">
        <v>101</v>
      </c>
      <c r="B328" s="82">
        <v>2691533662</v>
      </c>
      <c r="C328" s="82" t="s">
        <v>60</v>
      </c>
      <c r="D328" s="82" t="s">
        <v>16</v>
      </c>
      <c r="E328" s="82" t="s">
        <v>102</v>
      </c>
      <c r="F328" s="82" t="s">
        <v>984</v>
      </c>
      <c r="G328" s="82">
        <v>112</v>
      </c>
      <c r="H328" s="82" t="s">
        <v>2493</v>
      </c>
      <c r="I328" s="82" t="s">
        <v>158</v>
      </c>
      <c r="J328" s="82" t="s">
        <v>1979</v>
      </c>
      <c r="K328" s="82"/>
      <c r="L328" s="82" t="s">
        <v>1370</v>
      </c>
      <c r="M328" s="82" t="s">
        <v>2494</v>
      </c>
      <c r="N328" s="82" t="s">
        <v>2000</v>
      </c>
      <c r="O328" s="36" t="s">
        <v>108</v>
      </c>
      <c r="P328" s="18"/>
      <c r="Q328" s="28" t="s">
        <v>108</v>
      </c>
      <c r="R328" s="18"/>
      <c r="S328" s="28" t="s">
        <v>108</v>
      </c>
      <c r="T328" s="18"/>
      <c r="U328" s="28" t="s">
        <v>108</v>
      </c>
      <c r="V328" s="18"/>
      <c r="W328" s="28" t="s">
        <v>108</v>
      </c>
      <c r="X328" s="18"/>
      <c r="Y328" s="28" t="s">
        <v>108</v>
      </c>
      <c r="Z328" s="46" t="str">
        <f t="shared" si="30"/>
        <v>C</v>
      </c>
      <c r="AA328" s="73" t="str">
        <f t="shared" si="29"/>
        <v>UTILIZOU O PDA CORRETAMENTE</v>
      </c>
      <c r="AB328" s="18" t="s">
        <v>108</v>
      </c>
      <c r="AC328" s="38" t="s">
        <v>1</v>
      </c>
      <c r="AD328" s="29" t="str">
        <f t="shared" si="31"/>
        <v>GUARULHOS</v>
      </c>
      <c r="AE328" s="21" t="s">
        <v>16</v>
      </c>
    </row>
    <row r="329" spans="1:31" ht="30" customHeight="1" x14ac:dyDescent="0.2">
      <c r="A329" s="82" t="s">
        <v>101</v>
      </c>
      <c r="B329" s="82">
        <v>2691536561</v>
      </c>
      <c r="C329" s="82" t="s">
        <v>60</v>
      </c>
      <c r="D329" s="82" t="s">
        <v>16</v>
      </c>
      <c r="E329" s="82" t="s">
        <v>102</v>
      </c>
      <c r="F329" s="82" t="s">
        <v>2495</v>
      </c>
      <c r="G329" s="82">
        <v>64</v>
      </c>
      <c r="H329" s="82" t="s">
        <v>2496</v>
      </c>
      <c r="I329" s="82" t="s">
        <v>143</v>
      </c>
      <c r="J329" s="82" t="s">
        <v>1979</v>
      </c>
      <c r="K329" s="82" t="s">
        <v>117</v>
      </c>
      <c r="L329" s="82" t="s">
        <v>1370</v>
      </c>
      <c r="M329" s="82" t="s">
        <v>2497</v>
      </c>
      <c r="N329" s="82" t="s">
        <v>2042</v>
      </c>
      <c r="O329" s="36" t="s">
        <v>108</v>
      </c>
      <c r="P329" s="18"/>
      <c r="Q329" s="28" t="s">
        <v>108</v>
      </c>
      <c r="R329" s="18"/>
      <c r="S329" s="28" t="s">
        <v>108</v>
      </c>
      <c r="T329" s="18"/>
      <c r="U329" s="28" t="s">
        <v>108</v>
      </c>
      <c r="V329" s="18"/>
      <c r="W329" s="28" t="s">
        <v>108</v>
      </c>
      <c r="X329" s="18"/>
      <c r="Y329" s="28" t="s">
        <v>108</v>
      </c>
      <c r="Z329" s="46" t="str">
        <f t="shared" si="30"/>
        <v>C</v>
      </c>
      <c r="AA329" s="73" t="str">
        <f t="shared" si="29"/>
        <v>UTILIZOU O PDA CORRETAMENTE</v>
      </c>
      <c r="AB329" s="18" t="s">
        <v>108</v>
      </c>
      <c r="AC329" s="38" t="s">
        <v>1</v>
      </c>
      <c r="AD329" s="29" t="str">
        <f t="shared" si="31"/>
        <v>GUARULHOS</v>
      </c>
      <c r="AE329" s="21" t="s">
        <v>16</v>
      </c>
    </row>
    <row r="330" spans="1:31" ht="30" customHeight="1" x14ac:dyDescent="0.2">
      <c r="A330" s="82" t="s">
        <v>101</v>
      </c>
      <c r="B330" s="82">
        <v>2617456471</v>
      </c>
      <c r="C330" s="82" t="s">
        <v>60</v>
      </c>
      <c r="D330" s="82" t="s">
        <v>16</v>
      </c>
      <c r="E330" s="82" t="s">
        <v>102</v>
      </c>
      <c r="F330" s="82" t="s">
        <v>2498</v>
      </c>
      <c r="G330" s="82">
        <v>56</v>
      </c>
      <c r="H330" s="82" t="s">
        <v>2499</v>
      </c>
      <c r="I330" s="82" t="s">
        <v>143</v>
      </c>
      <c r="J330" s="82" t="s">
        <v>1979</v>
      </c>
      <c r="K330" s="82"/>
      <c r="L330" s="82" t="s">
        <v>1285</v>
      </c>
      <c r="M330" s="82" t="s">
        <v>2500</v>
      </c>
      <c r="N330" s="82" t="s">
        <v>2042</v>
      </c>
      <c r="O330" s="36" t="s">
        <v>108</v>
      </c>
      <c r="P330" s="18"/>
      <c r="Q330" s="28" t="s">
        <v>108</v>
      </c>
      <c r="R330" s="18"/>
      <c r="S330" s="28" t="s">
        <v>108</v>
      </c>
      <c r="T330" s="18"/>
      <c r="U330" s="28" t="s">
        <v>108</v>
      </c>
      <c r="V330" s="18"/>
      <c r="W330" s="28" t="s">
        <v>108</v>
      </c>
      <c r="X330" s="18"/>
      <c r="Y330" s="28" t="s">
        <v>108</v>
      </c>
      <c r="Z330" s="46" t="str">
        <f t="shared" si="30"/>
        <v>C</v>
      </c>
      <c r="AA330" s="73" t="str">
        <f t="shared" si="29"/>
        <v>UTILIZOU O PDA CORRETAMENTE</v>
      </c>
      <c r="AB330" s="18" t="s">
        <v>108</v>
      </c>
      <c r="AC330" s="38" t="s">
        <v>1</v>
      </c>
      <c r="AD330" s="29" t="str">
        <f t="shared" si="31"/>
        <v>GUARULHOS</v>
      </c>
      <c r="AE330" s="21" t="s">
        <v>16</v>
      </c>
    </row>
    <row r="331" spans="1:31" ht="30" customHeight="1" x14ac:dyDescent="0.2">
      <c r="A331" s="82" t="s">
        <v>101</v>
      </c>
      <c r="B331" s="82">
        <v>2617462956</v>
      </c>
      <c r="C331" s="82" t="s">
        <v>67</v>
      </c>
      <c r="D331" s="82" t="s">
        <v>58</v>
      </c>
      <c r="E331" s="82" t="s">
        <v>102</v>
      </c>
      <c r="F331" s="82" t="s">
        <v>2501</v>
      </c>
      <c r="G331" s="82">
        <v>44</v>
      </c>
      <c r="H331" s="82" t="s">
        <v>117</v>
      </c>
      <c r="I331" s="82" t="s">
        <v>111</v>
      </c>
      <c r="J331" s="82" t="s">
        <v>1984</v>
      </c>
      <c r="K331" s="82" t="s">
        <v>2502</v>
      </c>
      <c r="L331" s="82" t="s">
        <v>1285</v>
      </c>
      <c r="M331" s="82" t="s">
        <v>2503</v>
      </c>
      <c r="N331" s="82" t="s">
        <v>2140</v>
      </c>
      <c r="O331" s="36" t="s">
        <v>108</v>
      </c>
      <c r="P331" s="18"/>
      <c r="Q331" s="28" t="s">
        <v>108</v>
      </c>
      <c r="R331" s="18"/>
      <c r="S331" s="28" t="s">
        <v>108</v>
      </c>
      <c r="T331" s="18"/>
      <c r="U331" s="28" t="s">
        <v>108</v>
      </c>
      <c r="V331" s="18"/>
      <c r="W331" s="28" t="s">
        <v>108</v>
      </c>
      <c r="X331" s="18"/>
      <c r="Y331" s="28" t="s">
        <v>108</v>
      </c>
      <c r="Z331" s="46" t="str">
        <f t="shared" si="30"/>
        <v>C</v>
      </c>
      <c r="AA331" s="73" t="str">
        <f t="shared" ref="AA331:AA349" si="32">IF(AND(Y331="C",Z331="C"),"UTILIZOU O PDA CORRETAMENTE",IF(AND(Y331="C",Z331="NC"),"UTILIZOU O PDA CORRETAMENTE. NÃO HÁ FOTOS DE TODAS AS ETAPAS",IF(AND(Y331="NC",Z331="NC"),"NÃO UTILIZOU O PDA",IF(AND(Y331="NA",Z331="NA"),"NÃO AVALIADO POR FALHA DE SINCRONISMO"))))</f>
        <v>UTILIZOU O PDA CORRETAMENTE</v>
      </c>
      <c r="AB331" s="18" t="s">
        <v>108</v>
      </c>
      <c r="AC331" s="38" t="s">
        <v>1</v>
      </c>
      <c r="AD331" s="29" t="str">
        <f t="shared" si="31"/>
        <v>GUARULHOS</v>
      </c>
      <c r="AE331" s="21" t="s">
        <v>16</v>
      </c>
    </row>
    <row r="332" spans="1:31" ht="30" customHeight="1" x14ac:dyDescent="0.2">
      <c r="A332" s="82" t="s">
        <v>101</v>
      </c>
      <c r="B332" s="82">
        <v>2691579120</v>
      </c>
      <c r="C332" s="82" t="s">
        <v>60</v>
      </c>
      <c r="D332" s="82" t="s">
        <v>16</v>
      </c>
      <c r="E332" s="82" t="s">
        <v>102</v>
      </c>
      <c r="F332" s="82" t="s">
        <v>1511</v>
      </c>
      <c r="G332" s="82">
        <v>879</v>
      </c>
      <c r="H332" s="82" t="s">
        <v>2504</v>
      </c>
      <c r="I332" s="82" t="s">
        <v>247</v>
      </c>
      <c r="J332" s="82" t="s">
        <v>1979</v>
      </c>
      <c r="K332" s="82" t="s">
        <v>2271</v>
      </c>
      <c r="L332" s="82" t="s">
        <v>1285</v>
      </c>
      <c r="M332" s="82" t="s">
        <v>2505</v>
      </c>
      <c r="N332" s="82" t="s">
        <v>2000</v>
      </c>
      <c r="O332" s="85" t="s">
        <v>214</v>
      </c>
      <c r="P332" s="42"/>
      <c r="Q332" s="26" t="s">
        <v>214</v>
      </c>
      <c r="R332" s="10"/>
      <c r="S332" s="26" t="s">
        <v>214</v>
      </c>
      <c r="T332" s="10"/>
      <c r="U332" s="26" t="s">
        <v>214</v>
      </c>
      <c r="V332" s="10"/>
      <c r="W332" s="26" t="s">
        <v>214</v>
      </c>
      <c r="X332" s="10"/>
      <c r="Y332" s="26" t="s">
        <v>114</v>
      </c>
      <c r="Z332" s="46" t="str">
        <f t="shared" ref="Z332:Z349" si="33">IF(AND(O332="",Q332="",S332="",U332="",W332=""),"",IF(OR(AND(O332&lt;&gt;"NA",O332&lt;&gt;"C",O332&lt;&gt;"NC",O332&lt;&gt;"SF",O332&lt;&gt;""),AND(Q332&lt;&gt;"NA",Q332&lt;&gt;"C",Q332&lt;&gt;"NC",Q332&lt;&gt;"SF",Q332&lt;&gt;""),AND(S332&lt;&gt;"NA",S332&lt;&gt;"C",S332&lt;&gt;"NC",S332&lt;&gt;"SF",S332&lt;&gt;""),AND(U332&lt;&gt;"NA",U332&lt;&gt;"C",U332&lt;&gt;"NC",U332&lt;&gt;"SF",U332&lt;&gt;""),AND(W332&lt;&gt;"NA",W332&lt;&gt;"C",W332&lt;&gt;"NC",W332&lt;&gt;"SF",W332&lt;&gt;"")),"FALSO",IF(AND(O332="NA",Q332="NA",S332="NA",U332="NA",W332="NA"),"NA",IF(OR(O332="NC",Q332="NC",S332="NC",U332="NC",W332="NC",O332="SF",Q332="SF",S332="SF",U332="SF",W332="SF"),"NC",IF(OR(O332="C",Q332="C",S332="C",U332="C",W332="C"),"C","")))))</f>
        <v>NC</v>
      </c>
      <c r="AA332" s="73" t="str">
        <f t="shared" si="32"/>
        <v>NÃO UTILIZOU O PDA</v>
      </c>
      <c r="AB332" s="18" t="s">
        <v>108</v>
      </c>
      <c r="AC332" s="38" t="s">
        <v>1</v>
      </c>
      <c r="AD332" s="29" t="str">
        <f t="shared" si="31"/>
        <v>GUARULHOS</v>
      </c>
      <c r="AE332" s="21" t="s">
        <v>16</v>
      </c>
    </row>
    <row r="333" spans="1:31" ht="30" customHeight="1" x14ac:dyDescent="0.2">
      <c r="A333" s="82" t="s">
        <v>101</v>
      </c>
      <c r="B333" s="82">
        <v>2617483025</v>
      </c>
      <c r="C333" s="82" t="s">
        <v>60</v>
      </c>
      <c r="D333" s="82" t="s">
        <v>16</v>
      </c>
      <c r="E333" s="82" t="s">
        <v>102</v>
      </c>
      <c r="F333" s="82" t="s">
        <v>1371</v>
      </c>
      <c r="G333" s="82">
        <v>239</v>
      </c>
      <c r="H333" s="82" t="s">
        <v>321</v>
      </c>
      <c r="I333" s="82" t="s">
        <v>277</v>
      </c>
      <c r="J333" s="82" t="s">
        <v>1979</v>
      </c>
      <c r="K333" s="82"/>
      <c r="L333" s="82" t="s">
        <v>1285</v>
      </c>
      <c r="M333" s="82" t="s">
        <v>2506</v>
      </c>
      <c r="N333" s="82" t="s">
        <v>1986</v>
      </c>
      <c r="O333" s="36" t="s">
        <v>108</v>
      </c>
      <c r="P333" s="18"/>
      <c r="Q333" s="28" t="s">
        <v>108</v>
      </c>
      <c r="R333" s="18"/>
      <c r="S333" s="28" t="s">
        <v>108</v>
      </c>
      <c r="T333" s="18"/>
      <c r="U333" s="28" t="s">
        <v>108</v>
      </c>
      <c r="V333" s="18"/>
      <c r="W333" s="28" t="s">
        <v>108</v>
      </c>
      <c r="X333" s="18"/>
      <c r="Y333" s="28" t="s">
        <v>108</v>
      </c>
      <c r="Z333" s="46" t="str">
        <f t="shared" si="33"/>
        <v>C</v>
      </c>
      <c r="AA333" s="73" t="str">
        <f t="shared" si="32"/>
        <v>UTILIZOU O PDA CORRETAMENTE</v>
      </c>
      <c r="AB333" s="18" t="s">
        <v>108</v>
      </c>
      <c r="AC333" s="38" t="s">
        <v>1</v>
      </c>
      <c r="AD333" s="29" t="str">
        <f t="shared" si="31"/>
        <v>GUARULHOS</v>
      </c>
      <c r="AE333" s="21" t="s">
        <v>16</v>
      </c>
    </row>
    <row r="334" spans="1:31" ht="30" customHeight="1" x14ac:dyDescent="0.2">
      <c r="A334" s="82" t="s">
        <v>101</v>
      </c>
      <c r="B334" s="82">
        <v>2617459993</v>
      </c>
      <c r="C334" s="82" t="s">
        <v>65</v>
      </c>
      <c r="D334" s="82" t="s">
        <v>58</v>
      </c>
      <c r="E334" s="82" t="s">
        <v>102</v>
      </c>
      <c r="F334" s="82" t="s">
        <v>1247</v>
      </c>
      <c r="G334" s="82">
        <v>413</v>
      </c>
      <c r="H334" s="82" t="s">
        <v>2016</v>
      </c>
      <c r="I334" s="82" t="s">
        <v>599</v>
      </c>
      <c r="J334" s="82" t="s">
        <v>1979</v>
      </c>
      <c r="K334" s="82"/>
      <c r="L334" s="82" t="s">
        <v>1285</v>
      </c>
      <c r="M334" s="82" t="s">
        <v>2507</v>
      </c>
      <c r="N334" s="82" t="s">
        <v>131</v>
      </c>
      <c r="O334" s="36" t="s">
        <v>108</v>
      </c>
      <c r="P334" s="18"/>
      <c r="Q334" s="28" t="s">
        <v>108</v>
      </c>
      <c r="R334" s="18"/>
      <c r="S334" s="28" t="s">
        <v>108</v>
      </c>
      <c r="T334" s="18"/>
      <c r="U334" s="28" t="s">
        <v>108</v>
      </c>
      <c r="V334" s="18"/>
      <c r="W334" s="28" t="s">
        <v>108</v>
      </c>
      <c r="X334" s="18"/>
      <c r="Y334" s="28" t="s">
        <v>108</v>
      </c>
      <c r="Z334" s="46" t="str">
        <f t="shared" si="33"/>
        <v>C</v>
      </c>
      <c r="AA334" s="73" t="str">
        <f t="shared" si="32"/>
        <v>UTILIZOU O PDA CORRETAMENTE</v>
      </c>
      <c r="AB334" s="18" t="s">
        <v>108</v>
      </c>
      <c r="AC334" s="38" t="s">
        <v>1</v>
      </c>
      <c r="AD334" s="29" t="str">
        <f t="shared" si="31"/>
        <v>GUARULHOS</v>
      </c>
      <c r="AE334" s="21" t="s">
        <v>16</v>
      </c>
    </row>
    <row r="335" spans="1:31" ht="30" customHeight="1" x14ac:dyDescent="0.2">
      <c r="A335" s="82" t="s">
        <v>101</v>
      </c>
      <c r="B335" s="82">
        <v>2617537448</v>
      </c>
      <c r="C335" s="82" t="s">
        <v>67</v>
      </c>
      <c r="D335" s="82" t="s">
        <v>58</v>
      </c>
      <c r="E335" s="82" t="s">
        <v>102</v>
      </c>
      <c r="F335" s="82" t="s">
        <v>236</v>
      </c>
      <c r="G335" s="82">
        <v>377</v>
      </c>
      <c r="H335" s="82"/>
      <c r="I335" s="82" t="s">
        <v>237</v>
      </c>
      <c r="J335" s="82" t="s">
        <v>1984</v>
      </c>
      <c r="K335" s="82" t="s">
        <v>172</v>
      </c>
      <c r="L335" s="82" t="s">
        <v>1285</v>
      </c>
      <c r="M335" s="82" t="s">
        <v>2508</v>
      </c>
      <c r="N335" s="82" t="s">
        <v>140</v>
      </c>
      <c r="O335" s="36" t="s">
        <v>108</v>
      </c>
      <c r="P335" s="18"/>
      <c r="Q335" s="28" t="s">
        <v>108</v>
      </c>
      <c r="R335" s="18"/>
      <c r="S335" s="28" t="s">
        <v>108</v>
      </c>
      <c r="T335" s="18"/>
      <c r="U335" s="28" t="s">
        <v>108</v>
      </c>
      <c r="V335" s="18"/>
      <c r="W335" s="28" t="s">
        <v>108</v>
      </c>
      <c r="X335" s="18"/>
      <c r="Y335" s="28" t="s">
        <v>108</v>
      </c>
      <c r="Z335" s="46" t="str">
        <f t="shared" si="33"/>
        <v>C</v>
      </c>
      <c r="AA335" s="73" t="str">
        <f t="shared" si="32"/>
        <v>UTILIZOU O PDA CORRETAMENTE</v>
      </c>
      <c r="AB335" s="18" t="s">
        <v>108</v>
      </c>
      <c r="AC335" s="38" t="s">
        <v>1</v>
      </c>
      <c r="AD335" s="29" t="str">
        <f t="shared" si="31"/>
        <v>GUARULHOS</v>
      </c>
      <c r="AE335" s="21" t="s">
        <v>16</v>
      </c>
    </row>
    <row r="336" spans="1:31" ht="30" customHeight="1" x14ac:dyDescent="0.2">
      <c r="A336" s="82" t="s">
        <v>101</v>
      </c>
      <c r="B336" s="82">
        <v>2617121560</v>
      </c>
      <c r="C336" s="82" t="s">
        <v>66</v>
      </c>
      <c r="D336" s="82" t="s">
        <v>58</v>
      </c>
      <c r="E336" s="82" t="s">
        <v>102</v>
      </c>
      <c r="F336" s="82" t="s">
        <v>822</v>
      </c>
      <c r="G336" s="82">
        <v>172</v>
      </c>
      <c r="H336" s="82" t="s">
        <v>260</v>
      </c>
      <c r="I336" s="82" t="s">
        <v>282</v>
      </c>
      <c r="J336" s="82" t="s">
        <v>1989</v>
      </c>
      <c r="K336" s="82" t="s">
        <v>117</v>
      </c>
      <c r="L336" s="82" t="s">
        <v>1426</v>
      </c>
      <c r="M336" s="82" t="s">
        <v>2509</v>
      </c>
      <c r="N336" s="82" t="s">
        <v>119</v>
      </c>
      <c r="O336" s="36" t="s">
        <v>108</v>
      </c>
      <c r="P336" s="18"/>
      <c r="Q336" s="28" t="s">
        <v>108</v>
      </c>
      <c r="R336" s="18"/>
      <c r="S336" s="28" t="s">
        <v>108</v>
      </c>
      <c r="T336" s="18"/>
      <c r="U336" s="28" t="s">
        <v>108</v>
      </c>
      <c r="V336" s="18"/>
      <c r="W336" s="28" t="s">
        <v>108</v>
      </c>
      <c r="X336" s="18"/>
      <c r="Y336" s="28" t="s">
        <v>108</v>
      </c>
      <c r="Z336" s="46" t="str">
        <f t="shared" si="33"/>
        <v>C</v>
      </c>
      <c r="AA336" s="73" t="str">
        <f t="shared" si="32"/>
        <v>UTILIZOU O PDA CORRETAMENTE</v>
      </c>
      <c r="AB336" s="18" t="s">
        <v>108</v>
      </c>
      <c r="AC336" s="38" t="s">
        <v>1</v>
      </c>
      <c r="AD336" s="29" t="str">
        <f t="shared" si="31"/>
        <v>GUARULHOS</v>
      </c>
      <c r="AE336" s="21" t="s">
        <v>16</v>
      </c>
    </row>
    <row r="337" spans="1:31" ht="30" customHeight="1" x14ac:dyDescent="0.2">
      <c r="A337" s="82" t="s">
        <v>101</v>
      </c>
      <c r="B337" s="82">
        <v>2691612333</v>
      </c>
      <c r="C337" s="82" t="s">
        <v>60</v>
      </c>
      <c r="D337" s="82" t="s">
        <v>16</v>
      </c>
      <c r="E337" s="82" t="s">
        <v>102</v>
      </c>
      <c r="F337" s="82" t="s">
        <v>116</v>
      </c>
      <c r="G337" s="82">
        <v>62</v>
      </c>
      <c r="H337" s="82" t="s">
        <v>117</v>
      </c>
      <c r="I337" s="82" t="s">
        <v>118</v>
      </c>
      <c r="J337" s="82" t="s">
        <v>1979</v>
      </c>
      <c r="K337" s="82" t="s">
        <v>117</v>
      </c>
      <c r="L337" s="82" t="s">
        <v>1426</v>
      </c>
      <c r="M337" s="82" t="s">
        <v>2510</v>
      </c>
      <c r="N337" s="82" t="s">
        <v>1980</v>
      </c>
      <c r="O337" s="36" t="s">
        <v>108</v>
      </c>
      <c r="P337" s="18"/>
      <c r="Q337" s="28" t="s">
        <v>108</v>
      </c>
      <c r="R337" s="18"/>
      <c r="S337" s="28" t="s">
        <v>108</v>
      </c>
      <c r="T337" s="18"/>
      <c r="U337" s="28" t="s">
        <v>108</v>
      </c>
      <c r="V337" s="18"/>
      <c r="W337" s="28" t="s">
        <v>108</v>
      </c>
      <c r="X337" s="18"/>
      <c r="Y337" s="28" t="s">
        <v>108</v>
      </c>
      <c r="Z337" s="46" t="str">
        <f t="shared" si="33"/>
        <v>C</v>
      </c>
      <c r="AA337" s="73" t="str">
        <f t="shared" si="32"/>
        <v>UTILIZOU O PDA CORRETAMENTE</v>
      </c>
      <c r="AB337" s="18" t="s">
        <v>108</v>
      </c>
      <c r="AC337" s="38" t="s">
        <v>1</v>
      </c>
      <c r="AD337" s="29" t="str">
        <f t="shared" si="31"/>
        <v>GUARULHOS</v>
      </c>
      <c r="AE337" s="21" t="s">
        <v>16</v>
      </c>
    </row>
    <row r="338" spans="1:31" ht="30" customHeight="1" x14ac:dyDescent="0.2">
      <c r="A338" s="82" t="s">
        <v>101</v>
      </c>
      <c r="B338" s="82">
        <v>2691616979</v>
      </c>
      <c r="C338" s="82" t="s">
        <v>63</v>
      </c>
      <c r="D338" s="82" t="s">
        <v>16</v>
      </c>
      <c r="E338" s="82" t="s">
        <v>102</v>
      </c>
      <c r="F338" s="82" t="s">
        <v>2511</v>
      </c>
      <c r="G338" s="82">
        <v>46</v>
      </c>
      <c r="H338" s="82" t="s">
        <v>2512</v>
      </c>
      <c r="I338" s="82" t="s">
        <v>301</v>
      </c>
      <c r="J338" s="82" t="s">
        <v>1975</v>
      </c>
      <c r="K338" s="82"/>
      <c r="L338" s="82" t="s">
        <v>1426</v>
      </c>
      <c r="M338" s="82" t="s">
        <v>2513</v>
      </c>
      <c r="N338" s="82" t="s">
        <v>767</v>
      </c>
      <c r="O338" s="36" t="s">
        <v>108</v>
      </c>
      <c r="P338" s="18"/>
      <c r="Q338" s="28" t="s">
        <v>108</v>
      </c>
      <c r="R338" s="18"/>
      <c r="S338" s="28" t="s">
        <v>108</v>
      </c>
      <c r="T338" s="18"/>
      <c r="U338" s="28" t="s">
        <v>108</v>
      </c>
      <c r="V338" s="18"/>
      <c r="W338" s="28" t="s">
        <v>108</v>
      </c>
      <c r="X338" s="18"/>
      <c r="Y338" s="28" t="s">
        <v>108</v>
      </c>
      <c r="Z338" s="46" t="str">
        <f t="shared" si="33"/>
        <v>C</v>
      </c>
      <c r="AA338" s="73" t="str">
        <f t="shared" si="32"/>
        <v>UTILIZOU O PDA CORRETAMENTE</v>
      </c>
      <c r="AB338" s="18" t="s">
        <v>108</v>
      </c>
      <c r="AC338" s="38" t="s">
        <v>1</v>
      </c>
      <c r="AD338" s="29" t="str">
        <f t="shared" si="31"/>
        <v>GUARULHOS</v>
      </c>
      <c r="AE338" s="21" t="s">
        <v>16</v>
      </c>
    </row>
    <row r="339" spans="1:31" ht="30" customHeight="1" x14ac:dyDescent="0.2">
      <c r="A339" s="82" t="s">
        <v>101</v>
      </c>
      <c r="B339" s="82">
        <v>2617574447</v>
      </c>
      <c r="C339" s="82" t="s">
        <v>60</v>
      </c>
      <c r="D339" s="82" t="s">
        <v>16</v>
      </c>
      <c r="E339" s="82" t="s">
        <v>102</v>
      </c>
      <c r="F339" s="82" t="s">
        <v>2514</v>
      </c>
      <c r="G339" s="82">
        <v>183</v>
      </c>
      <c r="H339" s="82" t="s">
        <v>2515</v>
      </c>
      <c r="I339" s="82" t="s">
        <v>576</v>
      </c>
      <c r="J339" s="82" t="s">
        <v>1979</v>
      </c>
      <c r="K339" s="82"/>
      <c r="L339" s="82" t="s">
        <v>1426</v>
      </c>
      <c r="M339" s="82" t="s">
        <v>2516</v>
      </c>
      <c r="N339" s="82" t="s">
        <v>2000</v>
      </c>
      <c r="O339" s="36" t="s">
        <v>108</v>
      </c>
      <c r="P339" s="18"/>
      <c r="Q339" s="28" t="s">
        <v>108</v>
      </c>
      <c r="R339" s="18"/>
      <c r="S339" s="28" t="s">
        <v>108</v>
      </c>
      <c r="T339" s="18"/>
      <c r="U339" s="28" t="s">
        <v>108</v>
      </c>
      <c r="V339" s="18"/>
      <c r="W339" s="28" t="s">
        <v>108</v>
      </c>
      <c r="X339" s="18"/>
      <c r="Y339" s="28" t="s">
        <v>108</v>
      </c>
      <c r="Z339" s="46" t="str">
        <f t="shared" si="33"/>
        <v>C</v>
      </c>
      <c r="AA339" s="73" t="str">
        <f t="shared" si="32"/>
        <v>UTILIZOU O PDA CORRETAMENTE</v>
      </c>
      <c r="AB339" s="18" t="s">
        <v>108</v>
      </c>
      <c r="AC339" s="38" t="s">
        <v>1</v>
      </c>
      <c r="AD339" s="29" t="str">
        <f t="shared" si="31"/>
        <v>GUARULHOS</v>
      </c>
      <c r="AE339" s="21" t="s">
        <v>16</v>
      </c>
    </row>
    <row r="340" spans="1:31" ht="30" customHeight="1" x14ac:dyDescent="0.2">
      <c r="A340" s="82" t="s">
        <v>101</v>
      </c>
      <c r="B340" s="82">
        <v>2691647644</v>
      </c>
      <c r="C340" s="82" t="s">
        <v>64</v>
      </c>
      <c r="D340" s="82" t="s">
        <v>16</v>
      </c>
      <c r="E340" s="82" t="s">
        <v>102</v>
      </c>
      <c r="F340" s="82" t="s">
        <v>238</v>
      </c>
      <c r="G340" s="82">
        <v>782</v>
      </c>
      <c r="H340" s="82" t="s">
        <v>2517</v>
      </c>
      <c r="I340" s="82" t="s">
        <v>162</v>
      </c>
      <c r="J340" s="82" t="s">
        <v>1977</v>
      </c>
      <c r="K340" s="82"/>
      <c r="L340" s="82" t="s">
        <v>1426</v>
      </c>
      <c r="M340" s="82" t="s">
        <v>2518</v>
      </c>
      <c r="N340" s="82" t="s">
        <v>767</v>
      </c>
      <c r="O340" s="36" t="s">
        <v>108</v>
      </c>
      <c r="P340" s="18"/>
      <c r="Q340" s="28" t="s">
        <v>108</v>
      </c>
      <c r="R340" s="18"/>
      <c r="S340" s="28" t="s">
        <v>108</v>
      </c>
      <c r="T340" s="18"/>
      <c r="U340" s="28" t="s">
        <v>108</v>
      </c>
      <c r="V340" s="18"/>
      <c r="W340" s="28" t="s">
        <v>108</v>
      </c>
      <c r="X340" s="18"/>
      <c r="Y340" s="28" t="s">
        <v>108</v>
      </c>
      <c r="Z340" s="46" t="str">
        <f t="shared" si="33"/>
        <v>C</v>
      </c>
      <c r="AA340" s="73" t="str">
        <f t="shared" si="32"/>
        <v>UTILIZOU O PDA CORRETAMENTE</v>
      </c>
      <c r="AB340" s="18" t="s">
        <v>108</v>
      </c>
      <c r="AC340" s="38" t="s">
        <v>1</v>
      </c>
      <c r="AD340" s="29" t="str">
        <f t="shared" si="31"/>
        <v>GUARULHOS</v>
      </c>
      <c r="AE340" s="21" t="s">
        <v>16</v>
      </c>
    </row>
    <row r="341" spans="1:31" ht="30" customHeight="1" x14ac:dyDescent="0.2">
      <c r="A341" s="82" t="s">
        <v>101</v>
      </c>
      <c r="B341" s="82">
        <v>2691618444</v>
      </c>
      <c r="C341" s="82" t="s">
        <v>65</v>
      </c>
      <c r="D341" s="82" t="s">
        <v>58</v>
      </c>
      <c r="E341" s="82" t="s">
        <v>102</v>
      </c>
      <c r="F341" s="82" t="s">
        <v>1485</v>
      </c>
      <c r="G341" s="82">
        <v>108</v>
      </c>
      <c r="H341" s="82" t="s">
        <v>1830</v>
      </c>
      <c r="I341" s="82" t="s">
        <v>367</v>
      </c>
      <c r="J341" s="82" t="s">
        <v>1979</v>
      </c>
      <c r="K341" s="82" t="s">
        <v>2203</v>
      </c>
      <c r="L341" s="82" t="s">
        <v>1426</v>
      </c>
      <c r="M341" s="82" t="s">
        <v>2519</v>
      </c>
      <c r="N341" s="82" t="s">
        <v>2000</v>
      </c>
      <c r="O341" s="36" t="s">
        <v>108</v>
      </c>
      <c r="P341" s="18"/>
      <c r="Q341" s="28" t="s">
        <v>108</v>
      </c>
      <c r="R341" s="18"/>
      <c r="S341" s="28" t="s">
        <v>108</v>
      </c>
      <c r="T341" s="18"/>
      <c r="U341" s="28" t="s">
        <v>108</v>
      </c>
      <c r="V341" s="18"/>
      <c r="W341" s="28" t="s">
        <v>108</v>
      </c>
      <c r="X341" s="18"/>
      <c r="Y341" s="28" t="s">
        <v>108</v>
      </c>
      <c r="Z341" s="46" t="str">
        <f t="shared" si="33"/>
        <v>C</v>
      </c>
      <c r="AA341" s="73" t="str">
        <f t="shared" si="32"/>
        <v>UTILIZOU O PDA CORRETAMENTE</v>
      </c>
      <c r="AB341" s="18" t="s">
        <v>108</v>
      </c>
      <c r="AC341" s="38" t="s">
        <v>1</v>
      </c>
      <c r="AD341" s="29" t="str">
        <f t="shared" ref="AD341:AD358" si="34">E341</f>
        <v>GUARULHOS</v>
      </c>
      <c r="AE341" s="21" t="s">
        <v>16</v>
      </c>
    </row>
    <row r="342" spans="1:31" ht="30" customHeight="1" x14ac:dyDescent="0.2">
      <c r="A342" s="94" t="s">
        <v>101</v>
      </c>
      <c r="B342" s="94">
        <v>2691690049</v>
      </c>
      <c r="C342" s="94" t="s">
        <v>60</v>
      </c>
      <c r="D342" s="94" t="s">
        <v>16</v>
      </c>
      <c r="E342" s="94" t="s">
        <v>102</v>
      </c>
      <c r="F342" s="94" t="s">
        <v>156</v>
      </c>
      <c r="G342" s="94">
        <v>453</v>
      </c>
      <c r="H342" s="94" t="s">
        <v>2520</v>
      </c>
      <c r="I342" s="94" t="s">
        <v>158</v>
      </c>
      <c r="J342" s="94" t="s">
        <v>1979</v>
      </c>
      <c r="K342" s="94" t="s">
        <v>117</v>
      </c>
      <c r="L342" s="82" t="s">
        <v>1500</v>
      </c>
      <c r="M342" s="94" t="s">
        <v>2521</v>
      </c>
      <c r="N342" s="94" t="s">
        <v>2000</v>
      </c>
      <c r="O342" s="36" t="s">
        <v>108</v>
      </c>
      <c r="P342" s="18"/>
      <c r="Q342" s="28" t="s">
        <v>108</v>
      </c>
      <c r="R342" s="18"/>
      <c r="S342" s="28" t="s">
        <v>108</v>
      </c>
      <c r="T342" s="18"/>
      <c r="U342" s="28" t="s">
        <v>108</v>
      </c>
      <c r="V342" s="18"/>
      <c r="W342" s="28" t="s">
        <v>108</v>
      </c>
      <c r="X342" s="18"/>
      <c r="Y342" s="28" t="s">
        <v>108</v>
      </c>
      <c r="Z342" s="46" t="str">
        <f t="shared" si="33"/>
        <v>C</v>
      </c>
      <c r="AA342" s="73" t="str">
        <f t="shared" si="32"/>
        <v>UTILIZOU O PDA CORRETAMENTE</v>
      </c>
      <c r="AB342" s="18" t="s">
        <v>108</v>
      </c>
      <c r="AC342" s="38" t="s">
        <v>1</v>
      </c>
      <c r="AD342" s="29" t="str">
        <f t="shared" si="34"/>
        <v>GUARULHOS</v>
      </c>
      <c r="AE342" s="21" t="s">
        <v>16</v>
      </c>
    </row>
    <row r="343" spans="1:31" ht="30" customHeight="1" x14ac:dyDescent="0.2">
      <c r="A343" s="94" t="s">
        <v>101</v>
      </c>
      <c r="B343" s="94">
        <v>2617601434</v>
      </c>
      <c r="C343" s="94" t="s">
        <v>60</v>
      </c>
      <c r="D343" s="94" t="s">
        <v>16</v>
      </c>
      <c r="E343" s="94" t="s">
        <v>102</v>
      </c>
      <c r="F343" s="94" t="s">
        <v>2522</v>
      </c>
      <c r="G343" s="94">
        <v>140</v>
      </c>
      <c r="H343" s="94" t="s">
        <v>2523</v>
      </c>
      <c r="I343" s="94" t="s">
        <v>713</v>
      </c>
      <c r="J343" s="94" t="s">
        <v>1979</v>
      </c>
      <c r="K343" s="94" t="s">
        <v>117</v>
      </c>
      <c r="L343" s="82" t="s">
        <v>1500</v>
      </c>
      <c r="M343" s="94" t="s">
        <v>2524</v>
      </c>
      <c r="N343" s="94" t="s">
        <v>185</v>
      </c>
      <c r="O343" s="36" t="s">
        <v>108</v>
      </c>
      <c r="P343" s="18"/>
      <c r="Q343" s="28" t="s">
        <v>108</v>
      </c>
      <c r="R343" s="18"/>
      <c r="S343" s="28" t="s">
        <v>108</v>
      </c>
      <c r="T343" s="18"/>
      <c r="U343" s="28" t="s">
        <v>108</v>
      </c>
      <c r="V343" s="18"/>
      <c r="W343" s="28" t="s">
        <v>108</v>
      </c>
      <c r="X343" s="18"/>
      <c r="Y343" s="28" t="s">
        <v>108</v>
      </c>
      <c r="Z343" s="46" t="str">
        <f t="shared" si="33"/>
        <v>C</v>
      </c>
      <c r="AA343" s="73" t="str">
        <f t="shared" si="32"/>
        <v>UTILIZOU O PDA CORRETAMENTE</v>
      </c>
      <c r="AB343" s="18" t="s">
        <v>108</v>
      </c>
      <c r="AC343" s="38" t="s">
        <v>1</v>
      </c>
      <c r="AD343" s="29" t="str">
        <f t="shared" si="34"/>
        <v>GUARULHOS</v>
      </c>
      <c r="AE343" s="21" t="s">
        <v>16</v>
      </c>
    </row>
    <row r="344" spans="1:31" ht="30" customHeight="1" x14ac:dyDescent="0.2">
      <c r="A344" s="94" t="s">
        <v>101</v>
      </c>
      <c r="B344" s="94">
        <v>2691730781</v>
      </c>
      <c r="C344" s="94" t="s">
        <v>60</v>
      </c>
      <c r="D344" s="94" t="s">
        <v>16</v>
      </c>
      <c r="E344" s="94" t="s">
        <v>102</v>
      </c>
      <c r="F344" s="94" t="s">
        <v>1763</v>
      </c>
      <c r="G344" s="94">
        <v>1054</v>
      </c>
      <c r="H344" s="94" t="s">
        <v>2525</v>
      </c>
      <c r="I344" s="94" t="s">
        <v>104</v>
      </c>
      <c r="J344" s="94" t="s">
        <v>1979</v>
      </c>
      <c r="K344" s="94"/>
      <c r="L344" s="82" t="s">
        <v>1500</v>
      </c>
      <c r="M344" s="94" t="s">
        <v>2526</v>
      </c>
      <c r="N344" s="94" t="s">
        <v>1980</v>
      </c>
      <c r="O344" s="36" t="s">
        <v>108</v>
      </c>
      <c r="P344" s="18"/>
      <c r="Q344" s="28" t="s">
        <v>108</v>
      </c>
      <c r="R344" s="18"/>
      <c r="S344" s="28" t="s">
        <v>108</v>
      </c>
      <c r="T344" s="18"/>
      <c r="U344" s="28" t="s">
        <v>108</v>
      </c>
      <c r="V344" s="18"/>
      <c r="W344" s="28" t="s">
        <v>108</v>
      </c>
      <c r="X344" s="18"/>
      <c r="Y344" s="28" t="s">
        <v>108</v>
      </c>
      <c r="Z344" s="46" t="str">
        <f t="shared" si="33"/>
        <v>C</v>
      </c>
      <c r="AA344" s="73" t="str">
        <f t="shared" si="32"/>
        <v>UTILIZOU O PDA CORRETAMENTE</v>
      </c>
      <c r="AB344" s="18" t="s">
        <v>108</v>
      </c>
      <c r="AC344" s="38" t="s">
        <v>1</v>
      </c>
      <c r="AD344" s="29" t="str">
        <f t="shared" si="34"/>
        <v>GUARULHOS</v>
      </c>
      <c r="AE344" s="21" t="s">
        <v>16</v>
      </c>
    </row>
    <row r="345" spans="1:31" ht="30" customHeight="1" x14ac:dyDescent="0.2">
      <c r="A345" s="94" t="s">
        <v>101</v>
      </c>
      <c r="B345" s="94">
        <v>2617628204</v>
      </c>
      <c r="C345" s="94" t="s">
        <v>60</v>
      </c>
      <c r="D345" s="94" t="s">
        <v>16</v>
      </c>
      <c r="E345" s="94" t="s">
        <v>102</v>
      </c>
      <c r="F345" s="94" t="s">
        <v>2216</v>
      </c>
      <c r="G345" s="94">
        <v>26</v>
      </c>
      <c r="H345" s="94" t="s">
        <v>117</v>
      </c>
      <c r="I345" s="94" t="s">
        <v>242</v>
      </c>
      <c r="J345" s="94" t="s">
        <v>1979</v>
      </c>
      <c r="K345" s="94" t="s">
        <v>117</v>
      </c>
      <c r="L345" s="82" t="s">
        <v>1500</v>
      </c>
      <c r="M345" s="94" t="s">
        <v>1504</v>
      </c>
      <c r="N345" s="94" t="s">
        <v>1980</v>
      </c>
      <c r="O345" s="36" t="s">
        <v>108</v>
      </c>
      <c r="P345" s="18"/>
      <c r="Q345" s="28" t="s">
        <v>108</v>
      </c>
      <c r="R345" s="18"/>
      <c r="S345" s="28" t="s">
        <v>108</v>
      </c>
      <c r="T345" s="18"/>
      <c r="U345" s="28" t="s">
        <v>108</v>
      </c>
      <c r="V345" s="18"/>
      <c r="W345" s="28" t="s">
        <v>108</v>
      </c>
      <c r="X345" s="18"/>
      <c r="Y345" s="28" t="s">
        <v>108</v>
      </c>
      <c r="Z345" s="46" t="str">
        <f t="shared" si="33"/>
        <v>C</v>
      </c>
      <c r="AA345" s="73" t="str">
        <f t="shared" si="32"/>
        <v>UTILIZOU O PDA CORRETAMENTE</v>
      </c>
      <c r="AB345" s="18" t="s">
        <v>108</v>
      </c>
      <c r="AC345" s="38" t="s">
        <v>1</v>
      </c>
      <c r="AD345" s="29" t="str">
        <f t="shared" si="34"/>
        <v>GUARULHOS</v>
      </c>
      <c r="AE345" s="21" t="s">
        <v>16</v>
      </c>
    </row>
    <row r="346" spans="1:31" ht="30" customHeight="1" x14ac:dyDescent="0.2">
      <c r="A346" s="94" t="s">
        <v>101</v>
      </c>
      <c r="B346" s="94">
        <v>2691748213</v>
      </c>
      <c r="C346" s="94" t="s">
        <v>60</v>
      </c>
      <c r="D346" s="94" t="s">
        <v>16</v>
      </c>
      <c r="E346" s="94" t="s">
        <v>102</v>
      </c>
      <c r="F346" s="94" t="s">
        <v>2527</v>
      </c>
      <c r="G346" s="94">
        <v>42</v>
      </c>
      <c r="H346" s="94" t="s">
        <v>117</v>
      </c>
      <c r="I346" s="94" t="s">
        <v>1679</v>
      </c>
      <c r="J346" s="94" t="s">
        <v>1975</v>
      </c>
      <c r="K346" s="94" t="s">
        <v>117</v>
      </c>
      <c r="L346" s="82" t="s">
        <v>1500</v>
      </c>
      <c r="M346" s="94" t="s">
        <v>2528</v>
      </c>
      <c r="N346" s="94" t="s">
        <v>767</v>
      </c>
      <c r="O346" s="36" t="s">
        <v>108</v>
      </c>
      <c r="P346" s="18"/>
      <c r="Q346" s="28" t="s">
        <v>108</v>
      </c>
      <c r="R346" s="18"/>
      <c r="S346" s="28" t="s">
        <v>108</v>
      </c>
      <c r="T346" s="18"/>
      <c r="U346" s="28" t="s">
        <v>108</v>
      </c>
      <c r="V346" s="18"/>
      <c r="W346" s="28" t="s">
        <v>108</v>
      </c>
      <c r="X346" s="18"/>
      <c r="Y346" s="28" t="s">
        <v>108</v>
      </c>
      <c r="Z346" s="46" t="str">
        <f t="shared" si="33"/>
        <v>C</v>
      </c>
      <c r="AA346" s="73" t="str">
        <f t="shared" si="32"/>
        <v>UTILIZOU O PDA CORRETAMENTE</v>
      </c>
      <c r="AB346" s="18" t="s">
        <v>108</v>
      </c>
      <c r="AC346" s="38" t="s">
        <v>1</v>
      </c>
      <c r="AD346" s="29" t="str">
        <f t="shared" si="34"/>
        <v>GUARULHOS</v>
      </c>
      <c r="AE346" s="21" t="s">
        <v>16</v>
      </c>
    </row>
    <row r="347" spans="1:31" ht="30" customHeight="1" x14ac:dyDescent="0.2">
      <c r="A347" s="94" t="s">
        <v>101</v>
      </c>
      <c r="B347" s="94">
        <v>2691731379</v>
      </c>
      <c r="C347" s="94" t="s">
        <v>65</v>
      </c>
      <c r="D347" s="94" t="s">
        <v>58</v>
      </c>
      <c r="E347" s="94" t="s">
        <v>102</v>
      </c>
      <c r="F347" s="94" t="s">
        <v>931</v>
      </c>
      <c r="G347" s="94">
        <v>317</v>
      </c>
      <c r="H347" s="94" t="s">
        <v>174</v>
      </c>
      <c r="I347" s="94" t="s">
        <v>308</v>
      </c>
      <c r="J347" s="94" t="s">
        <v>1979</v>
      </c>
      <c r="K347" s="94" t="s">
        <v>2529</v>
      </c>
      <c r="L347" s="82" t="s">
        <v>1500</v>
      </c>
      <c r="M347" s="94" t="s">
        <v>2530</v>
      </c>
      <c r="N347" s="94" t="s">
        <v>597</v>
      </c>
      <c r="O347" s="36" t="s">
        <v>108</v>
      </c>
      <c r="P347" s="18"/>
      <c r="Q347" s="28" t="s">
        <v>108</v>
      </c>
      <c r="R347" s="18"/>
      <c r="S347" s="28" t="s">
        <v>108</v>
      </c>
      <c r="T347" s="18"/>
      <c r="U347" s="28" t="s">
        <v>108</v>
      </c>
      <c r="V347" s="18"/>
      <c r="W347" s="28" t="s">
        <v>108</v>
      </c>
      <c r="X347" s="18"/>
      <c r="Y347" s="28" t="s">
        <v>108</v>
      </c>
      <c r="Z347" s="46" t="str">
        <f t="shared" si="33"/>
        <v>C</v>
      </c>
      <c r="AA347" s="73" t="str">
        <f t="shared" si="32"/>
        <v>UTILIZOU O PDA CORRETAMENTE</v>
      </c>
      <c r="AB347" s="18" t="s">
        <v>108</v>
      </c>
      <c r="AC347" s="38" t="s">
        <v>1</v>
      </c>
      <c r="AD347" s="29" t="str">
        <f t="shared" si="34"/>
        <v>GUARULHOS</v>
      </c>
      <c r="AE347" s="21" t="s">
        <v>16</v>
      </c>
    </row>
    <row r="348" spans="1:31" ht="30" customHeight="1" x14ac:dyDescent="0.2">
      <c r="A348" s="94" t="s">
        <v>101</v>
      </c>
      <c r="B348" s="94">
        <v>2691675149</v>
      </c>
      <c r="C348" s="94" t="s">
        <v>65</v>
      </c>
      <c r="D348" s="94" t="s">
        <v>58</v>
      </c>
      <c r="E348" s="94" t="s">
        <v>102</v>
      </c>
      <c r="F348" s="94" t="s">
        <v>2531</v>
      </c>
      <c r="G348" s="94">
        <v>75</v>
      </c>
      <c r="H348" s="94" t="s">
        <v>117</v>
      </c>
      <c r="I348" s="94" t="s">
        <v>2532</v>
      </c>
      <c r="J348" s="94" t="s">
        <v>1979</v>
      </c>
      <c r="K348" s="94" t="s">
        <v>117</v>
      </c>
      <c r="L348" s="82" t="s">
        <v>1500</v>
      </c>
      <c r="M348" s="94" t="s">
        <v>2533</v>
      </c>
      <c r="N348" s="94" t="s">
        <v>185</v>
      </c>
      <c r="O348" s="36" t="s">
        <v>108</v>
      </c>
      <c r="P348" s="18"/>
      <c r="Q348" s="28" t="s">
        <v>108</v>
      </c>
      <c r="R348" s="18"/>
      <c r="S348" s="28" t="s">
        <v>108</v>
      </c>
      <c r="T348" s="18"/>
      <c r="U348" s="28" t="s">
        <v>108</v>
      </c>
      <c r="V348" s="18"/>
      <c r="W348" s="28" t="s">
        <v>108</v>
      </c>
      <c r="X348" s="18"/>
      <c r="Y348" s="28" t="s">
        <v>108</v>
      </c>
      <c r="Z348" s="46" t="str">
        <f t="shared" si="33"/>
        <v>C</v>
      </c>
      <c r="AA348" s="73" t="str">
        <f t="shared" si="32"/>
        <v>UTILIZOU O PDA CORRETAMENTE</v>
      </c>
      <c r="AB348" s="18" t="s">
        <v>108</v>
      </c>
      <c r="AC348" s="38" t="s">
        <v>1</v>
      </c>
      <c r="AD348" s="29" t="str">
        <f t="shared" si="34"/>
        <v>GUARULHOS</v>
      </c>
      <c r="AE348" s="21" t="s">
        <v>16</v>
      </c>
    </row>
    <row r="349" spans="1:31" ht="30" customHeight="1" x14ac:dyDescent="0.2">
      <c r="A349" s="94" t="s">
        <v>101</v>
      </c>
      <c r="B349" s="94">
        <v>2691813366</v>
      </c>
      <c r="C349" s="94" t="s">
        <v>60</v>
      </c>
      <c r="D349" s="94" t="s">
        <v>16</v>
      </c>
      <c r="E349" s="94" t="s">
        <v>102</v>
      </c>
      <c r="F349" s="94" t="s">
        <v>2534</v>
      </c>
      <c r="G349" s="94">
        <v>54</v>
      </c>
      <c r="H349" s="94" t="s">
        <v>2535</v>
      </c>
      <c r="I349" s="94" t="s">
        <v>575</v>
      </c>
      <c r="J349" s="94" t="s">
        <v>1979</v>
      </c>
      <c r="K349" s="94" t="s">
        <v>117</v>
      </c>
      <c r="L349" s="82" t="s">
        <v>1560</v>
      </c>
      <c r="M349" s="94" t="s">
        <v>2536</v>
      </c>
      <c r="N349" s="94" t="s">
        <v>2000</v>
      </c>
      <c r="O349" s="36" t="s">
        <v>108</v>
      </c>
      <c r="P349" s="18"/>
      <c r="Q349" s="28" t="s">
        <v>108</v>
      </c>
      <c r="R349" s="18"/>
      <c r="S349" s="28" t="s">
        <v>108</v>
      </c>
      <c r="T349" s="18"/>
      <c r="U349" s="28" t="s">
        <v>108</v>
      </c>
      <c r="V349" s="18"/>
      <c r="W349" s="28" t="s">
        <v>108</v>
      </c>
      <c r="X349" s="18"/>
      <c r="Y349" s="28" t="s">
        <v>108</v>
      </c>
      <c r="Z349" s="46" t="str">
        <f t="shared" si="33"/>
        <v>C</v>
      </c>
      <c r="AA349" s="73" t="str">
        <f t="shared" si="32"/>
        <v>UTILIZOU O PDA CORRETAMENTE</v>
      </c>
      <c r="AB349" s="18" t="s">
        <v>108</v>
      </c>
      <c r="AC349" s="38" t="s">
        <v>1</v>
      </c>
      <c r="AD349" s="29" t="str">
        <f t="shared" si="34"/>
        <v>GUARULHOS</v>
      </c>
      <c r="AE349" s="21" t="s">
        <v>16</v>
      </c>
    </row>
    <row r="350" spans="1:31" ht="30" customHeight="1" x14ac:dyDescent="0.2">
      <c r="A350" s="94" t="s">
        <v>101</v>
      </c>
      <c r="B350" s="94">
        <v>2691832324</v>
      </c>
      <c r="C350" s="94" t="s">
        <v>64</v>
      </c>
      <c r="D350" s="94" t="s">
        <v>16</v>
      </c>
      <c r="E350" s="94" t="s">
        <v>102</v>
      </c>
      <c r="F350" s="94" t="s">
        <v>630</v>
      </c>
      <c r="G350" s="94">
        <v>1130</v>
      </c>
      <c r="H350" s="94" t="s">
        <v>117</v>
      </c>
      <c r="I350" s="94" t="s">
        <v>301</v>
      </c>
      <c r="J350" s="94" t="s">
        <v>1975</v>
      </c>
      <c r="K350" s="94" t="s">
        <v>117</v>
      </c>
      <c r="L350" s="82" t="s">
        <v>1560</v>
      </c>
      <c r="M350" s="94" t="s">
        <v>2537</v>
      </c>
      <c r="N350" s="94" t="s">
        <v>767</v>
      </c>
      <c r="O350" s="36" t="s">
        <v>108</v>
      </c>
      <c r="P350" s="18"/>
      <c r="Q350" s="28" t="s">
        <v>108</v>
      </c>
      <c r="R350" s="18"/>
      <c r="S350" s="28" t="s">
        <v>108</v>
      </c>
      <c r="T350" s="18"/>
      <c r="U350" s="28" t="s">
        <v>108</v>
      </c>
      <c r="V350" s="18"/>
      <c r="W350" s="28" t="s">
        <v>108</v>
      </c>
      <c r="X350" s="18"/>
      <c r="Y350" s="28" t="s">
        <v>108</v>
      </c>
      <c r="Z350" s="46" t="str">
        <f t="shared" ref="Z350:Z367" si="35">IF(AND(O350="",Q350="",S350="",U350="",W350=""),"",IF(OR(AND(O350&lt;&gt;"NA",O350&lt;&gt;"C",O350&lt;&gt;"NC",O350&lt;&gt;"SF",O350&lt;&gt;""),AND(Q350&lt;&gt;"NA",Q350&lt;&gt;"C",Q350&lt;&gt;"NC",Q350&lt;&gt;"SF",Q350&lt;&gt;""),AND(S350&lt;&gt;"NA",S350&lt;&gt;"C",S350&lt;&gt;"NC",S350&lt;&gt;"SF",S350&lt;&gt;""),AND(U350&lt;&gt;"NA",U350&lt;&gt;"C",U350&lt;&gt;"NC",U350&lt;&gt;"SF",U350&lt;&gt;""),AND(W350&lt;&gt;"NA",W350&lt;&gt;"C",W350&lt;&gt;"NC",W350&lt;&gt;"SF",W350&lt;&gt;"")),"FALSO",IF(AND(O350="NA",Q350="NA",S350="NA",U350="NA",W350="NA"),"NA",IF(OR(O350="NC",Q350="NC",S350="NC",U350="NC",W350="NC",O350="SF",Q350="SF",S350="SF",U350="SF",W350="SF"),"NC",IF(OR(O350="C",Q350="C",S350="C",U350="C",W350="C"),"C","")))))</f>
        <v>C</v>
      </c>
      <c r="AA350" s="73" t="str">
        <f t="shared" ref="AA350:AA367" si="36">IF(AND(Y350="C",Z350="C"),"UTILIZOU O PDA CORRETAMENTE",IF(AND(Y350="C",Z350="NC"),"UTILIZOU O PDA CORRETAMENTE. NÃO HÁ FOTOS DE TODAS AS ETAPAS",IF(AND(Y350="NC",Z350="NC"),"NÃO UTILIZOU O PDA",IF(AND(Y350="NA",Z350="NA"),"NÃO AVALIADO POR FALHA DE SINCRONISMO"))))</f>
        <v>UTILIZOU O PDA CORRETAMENTE</v>
      </c>
      <c r="AB350" s="18" t="s">
        <v>108</v>
      </c>
      <c r="AC350" s="38" t="s">
        <v>1</v>
      </c>
      <c r="AD350" s="29" t="str">
        <f t="shared" si="34"/>
        <v>GUARULHOS</v>
      </c>
      <c r="AE350" s="21" t="s">
        <v>16</v>
      </c>
    </row>
    <row r="351" spans="1:31" ht="30" customHeight="1" x14ac:dyDescent="0.2">
      <c r="A351" s="94" t="s">
        <v>101</v>
      </c>
      <c r="B351" s="94">
        <v>2691772917</v>
      </c>
      <c r="C351" s="94" t="s">
        <v>60</v>
      </c>
      <c r="D351" s="94" t="s">
        <v>16</v>
      </c>
      <c r="E351" s="94" t="s">
        <v>102</v>
      </c>
      <c r="F351" s="94" t="s">
        <v>1453</v>
      </c>
      <c r="G351" s="94">
        <v>121</v>
      </c>
      <c r="H351" s="94" t="s">
        <v>1454</v>
      </c>
      <c r="I351" s="94" t="s">
        <v>688</v>
      </c>
      <c r="J351" s="94" t="s">
        <v>1979</v>
      </c>
      <c r="K351" s="94"/>
      <c r="L351" s="82" t="s">
        <v>1560</v>
      </c>
      <c r="M351" s="94" t="s">
        <v>2538</v>
      </c>
      <c r="N351" s="94" t="s">
        <v>1980</v>
      </c>
      <c r="O351" s="36" t="s">
        <v>108</v>
      </c>
      <c r="P351" s="18"/>
      <c r="Q351" s="28" t="s">
        <v>108</v>
      </c>
      <c r="R351" s="18"/>
      <c r="S351" s="28" t="s">
        <v>108</v>
      </c>
      <c r="T351" s="18"/>
      <c r="U351" s="28" t="s">
        <v>108</v>
      </c>
      <c r="V351" s="18"/>
      <c r="W351" s="28" t="s">
        <v>108</v>
      </c>
      <c r="X351" s="18"/>
      <c r="Y351" s="28" t="s">
        <v>108</v>
      </c>
      <c r="Z351" s="46" t="str">
        <f t="shared" si="35"/>
        <v>C</v>
      </c>
      <c r="AA351" s="73" t="str">
        <f t="shared" si="36"/>
        <v>UTILIZOU O PDA CORRETAMENTE</v>
      </c>
      <c r="AB351" s="18" t="s">
        <v>108</v>
      </c>
      <c r="AC351" s="38" t="s">
        <v>1</v>
      </c>
      <c r="AD351" s="29" t="str">
        <f t="shared" si="34"/>
        <v>GUARULHOS</v>
      </c>
      <c r="AE351" s="21" t="s">
        <v>16</v>
      </c>
    </row>
    <row r="352" spans="1:31" ht="30" customHeight="1" x14ac:dyDescent="0.2">
      <c r="A352" s="94" t="s">
        <v>101</v>
      </c>
      <c r="B352" s="94">
        <v>2691765442</v>
      </c>
      <c r="C352" s="94" t="s">
        <v>60</v>
      </c>
      <c r="D352" s="94" t="s">
        <v>16</v>
      </c>
      <c r="E352" s="94" t="s">
        <v>102</v>
      </c>
      <c r="F352" s="94" t="s">
        <v>2539</v>
      </c>
      <c r="G352" s="94">
        <v>895</v>
      </c>
      <c r="H352" s="94" t="s">
        <v>241</v>
      </c>
      <c r="I352" s="94" t="s">
        <v>613</v>
      </c>
      <c r="J352" s="94" t="s">
        <v>1979</v>
      </c>
      <c r="K352" s="94" t="s">
        <v>2540</v>
      </c>
      <c r="L352" s="82" t="s">
        <v>1560</v>
      </c>
      <c r="M352" s="94" t="s">
        <v>2541</v>
      </c>
      <c r="N352" s="94" t="s">
        <v>1980</v>
      </c>
      <c r="O352" s="36" t="s">
        <v>108</v>
      </c>
      <c r="P352" s="18"/>
      <c r="Q352" s="28" t="s">
        <v>108</v>
      </c>
      <c r="R352" s="18"/>
      <c r="S352" s="28" t="s">
        <v>108</v>
      </c>
      <c r="T352" s="18"/>
      <c r="U352" s="28" t="s">
        <v>108</v>
      </c>
      <c r="V352" s="18"/>
      <c r="W352" s="28" t="s">
        <v>108</v>
      </c>
      <c r="X352" s="18"/>
      <c r="Y352" s="28" t="s">
        <v>108</v>
      </c>
      <c r="Z352" s="46" t="str">
        <f t="shared" si="35"/>
        <v>C</v>
      </c>
      <c r="AA352" s="73" t="str">
        <f t="shared" si="36"/>
        <v>UTILIZOU O PDA CORRETAMENTE</v>
      </c>
      <c r="AB352" s="18" t="s">
        <v>108</v>
      </c>
      <c r="AC352" s="38" t="s">
        <v>1</v>
      </c>
      <c r="AD352" s="29" t="str">
        <f t="shared" si="34"/>
        <v>GUARULHOS</v>
      </c>
      <c r="AE352" s="21" t="s">
        <v>16</v>
      </c>
    </row>
    <row r="353" spans="1:31" ht="30" customHeight="1" x14ac:dyDescent="0.2">
      <c r="A353" s="94" t="s">
        <v>101</v>
      </c>
      <c r="B353" s="94">
        <v>2691820193</v>
      </c>
      <c r="C353" s="94" t="s">
        <v>60</v>
      </c>
      <c r="D353" s="94" t="s">
        <v>16</v>
      </c>
      <c r="E353" s="94" t="s">
        <v>102</v>
      </c>
      <c r="F353" s="94" t="s">
        <v>202</v>
      </c>
      <c r="G353" s="94">
        <v>175</v>
      </c>
      <c r="H353" s="94" t="s">
        <v>138</v>
      </c>
      <c r="I353" s="94" t="s">
        <v>204</v>
      </c>
      <c r="J353" s="94" t="s">
        <v>1979</v>
      </c>
      <c r="K353" s="94"/>
      <c r="L353" s="82" t="s">
        <v>1560</v>
      </c>
      <c r="M353" s="94" t="s">
        <v>2542</v>
      </c>
      <c r="N353" s="94" t="s">
        <v>1980</v>
      </c>
      <c r="O353" s="36" t="s">
        <v>108</v>
      </c>
      <c r="P353" s="18"/>
      <c r="Q353" s="28" t="s">
        <v>108</v>
      </c>
      <c r="R353" s="18"/>
      <c r="S353" s="28" t="s">
        <v>108</v>
      </c>
      <c r="T353" s="18"/>
      <c r="U353" s="28" t="s">
        <v>108</v>
      </c>
      <c r="V353" s="18"/>
      <c r="W353" s="28" t="s">
        <v>108</v>
      </c>
      <c r="X353" s="18"/>
      <c r="Y353" s="28" t="s">
        <v>108</v>
      </c>
      <c r="Z353" s="46" t="str">
        <f t="shared" si="35"/>
        <v>C</v>
      </c>
      <c r="AA353" s="73" t="str">
        <f t="shared" si="36"/>
        <v>UTILIZOU O PDA CORRETAMENTE</v>
      </c>
      <c r="AB353" s="18" t="s">
        <v>108</v>
      </c>
      <c r="AC353" s="38" t="s">
        <v>1</v>
      </c>
      <c r="AD353" s="29" t="str">
        <f t="shared" si="34"/>
        <v>GUARULHOS</v>
      </c>
      <c r="AE353" s="21" t="s">
        <v>16</v>
      </c>
    </row>
    <row r="354" spans="1:31" ht="30" customHeight="1" x14ac:dyDescent="0.2">
      <c r="A354" s="94" t="s">
        <v>101</v>
      </c>
      <c r="B354" s="94">
        <v>2617335352</v>
      </c>
      <c r="C354" s="94" t="s">
        <v>67</v>
      </c>
      <c r="D354" s="94" t="s">
        <v>58</v>
      </c>
      <c r="E354" s="94" t="s">
        <v>102</v>
      </c>
      <c r="F354" s="94" t="s">
        <v>276</v>
      </c>
      <c r="G354" s="94">
        <v>420</v>
      </c>
      <c r="H354" s="94" t="s">
        <v>379</v>
      </c>
      <c r="I354" s="94" t="s">
        <v>277</v>
      </c>
      <c r="J354" s="94" t="s">
        <v>1984</v>
      </c>
      <c r="K354" s="94" t="s">
        <v>2543</v>
      </c>
      <c r="L354" s="82" t="s">
        <v>1560</v>
      </c>
      <c r="M354" s="94" t="s">
        <v>2544</v>
      </c>
      <c r="N354" s="94" t="s">
        <v>119</v>
      </c>
      <c r="O354" s="36" t="s">
        <v>108</v>
      </c>
      <c r="P354" s="18"/>
      <c r="Q354" s="28" t="s">
        <v>108</v>
      </c>
      <c r="R354" s="18"/>
      <c r="S354" s="28" t="s">
        <v>108</v>
      </c>
      <c r="T354" s="18"/>
      <c r="U354" s="28" t="s">
        <v>108</v>
      </c>
      <c r="V354" s="18"/>
      <c r="W354" s="28" t="s">
        <v>108</v>
      </c>
      <c r="X354" s="18"/>
      <c r="Y354" s="28" t="s">
        <v>108</v>
      </c>
      <c r="Z354" s="46" t="str">
        <f t="shared" si="35"/>
        <v>C</v>
      </c>
      <c r="AA354" s="73" t="str">
        <f t="shared" si="36"/>
        <v>UTILIZOU O PDA CORRETAMENTE</v>
      </c>
      <c r="AB354" s="18" t="s">
        <v>108</v>
      </c>
      <c r="AC354" s="38" t="s">
        <v>1</v>
      </c>
      <c r="AD354" s="29" t="str">
        <f t="shared" si="34"/>
        <v>GUARULHOS</v>
      </c>
      <c r="AE354" s="21" t="s">
        <v>16</v>
      </c>
    </row>
    <row r="355" spans="1:31" ht="30" customHeight="1" x14ac:dyDescent="0.2">
      <c r="A355" s="94" t="s">
        <v>101</v>
      </c>
      <c r="B355" s="94">
        <v>2691872848</v>
      </c>
      <c r="C355" s="94" t="s">
        <v>60</v>
      </c>
      <c r="D355" s="94" t="s">
        <v>16</v>
      </c>
      <c r="E355" s="94" t="s">
        <v>102</v>
      </c>
      <c r="F355" s="94" t="s">
        <v>2546</v>
      </c>
      <c r="G355" s="94">
        <v>394</v>
      </c>
      <c r="H355" s="94" t="s">
        <v>2547</v>
      </c>
      <c r="I355" s="94" t="s">
        <v>340</v>
      </c>
      <c r="J355" s="94" t="s">
        <v>1975</v>
      </c>
      <c r="K355" s="94" t="s">
        <v>117</v>
      </c>
      <c r="L355" s="82" t="s">
        <v>1560</v>
      </c>
      <c r="M355" s="94" t="s">
        <v>2548</v>
      </c>
      <c r="N355" s="94" t="s">
        <v>767</v>
      </c>
      <c r="O355" s="36" t="s">
        <v>108</v>
      </c>
      <c r="P355" s="18"/>
      <c r="Q355" s="28" t="s">
        <v>108</v>
      </c>
      <c r="R355" s="18"/>
      <c r="S355" s="28" t="s">
        <v>108</v>
      </c>
      <c r="T355" s="18"/>
      <c r="U355" s="28" t="s">
        <v>108</v>
      </c>
      <c r="V355" s="18"/>
      <c r="W355" s="28" t="s">
        <v>108</v>
      </c>
      <c r="X355" s="18"/>
      <c r="Y355" s="28" t="s">
        <v>108</v>
      </c>
      <c r="Z355" s="46" t="str">
        <f t="shared" si="35"/>
        <v>C</v>
      </c>
      <c r="AA355" s="73" t="str">
        <f t="shared" si="36"/>
        <v>UTILIZOU O PDA CORRETAMENTE</v>
      </c>
      <c r="AB355" s="18" t="s">
        <v>108</v>
      </c>
      <c r="AC355" s="38" t="s">
        <v>1</v>
      </c>
      <c r="AD355" s="29" t="str">
        <f t="shared" si="34"/>
        <v>GUARULHOS</v>
      </c>
      <c r="AE355" s="21" t="s">
        <v>16</v>
      </c>
    </row>
    <row r="356" spans="1:31" ht="30" customHeight="1" x14ac:dyDescent="0.2">
      <c r="A356" s="94" t="s">
        <v>101</v>
      </c>
      <c r="B356" s="94">
        <v>2691871507</v>
      </c>
      <c r="C356" s="94" t="s">
        <v>60</v>
      </c>
      <c r="D356" s="94" t="s">
        <v>16</v>
      </c>
      <c r="E356" s="94" t="s">
        <v>102</v>
      </c>
      <c r="F356" s="94" t="s">
        <v>2549</v>
      </c>
      <c r="G356" s="94">
        <v>41</v>
      </c>
      <c r="H356" s="94" t="s">
        <v>2550</v>
      </c>
      <c r="I356" s="94" t="s">
        <v>220</v>
      </c>
      <c r="J356" s="94" t="s">
        <v>1979</v>
      </c>
      <c r="K356" s="94"/>
      <c r="L356" s="82" t="s">
        <v>1560</v>
      </c>
      <c r="M356" s="94" t="s">
        <v>2551</v>
      </c>
      <c r="N356" s="94" t="s">
        <v>1980</v>
      </c>
      <c r="O356" s="36" t="s">
        <v>108</v>
      </c>
      <c r="P356" s="18"/>
      <c r="Q356" s="28" t="s">
        <v>108</v>
      </c>
      <c r="R356" s="18"/>
      <c r="S356" s="28" t="s">
        <v>108</v>
      </c>
      <c r="T356" s="18"/>
      <c r="U356" s="28" t="s">
        <v>108</v>
      </c>
      <c r="V356" s="18"/>
      <c r="W356" s="28" t="s">
        <v>108</v>
      </c>
      <c r="X356" s="18"/>
      <c r="Y356" s="28" t="s">
        <v>108</v>
      </c>
      <c r="Z356" s="46" t="str">
        <f t="shared" si="35"/>
        <v>C</v>
      </c>
      <c r="AA356" s="73" t="str">
        <f t="shared" si="36"/>
        <v>UTILIZOU O PDA CORRETAMENTE</v>
      </c>
      <c r="AB356" s="18" t="s">
        <v>108</v>
      </c>
      <c r="AC356" s="38" t="s">
        <v>1</v>
      </c>
      <c r="AD356" s="29" t="str">
        <f t="shared" si="34"/>
        <v>GUARULHOS</v>
      </c>
      <c r="AE356" s="21" t="s">
        <v>16</v>
      </c>
    </row>
    <row r="357" spans="1:31" ht="30" customHeight="1" x14ac:dyDescent="0.2">
      <c r="A357" s="94" t="s">
        <v>101</v>
      </c>
      <c r="B357" s="94">
        <v>2617966737</v>
      </c>
      <c r="C357" s="94" t="s">
        <v>60</v>
      </c>
      <c r="D357" s="94" t="s">
        <v>16</v>
      </c>
      <c r="E357" s="94" t="s">
        <v>102</v>
      </c>
      <c r="F357" s="94" t="s">
        <v>641</v>
      </c>
      <c r="G357" s="94">
        <v>491</v>
      </c>
      <c r="H357" s="94" t="s">
        <v>2552</v>
      </c>
      <c r="I357" s="94" t="s">
        <v>713</v>
      </c>
      <c r="J357" s="94" t="s">
        <v>1979</v>
      </c>
      <c r="K357" s="94"/>
      <c r="L357" s="82" t="s">
        <v>1560</v>
      </c>
      <c r="M357" s="94" t="s">
        <v>2553</v>
      </c>
      <c r="N357" s="94" t="s">
        <v>185</v>
      </c>
      <c r="O357" s="36" t="s">
        <v>108</v>
      </c>
      <c r="P357" s="18"/>
      <c r="Q357" s="28" t="s">
        <v>108</v>
      </c>
      <c r="R357" s="18"/>
      <c r="S357" s="28" t="s">
        <v>108</v>
      </c>
      <c r="T357" s="18"/>
      <c r="U357" s="28" t="s">
        <v>108</v>
      </c>
      <c r="V357" s="18"/>
      <c r="W357" s="28" t="s">
        <v>108</v>
      </c>
      <c r="X357" s="18"/>
      <c r="Y357" s="28" t="s">
        <v>108</v>
      </c>
      <c r="Z357" s="46" t="str">
        <f t="shared" si="35"/>
        <v>C</v>
      </c>
      <c r="AA357" s="73" t="str">
        <f t="shared" si="36"/>
        <v>UTILIZOU O PDA CORRETAMENTE</v>
      </c>
      <c r="AB357" s="18" t="s">
        <v>108</v>
      </c>
      <c r="AC357" s="38" t="s">
        <v>1</v>
      </c>
      <c r="AD357" s="29" t="str">
        <f t="shared" si="34"/>
        <v>GUARULHOS</v>
      </c>
      <c r="AE357" s="21" t="s">
        <v>16</v>
      </c>
    </row>
    <row r="358" spans="1:31" ht="30" customHeight="1" x14ac:dyDescent="0.2">
      <c r="A358" s="94" t="s">
        <v>101</v>
      </c>
      <c r="B358" s="94">
        <v>2691838088</v>
      </c>
      <c r="C358" s="94" t="s">
        <v>65</v>
      </c>
      <c r="D358" s="94" t="s">
        <v>58</v>
      </c>
      <c r="E358" s="94" t="s">
        <v>102</v>
      </c>
      <c r="F358" s="94" t="s">
        <v>2555</v>
      </c>
      <c r="G358" s="94">
        <v>237</v>
      </c>
      <c r="H358" s="94" t="s">
        <v>2016</v>
      </c>
      <c r="I358" s="94" t="s">
        <v>2556</v>
      </c>
      <c r="J358" s="94" t="s">
        <v>1979</v>
      </c>
      <c r="K358" s="94" t="s">
        <v>2554</v>
      </c>
      <c r="L358" s="82" t="s">
        <v>1560</v>
      </c>
      <c r="M358" s="94" t="s">
        <v>2557</v>
      </c>
      <c r="N358" s="94" t="s">
        <v>1993</v>
      </c>
      <c r="O358" s="36" t="s">
        <v>108</v>
      </c>
      <c r="P358" s="18"/>
      <c r="Q358" s="28" t="s">
        <v>108</v>
      </c>
      <c r="R358" s="18"/>
      <c r="S358" s="28" t="s">
        <v>108</v>
      </c>
      <c r="T358" s="18"/>
      <c r="U358" s="28" t="s">
        <v>108</v>
      </c>
      <c r="V358" s="18"/>
      <c r="W358" s="28" t="s">
        <v>108</v>
      </c>
      <c r="X358" s="18"/>
      <c r="Y358" s="28" t="s">
        <v>108</v>
      </c>
      <c r="Z358" s="46" t="str">
        <f t="shared" si="35"/>
        <v>C</v>
      </c>
      <c r="AA358" s="73" t="str">
        <f t="shared" si="36"/>
        <v>UTILIZOU O PDA CORRETAMENTE</v>
      </c>
      <c r="AB358" s="18" t="s">
        <v>108</v>
      </c>
      <c r="AC358" s="38" t="s">
        <v>1</v>
      </c>
      <c r="AD358" s="29" t="str">
        <f t="shared" si="34"/>
        <v>GUARULHOS</v>
      </c>
      <c r="AE358" s="21" t="s">
        <v>16</v>
      </c>
    </row>
    <row r="359" spans="1:31" ht="30" customHeight="1" x14ac:dyDescent="0.2">
      <c r="A359" s="94" t="s">
        <v>101</v>
      </c>
      <c r="B359" s="94">
        <v>2691883072</v>
      </c>
      <c r="C359" s="94" t="s">
        <v>65</v>
      </c>
      <c r="D359" s="94" t="s">
        <v>58</v>
      </c>
      <c r="E359" s="94" t="s">
        <v>102</v>
      </c>
      <c r="F359" s="94" t="s">
        <v>1280</v>
      </c>
      <c r="G359" s="94">
        <v>1157</v>
      </c>
      <c r="H359" s="94" t="s">
        <v>117</v>
      </c>
      <c r="I359" s="94" t="s">
        <v>473</v>
      </c>
      <c r="J359" s="94" t="s">
        <v>1979</v>
      </c>
      <c r="K359" s="94" t="s">
        <v>2558</v>
      </c>
      <c r="L359" s="82" t="s">
        <v>1560</v>
      </c>
      <c r="M359" s="94" t="s">
        <v>2559</v>
      </c>
      <c r="N359" s="94" t="s">
        <v>1993</v>
      </c>
      <c r="O359" s="36" t="s">
        <v>108</v>
      </c>
      <c r="P359" s="18"/>
      <c r="Q359" s="28" t="s">
        <v>108</v>
      </c>
      <c r="R359" s="18"/>
      <c r="S359" s="28" t="s">
        <v>108</v>
      </c>
      <c r="T359" s="18"/>
      <c r="U359" s="28" t="s">
        <v>108</v>
      </c>
      <c r="V359" s="18"/>
      <c r="W359" s="28" t="s">
        <v>108</v>
      </c>
      <c r="X359" s="18"/>
      <c r="Y359" s="28" t="s">
        <v>108</v>
      </c>
      <c r="Z359" s="46" t="str">
        <f t="shared" si="35"/>
        <v>C</v>
      </c>
      <c r="AA359" s="73" t="str">
        <f t="shared" si="36"/>
        <v>UTILIZOU O PDA CORRETAMENTE</v>
      </c>
      <c r="AB359" s="18" t="s">
        <v>108</v>
      </c>
      <c r="AC359" s="38" t="s">
        <v>1</v>
      </c>
      <c r="AD359" s="29" t="str">
        <f t="shared" ref="AD359:AD371" si="37">E359</f>
        <v>GUARULHOS</v>
      </c>
      <c r="AE359" s="21" t="s">
        <v>16</v>
      </c>
    </row>
    <row r="360" spans="1:31" ht="30" customHeight="1" x14ac:dyDescent="0.2">
      <c r="A360" s="94" t="s">
        <v>101</v>
      </c>
      <c r="B360" s="94">
        <v>2617973267</v>
      </c>
      <c r="C360" s="94" t="s">
        <v>63</v>
      </c>
      <c r="D360" s="94" t="s">
        <v>16</v>
      </c>
      <c r="E360" s="94" t="s">
        <v>102</v>
      </c>
      <c r="F360" s="94" t="s">
        <v>2560</v>
      </c>
      <c r="G360" s="94">
        <v>101</v>
      </c>
      <c r="H360" s="94"/>
      <c r="I360" s="94" t="s">
        <v>2561</v>
      </c>
      <c r="J360" s="94" t="s">
        <v>1975</v>
      </c>
      <c r="K360" s="94"/>
      <c r="L360" s="82" t="s">
        <v>1624</v>
      </c>
      <c r="M360" s="94" t="s">
        <v>2562</v>
      </c>
      <c r="N360" s="94" t="s">
        <v>767</v>
      </c>
      <c r="O360" s="36" t="s">
        <v>108</v>
      </c>
      <c r="P360" s="18"/>
      <c r="Q360" s="28" t="s">
        <v>108</v>
      </c>
      <c r="R360" s="18"/>
      <c r="S360" s="28" t="s">
        <v>108</v>
      </c>
      <c r="T360" s="18"/>
      <c r="U360" s="28" t="s">
        <v>108</v>
      </c>
      <c r="V360" s="18"/>
      <c r="W360" s="28" t="s">
        <v>108</v>
      </c>
      <c r="X360" s="18"/>
      <c r="Y360" s="28" t="s">
        <v>108</v>
      </c>
      <c r="Z360" s="46" t="str">
        <f t="shared" si="35"/>
        <v>C</v>
      </c>
      <c r="AA360" s="73" t="str">
        <f t="shared" si="36"/>
        <v>UTILIZOU O PDA CORRETAMENTE</v>
      </c>
      <c r="AB360" s="18" t="s">
        <v>108</v>
      </c>
      <c r="AC360" s="38" t="s">
        <v>1</v>
      </c>
      <c r="AD360" s="29" t="str">
        <f t="shared" si="37"/>
        <v>GUARULHOS</v>
      </c>
      <c r="AE360" s="21" t="s">
        <v>16</v>
      </c>
    </row>
    <row r="361" spans="1:31" ht="30" customHeight="1" x14ac:dyDescent="0.2">
      <c r="A361" s="94" t="s">
        <v>101</v>
      </c>
      <c r="B361" s="94">
        <v>2691949658</v>
      </c>
      <c r="C361" s="94" t="s">
        <v>60</v>
      </c>
      <c r="D361" s="94" t="s">
        <v>16</v>
      </c>
      <c r="E361" s="94" t="s">
        <v>102</v>
      </c>
      <c r="F361" s="94" t="s">
        <v>509</v>
      </c>
      <c r="G361" s="94">
        <v>349</v>
      </c>
      <c r="H361" s="94" t="s">
        <v>138</v>
      </c>
      <c r="I361" s="94" t="s">
        <v>162</v>
      </c>
      <c r="J361" s="94" t="s">
        <v>1975</v>
      </c>
      <c r="K361" s="94"/>
      <c r="L361" s="82" t="s">
        <v>1624</v>
      </c>
      <c r="M361" s="94" t="s">
        <v>1665</v>
      </c>
      <c r="N361" s="94" t="s">
        <v>767</v>
      </c>
      <c r="O361" s="36" t="s">
        <v>108</v>
      </c>
      <c r="P361" s="18"/>
      <c r="Q361" s="28" t="s">
        <v>108</v>
      </c>
      <c r="R361" s="18"/>
      <c r="S361" s="28" t="s">
        <v>108</v>
      </c>
      <c r="T361" s="18"/>
      <c r="U361" s="28" t="s">
        <v>108</v>
      </c>
      <c r="V361" s="18"/>
      <c r="W361" s="28" t="s">
        <v>108</v>
      </c>
      <c r="X361" s="18"/>
      <c r="Y361" s="28" t="s">
        <v>108</v>
      </c>
      <c r="Z361" s="46" t="str">
        <f t="shared" si="35"/>
        <v>C</v>
      </c>
      <c r="AA361" s="73" t="str">
        <f t="shared" si="36"/>
        <v>UTILIZOU O PDA CORRETAMENTE</v>
      </c>
      <c r="AB361" s="18" t="s">
        <v>108</v>
      </c>
      <c r="AC361" s="38" t="s">
        <v>1</v>
      </c>
      <c r="AD361" s="29" t="str">
        <f t="shared" si="37"/>
        <v>GUARULHOS</v>
      </c>
      <c r="AE361" s="21" t="s">
        <v>16</v>
      </c>
    </row>
    <row r="362" spans="1:31" ht="30" customHeight="1" x14ac:dyDescent="0.2">
      <c r="A362" s="94" t="s">
        <v>101</v>
      </c>
      <c r="B362" s="94">
        <v>2691936347</v>
      </c>
      <c r="C362" s="94" t="s">
        <v>60</v>
      </c>
      <c r="D362" s="94" t="s">
        <v>16</v>
      </c>
      <c r="E362" s="94" t="s">
        <v>102</v>
      </c>
      <c r="F362" s="94" t="s">
        <v>2563</v>
      </c>
      <c r="G362" s="94">
        <v>135</v>
      </c>
      <c r="H362" s="94" t="s">
        <v>2564</v>
      </c>
      <c r="I362" s="94" t="s">
        <v>2003</v>
      </c>
      <c r="J362" s="94" t="s">
        <v>1979</v>
      </c>
      <c r="K362" s="94" t="s">
        <v>117</v>
      </c>
      <c r="L362" s="82" t="s">
        <v>1624</v>
      </c>
      <c r="M362" s="94" t="s">
        <v>1627</v>
      </c>
      <c r="N362" s="94" t="s">
        <v>185</v>
      </c>
      <c r="O362" s="36" t="s">
        <v>108</v>
      </c>
      <c r="P362" s="18"/>
      <c r="Q362" s="28" t="s">
        <v>108</v>
      </c>
      <c r="R362" s="18"/>
      <c r="S362" s="28" t="s">
        <v>108</v>
      </c>
      <c r="T362" s="18"/>
      <c r="U362" s="28" t="s">
        <v>108</v>
      </c>
      <c r="V362" s="18"/>
      <c r="W362" s="28" t="s">
        <v>108</v>
      </c>
      <c r="X362" s="18"/>
      <c r="Y362" s="28" t="s">
        <v>108</v>
      </c>
      <c r="Z362" s="46" t="str">
        <f t="shared" si="35"/>
        <v>C</v>
      </c>
      <c r="AA362" s="73" t="str">
        <f t="shared" si="36"/>
        <v>UTILIZOU O PDA CORRETAMENTE</v>
      </c>
      <c r="AB362" s="18" t="s">
        <v>108</v>
      </c>
      <c r="AC362" s="38" t="s">
        <v>1</v>
      </c>
      <c r="AD362" s="29" t="str">
        <f t="shared" si="37"/>
        <v>GUARULHOS</v>
      </c>
      <c r="AE362" s="21" t="s">
        <v>16</v>
      </c>
    </row>
    <row r="363" spans="1:31" ht="30" customHeight="1" x14ac:dyDescent="0.2">
      <c r="A363" s="94" t="s">
        <v>101</v>
      </c>
      <c r="B363" s="94">
        <v>2691938635</v>
      </c>
      <c r="C363" s="94" t="s">
        <v>60</v>
      </c>
      <c r="D363" s="94" t="s">
        <v>16</v>
      </c>
      <c r="E363" s="94" t="s">
        <v>102</v>
      </c>
      <c r="F363" s="94" t="s">
        <v>2253</v>
      </c>
      <c r="G363" s="94">
        <v>210</v>
      </c>
      <c r="H363" s="94" t="s">
        <v>2390</v>
      </c>
      <c r="I363" s="94" t="s">
        <v>277</v>
      </c>
      <c r="J363" s="94" t="s">
        <v>1979</v>
      </c>
      <c r="K363" s="94"/>
      <c r="L363" s="82" t="s">
        <v>1624</v>
      </c>
      <c r="M363" s="94" t="s">
        <v>2565</v>
      </c>
      <c r="N363" s="94" t="s">
        <v>597</v>
      </c>
      <c r="O363" s="36" t="s">
        <v>108</v>
      </c>
      <c r="P363" s="18"/>
      <c r="Q363" s="28" t="s">
        <v>108</v>
      </c>
      <c r="R363" s="18"/>
      <c r="S363" s="28" t="s">
        <v>108</v>
      </c>
      <c r="T363" s="18"/>
      <c r="U363" s="28" t="s">
        <v>108</v>
      </c>
      <c r="V363" s="18"/>
      <c r="W363" s="28" t="s">
        <v>108</v>
      </c>
      <c r="X363" s="18"/>
      <c r="Y363" s="28" t="s">
        <v>108</v>
      </c>
      <c r="Z363" s="46" t="str">
        <f t="shared" si="35"/>
        <v>C</v>
      </c>
      <c r="AA363" s="73" t="str">
        <f t="shared" si="36"/>
        <v>UTILIZOU O PDA CORRETAMENTE</v>
      </c>
      <c r="AB363" s="18" t="s">
        <v>108</v>
      </c>
      <c r="AC363" s="38" t="s">
        <v>1</v>
      </c>
      <c r="AD363" s="29" t="str">
        <f t="shared" si="37"/>
        <v>GUARULHOS</v>
      </c>
      <c r="AE363" s="21" t="s">
        <v>16</v>
      </c>
    </row>
    <row r="364" spans="1:31" ht="30" customHeight="1" x14ac:dyDescent="0.2">
      <c r="A364" s="94" t="s">
        <v>101</v>
      </c>
      <c r="B364" s="94">
        <v>2617638228</v>
      </c>
      <c r="C364" s="94" t="s">
        <v>67</v>
      </c>
      <c r="D364" s="94" t="s">
        <v>58</v>
      </c>
      <c r="E364" s="94" t="s">
        <v>102</v>
      </c>
      <c r="F364" s="94" t="s">
        <v>2566</v>
      </c>
      <c r="G364" s="94">
        <v>15</v>
      </c>
      <c r="H364" s="94"/>
      <c r="I364" s="94" t="s">
        <v>212</v>
      </c>
      <c r="J364" s="94" t="s">
        <v>1984</v>
      </c>
      <c r="K364" s="94"/>
      <c r="L364" s="82" t="s">
        <v>1624</v>
      </c>
      <c r="M364" s="94" t="s">
        <v>1946</v>
      </c>
      <c r="N364" s="94" t="s">
        <v>597</v>
      </c>
      <c r="O364" s="36" t="s">
        <v>108</v>
      </c>
      <c r="P364" s="18"/>
      <c r="Q364" s="28" t="s">
        <v>108</v>
      </c>
      <c r="R364" s="18"/>
      <c r="S364" s="28" t="s">
        <v>108</v>
      </c>
      <c r="T364" s="18"/>
      <c r="U364" s="28" t="s">
        <v>108</v>
      </c>
      <c r="V364" s="18"/>
      <c r="W364" s="28" t="s">
        <v>108</v>
      </c>
      <c r="X364" s="18"/>
      <c r="Y364" s="28" t="s">
        <v>108</v>
      </c>
      <c r="Z364" s="46" t="str">
        <f t="shared" si="35"/>
        <v>C</v>
      </c>
      <c r="AA364" s="73" t="str">
        <f t="shared" si="36"/>
        <v>UTILIZOU O PDA CORRETAMENTE</v>
      </c>
      <c r="AB364" s="18" t="s">
        <v>108</v>
      </c>
      <c r="AC364" s="38" t="s">
        <v>1</v>
      </c>
      <c r="AD364" s="29" t="str">
        <f t="shared" si="37"/>
        <v>GUARULHOS</v>
      </c>
      <c r="AE364" s="21" t="s">
        <v>16</v>
      </c>
    </row>
    <row r="365" spans="1:31" ht="30" customHeight="1" x14ac:dyDescent="0.2">
      <c r="A365" s="94" t="s">
        <v>101</v>
      </c>
      <c r="B365" s="94">
        <v>2618006811</v>
      </c>
      <c r="C365" s="94" t="s">
        <v>67</v>
      </c>
      <c r="D365" s="94" t="s">
        <v>58</v>
      </c>
      <c r="E365" s="94" t="s">
        <v>102</v>
      </c>
      <c r="F365" s="94" t="s">
        <v>938</v>
      </c>
      <c r="G365" s="94">
        <v>86</v>
      </c>
      <c r="H365" s="94" t="s">
        <v>603</v>
      </c>
      <c r="I365" s="94" t="s">
        <v>430</v>
      </c>
      <c r="J365" s="94" t="s">
        <v>1984</v>
      </c>
      <c r="K365" s="94" t="s">
        <v>117</v>
      </c>
      <c r="L365" s="82" t="s">
        <v>1624</v>
      </c>
      <c r="M365" s="94" t="s">
        <v>2567</v>
      </c>
      <c r="N365" s="94" t="s">
        <v>1980</v>
      </c>
      <c r="O365" s="36" t="s">
        <v>108</v>
      </c>
      <c r="P365" s="18"/>
      <c r="Q365" s="28" t="s">
        <v>108</v>
      </c>
      <c r="R365" s="18"/>
      <c r="S365" s="28" t="s">
        <v>108</v>
      </c>
      <c r="T365" s="18"/>
      <c r="U365" s="28" t="s">
        <v>108</v>
      </c>
      <c r="V365" s="18"/>
      <c r="W365" s="28" t="s">
        <v>108</v>
      </c>
      <c r="X365" s="18"/>
      <c r="Y365" s="28" t="s">
        <v>108</v>
      </c>
      <c r="Z365" s="46" t="str">
        <f t="shared" si="35"/>
        <v>C</v>
      </c>
      <c r="AA365" s="73" t="str">
        <f t="shared" si="36"/>
        <v>UTILIZOU O PDA CORRETAMENTE</v>
      </c>
      <c r="AB365" s="18" t="s">
        <v>108</v>
      </c>
      <c r="AC365" s="38" t="s">
        <v>1</v>
      </c>
      <c r="AD365" s="29" t="str">
        <f t="shared" si="37"/>
        <v>GUARULHOS</v>
      </c>
      <c r="AE365" s="21" t="s">
        <v>16</v>
      </c>
    </row>
    <row r="366" spans="1:31" ht="30" customHeight="1" x14ac:dyDescent="0.2">
      <c r="A366" s="94" t="s">
        <v>101</v>
      </c>
      <c r="B366" s="94">
        <v>2616650290</v>
      </c>
      <c r="C366" s="94" t="s">
        <v>66</v>
      </c>
      <c r="D366" s="94" t="s">
        <v>58</v>
      </c>
      <c r="E366" s="94" t="s">
        <v>102</v>
      </c>
      <c r="F366" s="94" t="s">
        <v>2401</v>
      </c>
      <c r="G366" s="94">
        <v>103</v>
      </c>
      <c r="H366" s="94" t="s">
        <v>2568</v>
      </c>
      <c r="I366" s="94" t="s">
        <v>1179</v>
      </c>
      <c r="J366" s="94" t="s">
        <v>1989</v>
      </c>
      <c r="K366" s="94" t="s">
        <v>117</v>
      </c>
      <c r="L366" s="82" t="s">
        <v>1624</v>
      </c>
      <c r="M366" s="94" t="s">
        <v>2569</v>
      </c>
      <c r="N366" s="94" t="s">
        <v>119</v>
      </c>
      <c r="O366" s="36" t="s">
        <v>108</v>
      </c>
      <c r="P366" s="18"/>
      <c r="Q366" s="28" t="s">
        <v>108</v>
      </c>
      <c r="R366" s="18"/>
      <c r="S366" s="28" t="s">
        <v>108</v>
      </c>
      <c r="T366" s="18"/>
      <c r="U366" s="28" t="s">
        <v>108</v>
      </c>
      <c r="V366" s="18"/>
      <c r="W366" s="28" t="s">
        <v>108</v>
      </c>
      <c r="X366" s="18"/>
      <c r="Y366" s="28" t="s">
        <v>108</v>
      </c>
      <c r="Z366" s="46" t="str">
        <f t="shared" si="35"/>
        <v>C</v>
      </c>
      <c r="AA366" s="73" t="str">
        <f t="shared" si="36"/>
        <v>UTILIZOU O PDA CORRETAMENTE</v>
      </c>
      <c r="AB366" s="18" t="s">
        <v>108</v>
      </c>
      <c r="AC366" s="38" t="s">
        <v>1</v>
      </c>
      <c r="AD366" s="29" t="str">
        <f t="shared" si="37"/>
        <v>GUARULHOS</v>
      </c>
      <c r="AE366" s="21" t="s">
        <v>16</v>
      </c>
    </row>
    <row r="367" spans="1:31" ht="30" customHeight="1" x14ac:dyDescent="0.2">
      <c r="A367" s="94" t="s">
        <v>101</v>
      </c>
      <c r="B367" s="94">
        <v>2617782200</v>
      </c>
      <c r="C367" s="94" t="s">
        <v>65</v>
      </c>
      <c r="D367" s="94" t="s">
        <v>58</v>
      </c>
      <c r="E367" s="94" t="s">
        <v>102</v>
      </c>
      <c r="F367" s="94" t="s">
        <v>2031</v>
      </c>
      <c r="G367" s="94">
        <v>156</v>
      </c>
      <c r="H367" s="94" t="s">
        <v>2570</v>
      </c>
      <c r="I367" s="94" t="s">
        <v>245</v>
      </c>
      <c r="J367" s="94" t="s">
        <v>1979</v>
      </c>
      <c r="K367" s="94" t="s">
        <v>2554</v>
      </c>
      <c r="L367" s="82" t="s">
        <v>1624</v>
      </c>
      <c r="M367" s="94" t="s">
        <v>2571</v>
      </c>
      <c r="N367" s="94" t="s">
        <v>1993</v>
      </c>
      <c r="O367" s="36" t="s">
        <v>108</v>
      </c>
      <c r="P367" s="18"/>
      <c r="Q367" s="28" t="s">
        <v>108</v>
      </c>
      <c r="R367" s="18"/>
      <c r="S367" s="28" t="s">
        <v>108</v>
      </c>
      <c r="T367" s="18"/>
      <c r="U367" s="28" t="s">
        <v>108</v>
      </c>
      <c r="V367" s="18"/>
      <c r="W367" s="28" t="s">
        <v>108</v>
      </c>
      <c r="X367" s="18"/>
      <c r="Y367" s="28" t="s">
        <v>108</v>
      </c>
      <c r="Z367" s="46" t="str">
        <f t="shared" si="35"/>
        <v>C</v>
      </c>
      <c r="AA367" s="73" t="str">
        <f t="shared" si="36"/>
        <v>UTILIZOU O PDA CORRETAMENTE</v>
      </c>
      <c r="AB367" s="18" t="s">
        <v>108</v>
      </c>
      <c r="AC367" s="38" t="s">
        <v>1</v>
      </c>
      <c r="AD367" s="29" t="str">
        <f t="shared" si="37"/>
        <v>GUARULHOS</v>
      </c>
      <c r="AE367" s="21" t="s">
        <v>16</v>
      </c>
    </row>
    <row r="368" spans="1:31" ht="30" customHeight="1" x14ac:dyDescent="0.2">
      <c r="A368" s="94" t="s">
        <v>101</v>
      </c>
      <c r="B368" s="94">
        <v>2692028903</v>
      </c>
      <c r="C368" s="94" t="s">
        <v>60</v>
      </c>
      <c r="D368" s="94" t="s">
        <v>16</v>
      </c>
      <c r="E368" s="94" t="s">
        <v>102</v>
      </c>
      <c r="F368" s="94" t="s">
        <v>1732</v>
      </c>
      <c r="G368" s="94">
        <v>72</v>
      </c>
      <c r="H368" s="94" t="s">
        <v>1061</v>
      </c>
      <c r="I368" s="94" t="s">
        <v>129</v>
      </c>
      <c r="J368" s="94" t="s">
        <v>1975</v>
      </c>
      <c r="K368" s="94" t="s">
        <v>117</v>
      </c>
      <c r="L368" s="82" t="s">
        <v>1624</v>
      </c>
      <c r="M368" s="94" t="s">
        <v>2572</v>
      </c>
      <c r="N368" s="94" t="s">
        <v>767</v>
      </c>
      <c r="O368" s="36" t="s">
        <v>108</v>
      </c>
      <c r="P368" s="18"/>
      <c r="Q368" s="28" t="s">
        <v>108</v>
      </c>
      <c r="R368" s="18"/>
      <c r="S368" s="28" t="s">
        <v>108</v>
      </c>
      <c r="T368" s="18"/>
      <c r="U368" s="28" t="s">
        <v>108</v>
      </c>
      <c r="V368" s="18"/>
      <c r="W368" s="28" t="s">
        <v>108</v>
      </c>
      <c r="X368" s="18"/>
      <c r="Y368" s="28" t="s">
        <v>108</v>
      </c>
      <c r="Z368" s="46" t="str">
        <f t="shared" ref="Z368:Z371" si="38">IF(AND(O368="",Q368="",S368="",U368="",W368=""),"",IF(OR(AND(O368&lt;&gt;"NA",O368&lt;&gt;"C",O368&lt;&gt;"NC",O368&lt;&gt;"SF",O368&lt;&gt;""),AND(Q368&lt;&gt;"NA",Q368&lt;&gt;"C",Q368&lt;&gt;"NC",Q368&lt;&gt;"SF",Q368&lt;&gt;""),AND(S368&lt;&gt;"NA",S368&lt;&gt;"C",S368&lt;&gt;"NC",S368&lt;&gt;"SF",S368&lt;&gt;""),AND(U368&lt;&gt;"NA",U368&lt;&gt;"C",U368&lt;&gt;"NC",U368&lt;&gt;"SF",U368&lt;&gt;""),AND(W368&lt;&gt;"NA",W368&lt;&gt;"C",W368&lt;&gt;"NC",W368&lt;&gt;"SF",W368&lt;&gt;"")),"FALSO",IF(AND(O368="NA",Q368="NA",S368="NA",U368="NA",W368="NA"),"NA",IF(OR(O368="NC",Q368="NC",S368="NC",U368="NC",W368="NC",O368="SF",Q368="SF",S368="SF",U368="SF",W368="SF"),"NC",IF(OR(O368="C",Q368="C",S368="C",U368="C",W368="C"),"C","")))))</f>
        <v>C</v>
      </c>
      <c r="AA368" s="73" t="str">
        <f t="shared" ref="AA368:AA371" si="39">IF(AND(Y368="C",Z368="C"),"UTILIZOU O PDA CORRETAMENTE",IF(AND(Y368="C",Z368="NC"),"UTILIZOU O PDA CORRETAMENTE. NÃO HÁ FOTOS DE TODAS AS ETAPAS",IF(AND(Y368="NC",Z368="NC"),"NÃO UTILIZOU O PDA",IF(AND(Y368="NA",Z368="NA"),"NÃO AVALIADO POR FALHA DE SINCRONISMO"))))</f>
        <v>UTILIZOU O PDA CORRETAMENTE</v>
      </c>
      <c r="AB368" s="18" t="s">
        <v>108</v>
      </c>
      <c r="AC368" s="38" t="s">
        <v>1</v>
      </c>
      <c r="AD368" s="29" t="str">
        <f t="shared" si="37"/>
        <v>GUARULHOS</v>
      </c>
      <c r="AE368" s="21" t="s">
        <v>16</v>
      </c>
    </row>
    <row r="369" spans="1:31" ht="30" customHeight="1" x14ac:dyDescent="0.2">
      <c r="A369" s="94" t="s">
        <v>101</v>
      </c>
      <c r="B369" s="94">
        <v>2692007763</v>
      </c>
      <c r="C369" s="94" t="s">
        <v>60</v>
      </c>
      <c r="D369" s="94" t="s">
        <v>16</v>
      </c>
      <c r="E369" s="94" t="s">
        <v>102</v>
      </c>
      <c r="F369" s="94" t="s">
        <v>2549</v>
      </c>
      <c r="G369" s="94">
        <v>41</v>
      </c>
      <c r="H369" s="94" t="s">
        <v>2550</v>
      </c>
      <c r="I369" s="94" t="s">
        <v>220</v>
      </c>
      <c r="J369" s="94" t="s">
        <v>1979</v>
      </c>
      <c r="K369" s="94"/>
      <c r="L369" s="82" t="s">
        <v>1624</v>
      </c>
      <c r="M369" s="94" t="s">
        <v>2573</v>
      </c>
      <c r="N369" s="94" t="s">
        <v>1986</v>
      </c>
      <c r="O369" s="36" t="s">
        <v>108</v>
      </c>
      <c r="P369" s="18"/>
      <c r="Q369" s="28" t="s">
        <v>108</v>
      </c>
      <c r="R369" s="18"/>
      <c r="S369" s="28" t="s">
        <v>108</v>
      </c>
      <c r="T369" s="18"/>
      <c r="U369" s="28" t="s">
        <v>108</v>
      </c>
      <c r="V369" s="18"/>
      <c r="W369" s="28" t="s">
        <v>108</v>
      </c>
      <c r="X369" s="18"/>
      <c r="Y369" s="28" t="s">
        <v>108</v>
      </c>
      <c r="Z369" s="46" t="str">
        <f t="shared" si="38"/>
        <v>C</v>
      </c>
      <c r="AA369" s="73" t="str">
        <f t="shared" si="39"/>
        <v>UTILIZOU O PDA CORRETAMENTE</v>
      </c>
      <c r="AB369" s="18" t="s">
        <v>108</v>
      </c>
      <c r="AC369" s="38" t="s">
        <v>1</v>
      </c>
      <c r="AD369" s="29" t="str">
        <f t="shared" si="37"/>
        <v>GUARULHOS</v>
      </c>
      <c r="AE369" s="21" t="s">
        <v>16</v>
      </c>
    </row>
    <row r="370" spans="1:31" ht="30" customHeight="1" x14ac:dyDescent="0.2">
      <c r="A370" s="94" t="s">
        <v>101</v>
      </c>
      <c r="B370" s="94">
        <v>2615316072</v>
      </c>
      <c r="C370" s="94" t="s">
        <v>66</v>
      </c>
      <c r="D370" s="94" t="s">
        <v>58</v>
      </c>
      <c r="E370" s="94" t="s">
        <v>102</v>
      </c>
      <c r="F370" s="94" t="s">
        <v>2574</v>
      </c>
      <c r="G370" s="94">
        <v>128</v>
      </c>
      <c r="H370" s="94" t="s">
        <v>2575</v>
      </c>
      <c r="I370" s="94" t="s">
        <v>483</v>
      </c>
      <c r="J370" s="94" t="s">
        <v>1989</v>
      </c>
      <c r="K370" s="94" t="s">
        <v>2576</v>
      </c>
      <c r="L370" s="82" t="s">
        <v>1624</v>
      </c>
      <c r="M370" s="94" t="s">
        <v>2577</v>
      </c>
      <c r="N370" s="94" t="s">
        <v>274</v>
      </c>
      <c r="O370" s="36" t="s">
        <v>214</v>
      </c>
      <c r="P370" s="18"/>
      <c r="Q370" s="28" t="s">
        <v>214</v>
      </c>
      <c r="R370" s="18"/>
      <c r="S370" s="28" t="s">
        <v>214</v>
      </c>
      <c r="T370" s="18"/>
      <c r="U370" s="28" t="s">
        <v>214</v>
      </c>
      <c r="V370" s="18"/>
      <c r="W370" s="28" t="s">
        <v>214</v>
      </c>
      <c r="X370" s="18"/>
      <c r="Y370" s="28" t="s">
        <v>114</v>
      </c>
      <c r="Z370" s="46" t="str">
        <f t="shared" si="38"/>
        <v>NC</v>
      </c>
      <c r="AA370" s="73" t="str">
        <f t="shared" si="39"/>
        <v>NÃO UTILIZOU O PDA</v>
      </c>
      <c r="AB370" s="18" t="s">
        <v>108</v>
      </c>
      <c r="AC370" s="38" t="s">
        <v>1</v>
      </c>
      <c r="AD370" s="29" t="str">
        <f t="shared" si="37"/>
        <v>GUARULHOS</v>
      </c>
      <c r="AE370" s="21" t="s">
        <v>16</v>
      </c>
    </row>
    <row r="371" spans="1:31" ht="30" customHeight="1" x14ac:dyDescent="0.2">
      <c r="A371" s="94" t="s">
        <v>101</v>
      </c>
      <c r="B371" s="94">
        <v>2692013233</v>
      </c>
      <c r="C371" s="94" t="s">
        <v>65</v>
      </c>
      <c r="D371" s="94" t="s">
        <v>58</v>
      </c>
      <c r="E371" s="94" t="s">
        <v>102</v>
      </c>
      <c r="F371" s="94" t="s">
        <v>590</v>
      </c>
      <c r="G371" s="94">
        <v>403</v>
      </c>
      <c r="H371" s="94" t="s">
        <v>2578</v>
      </c>
      <c r="I371" s="94" t="s">
        <v>179</v>
      </c>
      <c r="J371" s="94" t="s">
        <v>1979</v>
      </c>
      <c r="K371" s="94" t="s">
        <v>2554</v>
      </c>
      <c r="L371" s="82" t="s">
        <v>1624</v>
      </c>
      <c r="M371" s="94" t="s">
        <v>1682</v>
      </c>
      <c r="N371" s="94" t="s">
        <v>1993</v>
      </c>
      <c r="O371" s="36" t="s">
        <v>108</v>
      </c>
      <c r="P371" s="18"/>
      <c r="Q371" s="28" t="s">
        <v>108</v>
      </c>
      <c r="R371" s="18"/>
      <c r="S371" s="28" t="s">
        <v>108</v>
      </c>
      <c r="T371" s="18"/>
      <c r="U371" s="28" t="s">
        <v>108</v>
      </c>
      <c r="V371" s="18"/>
      <c r="W371" s="28" t="s">
        <v>108</v>
      </c>
      <c r="X371" s="18"/>
      <c r="Y371" s="28" t="s">
        <v>108</v>
      </c>
      <c r="Z371" s="46" t="str">
        <f t="shared" si="38"/>
        <v>C</v>
      </c>
      <c r="AA371" s="73" t="str">
        <f t="shared" si="39"/>
        <v>UTILIZOU O PDA CORRETAMENTE</v>
      </c>
      <c r="AB371" s="18" t="s">
        <v>108</v>
      </c>
      <c r="AC371" s="38" t="s">
        <v>1</v>
      </c>
      <c r="AD371" s="29" t="str">
        <f t="shared" si="37"/>
        <v>GUARULHOS</v>
      </c>
      <c r="AE371" s="21" t="s">
        <v>16</v>
      </c>
    </row>
  </sheetData>
  <autoFilter ref="A1:AE371" xr:uid="{00000000-0001-0000-0B00-000000000000}"/>
  <conditionalFormatting sqref="A1 C1:E1">
    <cfRule type="duplicateValues" dxfId="13" priority="130" stopIfTrue="1"/>
    <cfRule type="duplicateValues" dxfId="12" priority="131"/>
  </conditionalFormatting>
  <conditionalFormatting sqref="O2:O371 Q2:Q371 S2:S371 U2:U371 W2:W371 Y2:Z371">
    <cfRule type="expression" dxfId="11" priority="127">
      <formula>O2=""</formula>
    </cfRule>
    <cfRule type="expression" dxfId="10" priority="128" stopIfTrue="1">
      <formula>NOT(OR(O2="C",O2="NC",O2="SF",O2="NA"))</formula>
    </cfRule>
  </conditionalFormatting>
  <conditionalFormatting sqref="AB2:AB60">
    <cfRule type="expression" dxfId="9" priority="89">
      <formula>AB2=""</formula>
    </cfRule>
    <cfRule type="expression" dxfId="8" priority="90" stopIfTrue="1">
      <formula>NOT(OR(AB2="C",AB2="NC",AB2="SF",AB2="NA"))</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749992370372631"/>
  </sheetPr>
  <dimension ref="A1:AJ258"/>
  <sheetViews>
    <sheetView topLeftCell="AG1" zoomScale="55" zoomScaleNormal="55" workbookViewId="0">
      <pane ySplit="1" topLeftCell="A2" activePane="bottomLeft" state="frozen"/>
      <selection activeCell="L131" sqref="L131"/>
      <selection pane="bottomLeft" activeCell="AJ1" sqref="AJ1"/>
    </sheetView>
  </sheetViews>
  <sheetFormatPr defaultColWidth="9.140625" defaultRowHeight="30" customHeight="1" x14ac:dyDescent="0.25"/>
  <cols>
    <col min="1" max="1" width="61.7109375" style="7" bestFit="1" customWidth="1"/>
    <col min="2" max="2" width="25.28515625" style="7" bestFit="1" customWidth="1"/>
    <col min="3" max="3" width="30.28515625" style="7" bestFit="1" customWidth="1"/>
    <col min="4" max="4" width="20.140625" style="7" bestFit="1" customWidth="1"/>
    <col min="5" max="5" width="23.5703125" style="7" bestFit="1" customWidth="1"/>
    <col min="6" max="6" width="60.140625" style="7" bestFit="1" customWidth="1"/>
    <col min="7" max="7" width="20.7109375" style="7" bestFit="1" customWidth="1"/>
    <col min="8" max="8" width="29.28515625" style="7" bestFit="1" customWidth="1"/>
    <col min="9" max="9" width="18.85546875" style="7" bestFit="1" customWidth="1"/>
    <col min="10" max="10" width="43.140625" style="7" bestFit="1" customWidth="1"/>
    <col min="11" max="11" width="51.5703125" style="7" bestFit="1" customWidth="1"/>
    <col min="12" max="12" width="39.140625" style="7" bestFit="1" customWidth="1"/>
    <col min="13" max="13" width="36.28515625" style="7" bestFit="1" customWidth="1"/>
    <col min="14" max="14" width="46.28515625" style="11" bestFit="1" customWidth="1"/>
    <col min="15" max="15" width="24.85546875" style="7" bestFit="1" customWidth="1"/>
    <col min="16" max="16" width="38.85546875" style="7" bestFit="1" customWidth="1"/>
    <col min="17" max="17" width="29.42578125" style="7" bestFit="1" customWidth="1"/>
    <col min="18" max="18" width="43.7109375" style="7" bestFit="1" customWidth="1"/>
    <col min="19" max="19" width="29.42578125" style="7" bestFit="1" customWidth="1"/>
    <col min="20" max="20" width="43.28515625" style="7" bestFit="1" customWidth="1"/>
    <col min="21" max="21" width="31.5703125" style="7" bestFit="1" customWidth="1"/>
    <col min="22" max="22" width="26.85546875" style="7" bestFit="1" customWidth="1"/>
    <col min="23" max="23" width="23.7109375" style="7" bestFit="1" customWidth="1"/>
    <col min="24" max="24" width="38" style="7" bestFit="1" customWidth="1"/>
    <col min="25" max="25" width="28.42578125" style="7" bestFit="1" customWidth="1"/>
    <col min="26" max="26" width="61.7109375" style="7" bestFit="1" customWidth="1"/>
    <col min="27" max="27" width="39.42578125" style="7" bestFit="1" customWidth="1"/>
    <col min="28" max="28" width="49.42578125" style="7" bestFit="1" customWidth="1"/>
    <col min="29" max="29" width="29.42578125" style="7" bestFit="1" customWidth="1"/>
    <col min="30" max="30" width="43" style="7" bestFit="1" customWidth="1"/>
    <col min="31" max="32" width="42.42578125" style="7" bestFit="1" customWidth="1"/>
    <col min="33" max="33" width="45.7109375" style="11" customWidth="1"/>
    <col min="34" max="34" width="55.42578125" style="7" bestFit="1" customWidth="1"/>
    <col min="35" max="35" width="25.5703125" style="7" customWidth="1"/>
    <col min="36" max="36" width="23.5703125" style="7" bestFit="1" customWidth="1"/>
    <col min="37" max="16384" width="9.140625" style="7"/>
  </cols>
  <sheetData>
    <row r="1" spans="1:36" ht="33" customHeight="1" x14ac:dyDescent="0.25">
      <c r="A1" s="77" t="s">
        <v>72</v>
      </c>
      <c r="B1" s="77" t="s">
        <v>73</v>
      </c>
      <c r="C1" s="77" t="s">
        <v>74</v>
      </c>
      <c r="D1" s="77" t="s">
        <v>75</v>
      </c>
      <c r="E1" s="77" t="s">
        <v>76</v>
      </c>
      <c r="F1" s="77" t="s">
        <v>77</v>
      </c>
      <c r="G1" s="77" t="s">
        <v>78</v>
      </c>
      <c r="H1" s="77" t="s">
        <v>79</v>
      </c>
      <c r="I1" s="77" t="s">
        <v>80</v>
      </c>
      <c r="J1" s="77" t="s">
        <v>81</v>
      </c>
      <c r="K1" s="77" t="s">
        <v>82</v>
      </c>
      <c r="L1" s="77" t="s">
        <v>83</v>
      </c>
      <c r="M1" s="77" t="s">
        <v>84</v>
      </c>
      <c r="N1" s="78" t="s">
        <v>1683</v>
      </c>
      <c r="O1" s="79" t="s">
        <v>5</v>
      </c>
      <c r="P1" s="52" t="s">
        <v>85</v>
      </c>
      <c r="Q1" s="53" t="s">
        <v>6</v>
      </c>
      <c r="R1" s="52" t="s">
        <v>2579</v>
      </c>
      <c r="S1" s="52" t="s">
        <v>21</v>
      </c>
      <c r="T1" s="52" t="s">
        <v>2580</v>
      </c>
      <c r="U1" s="54" t="s">
        <v>22</v>
      </c>
      <c r="V1" s="54" t="s">
        <v>2581</v>
      </c>
      <c r="W1" s="54" t="s">
        <v>23</v>
      </c>
      <c r="X1" s="52" t="s">
        <v>2582</v>
      </c>
      <c r="Y1" s="54" t="s">
        <v>2583</v>
      </c>
      <c r="Z1" s="52" t="s">
        <v>2584</v>
      </c>
      <c r="AA1" s="52" t="s">
        <v>24</v>
      </c>
      <c r="AB1" s="52" t="s">
        <v>2585</v>
      </c>
      <c r="AC1" s="52" t="s">
        <v>11</v>
      </c>
      <c r="AD1" s="52" t="s">
        <v>93</v>
      </c>
      <c r="AE1" s="55" t="s">
        <v>2</v>
      </c>
      <c r="AF1" s="55" t="s">
        <v>1687</v>
      </c>
      <c r="AG1" s="53" t="s">
        <v>96</v>
      </c>
      <c r="AH1" s="6" t="s">
        <v>100</v>
      </c>
      <c r="AI1" s="6" t="s">
        <v>99</v>
      </c>
      <c r="AJ1" s="6" t="s">
        <v>1972</v>
      </c>
    </row>
    <row r="2" spans="1:36" ht="30" customHeight="1" x14ac:dyDescent="0.2">
      <c r="A2" s="82" t="s">
        <v>101</v>
      </c>
      <c r="B2" s="83">
        <v>2613561308</v>
      </c>
      <c r="C2" s="83" t="s">
        <v>71</v>
      </c>
      <c r="D2" s="83" t="s">
        <v>20</v>
      </c>
      <c r="E2" s="83" t="s">
        <v>102</v>
      </c>
      <c r="F2" s="83" t="s">
        <v>298</v>
      </c>
      <c r="G2" s="83">
        <v>204</v>
      </c>
      <c r="H2" s="83" t="s">
        <v>117</v>
      </c>
      <c r="I2" s="83" t="s">
        <v>204</v>
      </c>
      <c r="J2" s="83" t="s">
        <v>2586</v>
      </c>
      <c r="K2" s="83" t="s">
        <v>117</v>
      </c>
      <c r="L2" s="84" t="s">
        <v>106</v>
      </c>
      <c r="M2" s="84">
        <v>46026.467361111114</v>
      </c>
      <c r="N2" s="83" t="s">
        <v>2587</v>
      </c>
      <c r="O2" s="26" t="s">
        <v>108</v>
      </c>
      <c r="P2" s="76"/>
      <c r="Q2" s="39" t="s">
        <v>108</v>
      </c>
      <c r="R2" s="46"/>
      <c r="S2" s="39" t="s">
        <v>108</v>
      </c>
      <c r="T2" s="46"/>
      <c r="U2" s="39" t="s">
        <v>108</v>
      </c>
      <c r="V2" s="46"/>
      <c r="W2" s="39" t="s">
        <v>108</v>
      </c>
      <c r="X2" s="46"/>
      <c r="Y2" s="39" t="s">
        <v>108</v>
      </c>
      <c r="Z2" s="46"/>
      <c r="AA2" s="39" t="s">
        <v>108</v>
      </c>
      <c r="AB2" s="46"/>
      <c r="AC2" s="39" t="s">
        <v>108</v>
      </c>
      <c r="AD2" s="46"/>
      <c r="AE2" s="39" t="s">
        <v>108</v>
      </c>
      <c r="AF2" s="71" t="str">
        <f>IF(AND(O2="",Q2="",S2="",U2="",W2="",Y2="",AA2="",AC2=""),"",
IF(OR(    AND(O2&lt;&gt;"NA",O2&lt;&gt;"C",O2&lt;&gt;"NC",O2&lt;&gt;"SF",O2&lt;&gt;""),
    AND(Q2&lt;&gt;"NA",Q2&lt;&gt;"C",Q2&lt;&gt;"NC",Q2&lt;&gt;"SF",Q2&lt;&gt;""),
    AND(S2&lt;&gt;"NA",S2&lt;&gt;"C",S2&lt;&gt;"NC",S2&lt;&gt;"SF",S2&lt;&gt;""),
    AND(U2&lt;&gt;"NA",U2&lt;&gt;"C",U2&lt;&gt;"NC",U2&lt;&gt;"SF",U2&lt;&gt;""),
    AND(W2&lt;&gt;"NA",W2&lt;&gt;"C",W2&lt;&gt;"NC",W2&lt;&gt;"SF",W2&lt;&gt;""),
    AND(Y2&lt;&gt;"NA",Y2&lt;&gt;"C",Y2&lt;&gt;"NC",Y2&lt;&gt;"SF",Y2&lt;&gt;""),
    AND(AA2&lt;&gt;"NA",AA2&lt;&gt;"C",AA2&lt;&gt;"NC",AA2&lt;&gt;"SF",AA2&lt;&gt;""),
    AND(AC2&lt;&gt;"NA",AC2&lt;&gt;"C",AC2&lt;&gt;"NC",AC2&lt;&gt;"SF",AC2&lt;&gt;"")
),"FALSO",
IF(AND(O2="NA",Q2="NA",S2="NA",U2="NA",W2="NA",Y2="NA",AA2="NA",AC2="NA"),"NA",
IF(OR(O2="NC",Q2="NC",S2="NC",U2="NC",W2="NC",Y2="NC",AA2="NC",AC2="NC",
       O2="SF",Q2="SF",S2="SF",U2="SF",W2="SF",Y2="SF",AA2="SF",AC2="SF"),"NC",
IF(SUM(IF(O2="C",1,0),IF(Q2="C",1,0),IF(S2="C",1,0),IF(U2="C",1,0),IF(W2="C",1,0),IF(Y2="C",1,0),IF(AA2="C",1,0),IF(AC2="C",1,0))=1,"C","C")))))</f>
        <v>C</v>
      </c>
      <c r="AG2" s="21" t="str">
        <f t="shared" ref="AG2:AG65" si="0">IF(AND(AE2="C",AF2="C"),"UTILIZOU O PDA CORRETAMENTE",IF(AND(AE2="C",AF2="NC"),"UTILIZOU O PDA CORRETAMENTE. NÃO HÁ FOTOS DE TODAS AS ETAPAS",IF(AND(AE2="NC",AF2="NC"),"NÃO UTILIZOU O PDA",IF(AND(AE2="NA",AF2="NA"),"NÃO AVALIADO POR FALHA DE SINCRONISMO"))))</f>
        <v>UTILIZOU O PDA CORRETAMENTE</v>
      </c>
      <c r="AH2" s="72" t="s">
        <v>4</v>
      </c>
      <c r="AI2" s="50" t="str">
        <f>E2</f>
        <v>GUARULHOS</v>
      </c>
      <c r="AJ2" s="50" t="s">
        <v>1</v>
      </c>
    </row>
    <row r="3" spans="1:36" ht="30" customHeight="1" x14ac:dyDescent="0.2">
      <c r="A3" s="83" t="s">
        <v>101</v>
      </c>
      <c r="B3" s="83">
        <v>2613619616</v>
      </c>
      <c r="C3" s="83" t="s">
        <v>70</v>
      </c>
      <c r="D3" s="83" t="s">
        <v>20</v>
      </c>
      <c r="E3" s="83" t="s">
        <v>102</v>
      </c>
      <c r="F3" s="83" t="s">
        <v>425</v>
      </c>
      <c r="G3" s="83">
        <v>143</v>
      </c>
      <c r="H3" s="83" t="s">
        <v>174</v>
      </c>
      <c r="I3" s="83" t="s">
        <v>426</v>
      </c>
      <c r="J3" s="83" t="s">
        <v>2588</v>
      </c>
      <c r="K3" s="83"/>
      <c r="L3" s="84" t="s">
        <v>106</v>
      </c>
      <c r="M3" s="84">
        <v>46026.443749999999</v>
      </c>
      <c r="N3" s="83" t="s">
        <v>2587</v>
      </c>
      <c r="O3" s="26" t="s">
        <v>108</v>
      </c>
      <c r="P3" s="41"/>
      <c r="Q3" s="26" t="s">
        <v>108</v>
      </c>
      <c r="R3" s="25"/>
      <c r="S3" s="26" t="s">
        <v>108</v>
      </c>
      <c r="T3" s="25"/>
      <c r="U3" s="26" t="s">
        <v>108</v>
      </c>
      <c r="V3" s="25"/>
      <c r="W3" s="26" t="s">
        <v>108</v>
      </c>
      <c r="X3" s="25"/>
      <c r="Y3" s="26" t="s">
        <v>108</v>
      </c>
      <c r="Z3" s="25"/>
      <c r="AA3" s="26" t="s">
        <v>108</v>
      </c>
      <c r="AB3" s="25"/>
      <c r="AC3" s="26" t="s">
        <v>108</v>
      </c>
      <c r="AD3" s="25"/>
      <c r="AE3" s="26" t="s">
        <v>108</v>
      </c>
      <c r="AF3" s="71" t="str">
        <f t="shared" ref="AF3:AF66" si="1">IF(AND(O3="",Q3="",S3="",U3="",W3="",Y3="",AA3="",AC3=""),"",
IF(OR(    AND(O3&lt;&gt;"NA",O3&lt;&gt;"C",O3&lt;&gt;"NC",O3&lt;&gt;"SF",O3&lt;&gt;""),
    AND(Q3&lt;&gt;"NA",Q3&lt;&gt;"C",Q3&lt;&gt;"NC",Q3&lt;&gt;"SF",Q3&lt;&gt;""),
    AND(S3&lt;&gt;"NA",S3&lt;&gt;"C",S3&lt;&gt;"NC",S3&lt;&gt;"SF",S3&lt;&gt;""),
    AND(U3&lt;&gt;"NA",U3&lt;&gt;"C",U3&lt;&gt;"NC",U3&lt;&gt;"SF",U3&lt;&gt;""),
    AND(W3&lt;&gt;"NA",W3&lt;&gt;"C",W3&lt;&gt;"NC",W3&lt;&gt;"SF",W3&lt;&gt;""),
    AND(Y3&lt;&gt;"NA",Y3&lt;&gt;"C",Y3&lt;&gt;"NC",Y3&lt;&gt;"SF",Y3&lt;&gt;""),
    AND(AA3&lt;&gt;"NA",AA3&lt;&gt;"C",AA3&lt;&gt;"NC",AA3&lt;&gt;"SF",AA3&lt;&gt;""),
    AND(AC3&lt;&gt;"NA",AC3&lt;&gt;"C",AC3&lt;&gt;"NC",AC3&lt;&gt;"SF",AC3&lt;&gt;"")
),"FALSO",
IF(AND(O3="NA",Q3="NA",S3="NA",U3="NA",W3="NA",Y3="NA",AA3="NA",AC3="NA"),"NA",
IF(OR(O3="NC",Q3="NC",S3="NC",U3="NC",W3="NC",Y3="NC",AA3="NC",AC3="NC",
       O3="SF",Q3="SF",S3="SF",U3="SF",W3="SF",Y3="SF",AA3="SF",AC3="SF"),"NC",
IF(SUM(IF(O3="C",1,0),IF(Q3="C",1,0),IF(S3="C",1,0),IF(U3="C",1,0),IF(W3="C",1,0),IF(Y3="C",1,0),IF(AA3="C",1,0),IF(AC3="C",1,0))=1,"C","C")))))</f>
        <v>C</v>
      </c>
      <c r="AG3" s="21" t="str">
        <f t="shared" si="0"/>
        <v>UTILIZOU O PDA CORRETAMENTE</v>
      </c>
      <c r="AH3" s="42" t="s">
        <v>4</v>
      </c>
      <c r="AI3" s="29" t="str">
        <f t="shared" ref="AI3:AI66" si="2">E3</f>
        <v>GUARULHOS</v>
      </c>
      <c r="AJ3" s="29" t="s">
        <v>1</v>
      </c>
    </row>
    <row r="4" spans="1:36" ht="30" customHeight="1" x14ac:dyDescent="0.2">
      <c r="A4" s="83" t="s">
        <v>101</v>
      </c>
      <c r="B4" s="83">
        <v>2613679257</v>
      </c>
      <c r="C4" s="83" t="s">
        <v>71</v>
      </c>
      <c r="D4" s="83" t="s">
        <v>20</v>
      </c>
      <c r="E4" s="83" t="s">
        <v>102</v>
      </c>
      <c r="F4" s="83" t="s">
        <v>2147</v>
      </c>
      <c r="G4" s="83">
        <v>378</v>
      </c>
      <c r="H4" s="83" t="s">
        <v>2589</v>
      </c>
      <c r="I4" s="83" t="s">
        <v>2148</v>
      </c>
      <c r="J4" s="83" t="s">
        <v>2586</v>
      </c>
      <c r="K4" s="83" t="s">
        <v>117</v>
      </c>
      <c r="L4" s="84" t="s">
        <v>106</v>
      </c>
      <c r="M4" s="84">
        <v>46026.504166666666</v>
      </c>
      <c r="N4" s="83" t="s">
        <v>2587</v>
      </c>
      <c r="O4" s="26" t="s">
        <v>108</v>
      </c>
      <c r="P4" s="41"/>
      <c r="Q4" s="26" t="s">
        <v>108</v>
      </c>
      <c r="R4" s="25"/>
      <c r="S4" s="26" t="s">
        <v>108</v>
      </c>
      <c r="T4" s="25"/>
      <c r="U4" s="26" t="s">
        <v>108</v>
      </c>
      <c r="V4" s="25"/>
      <c r="W4" s="26" t="s">
        <v>108</v>
      </c>
      <c r="X4" s="25"/>
      <c r="Y4" s="26" t="s">
        <v>108</v>
      </c>
      <c r="Z4" s="25"/>
      <c r="AA4" s="26" t="s">
        <v>108</v>
      </c>
      <c r="AB4" s="25"/>
      <c r="AC4" s="26" t="s">
        <v>108</v>
      </c>
      <c r="AD4" s="25"/>
      <c r="AE4" s="26" t="s">
        <v>108</v>
      </c>
      <c r="AF4" s="71" t="str">
        <f t="shared" si="1"/>
        <v>C</v>
      </c>
      <c r="AG4" s="21" t="str">
        <f t="shared" si="0"/>
        <v>UTILIZOU O PDA CORRETAMENTE</v>
      </c>
      <c r="AH4" s="42" t="s">
        <v>4</v>
      </c>
      <c r="AI4" s="29" t="str">
        <f t="shared" si="2"/>
        <v>GUARULHOS</v>
      </c>
      <c r="AJ4" s="29" t="s">
        <v>1</v>
      </c>
    </row>
    <row r="5" spans="1:36" ht="30" customHeight="1" x14ac:dyDescent="0.2">
      <c r="A5" s="83" t="s">
        <v>101</v>
      </c>
      <c r="B5" s="83">
        <v>2613516334</v>
      </c>
      <c r="C5" s="83" t="s">
        <v>71</v>
      </c>
      <c r="D5" s="83" t="s">
        <v>20</v>
      </c>
      <c r="E5" s="83" t="s">
        <v>102</v>
      </c>
      <c r="F5" s="83" t="s">
        <v>2454</v>
      </c>
      <c r="G5" s="83">
        <v>19</v>
      </c>
      <c r="H5" s="83" t="s">
        <v>2590</v>
      </c>
      <c r="I5" s="83" t="s">
        <v>1073</v>
      </c>
      <c r="J5" s="83" t="s">
        <v>2586</v>
      </c>
      <c r="K5" s="83"/>
      <c r="L5" s="84" t="s">
        <v>106</v>
      </c>
      <c r="M5" s="84">
        <v>46026.365277777775</v>
      </c>
      <c r="N5" s="83" t="s">
        <v>2587</v>
      </c>
      <c r="O5" s="26" t="s">
        <v>108</v>
      </c>
      <c r="P5" s="41"/>
      <c r="Q5" s="26" t="s">
        <v>108</v>
      </c>
      <c r="R5" s="25"/>
      <c r="S5" s="26" t="s">
        <v>108</v>
      </c>
      <c r="T5" s="25"/>
      <c r="U5" s="26" t="s">
        <v>108</v>
      </c>
      <c r="V5" s="25"/>
      <c r="W5" s="26" t="s">
        <v>108</v>
      </c>
      <c r="X5" s="25"/>
      <c r="Y5" s="26" t="s">
        <v>108</v>
      </c>
      <c r="Z5" s="25"/>
      <c r="AA5" s="26" t="s">
        <v>108</v>
      </c>
      <c r="AB5" s="25"/>
      <c r="AC5" s="26" t="s">
        <v>108</v>
      </c>
      <c r="AD5" s="25"/>
      <c r="AE5" s="26" t="s">
        <v>108</v>
      </c>
      <c r="AF5" s="71" t="str">
        <f t="shared" si="1"/>
        <v>C</v>
      </c>
      <c r="AG5" s="21" t="str">
        <f t="shared" si="0"/>
        <v>UTILIZOU O PDA CORRETAMENTE</v>
      </c>
      <c r="AH5" s="42" t="s">
        <v>13</v>
      </c>
      <c r="AI5" s="29" t="str">
        <f t="shared" si="2"/>
        <v>GUARULHOS</v>
      </c>
      <c r="AJ5" s="29" t="s">
        <v>1</v>
      </c>
    </row>
    <row r="6" spans="1:36" ht="30" customHeight="1" x14ac:dyDescent="0.2">
      <c r="A6" s="83" t="s">
        <v>101</v>
      </c>
      <c r="B6" s="83">
        <v>2610665525</v>
      </c>
      <c r="C6" s="83" t="s">
        <v>69</v>
      </c>
      <c r="D6" s="83" t="s">
        <v>20</v>
      </c>
      <c r="E6" s="83" t="s">
        <v>102</v>
      </c>
      <c r="F6" s="83" t="s">
        <v>2070</v>
      </c>
      <c r="G6" s="83">
        <v>635</v>
      </c>
      <c r="H6" s="83" t="s">
        <v>2545</v>
      </c>
      <c r="I6" s="83" t="s">
        <v>450</v>
      </c>
      <c r="J6" s="83" t="s">
        <v>2586</v>
      </c>
      <c r="K6" s="83" t="s">
        <v>117</v>
      </c>
      <c r="L6" s="84" t="s">
        <v>106</v>
      </c>
      <c r="M6" s="84">
        <v>46026.546527777777</v>
      </c>
      <c r="N6" s="83" t="s">
        <v>2587</v>
      </c>
      <c r="O6" s="26" t="s">
        <v>108</v>
      </c>
      <c r="P6" s="41"/>
      <c r="Q6" s="26" t="s">
        <v>108</v>
      </c>
      <c r="R6" s="25"/>
      <c r="S6" s="26" t="s">
        <v>108</v>
      </c>
      <c r="T6" s="25"/>
      <c r="U6" s="26" t="s">
        <v>108</v>
      </c>
      <c r="V6" s="25"/>
      <c r="W6" s="26" t="s">
        <v>108</v>
      </c>
      <c r="X6" s="25"/>
      <c r="Y6" s="26" t="s">
        <v>108</v>
      </c>
      <c r="Z6" s="25"/>
      <c r="AA6" s="26" t="s">
        <v>108</v>
      </c>
      <c r="AB6" s="25"/>
      <c r="AC6" s="26" t="s">
        <v>108</v>
      </c>
      <c r="AD6" s="25"/>
      <c r="AE6" s="26" t="s">
        <v>108</v>
      </c>
      <c r="AF6" s="71" t="str">
        <f t="shared" si="1"/>
        <v>C</v>
      </c>
      <c r="AG6" s="21" t="str">
        <f t="shared" si="0"/>
        <v>UTILIZOU O PDA CORRETAMENTE</v>
      </c>
      <c r="AH6" s="42" t="s">
        <v>4</v>
      </c>
      <c r="AI6" s="29" t="str">
        <f t="shared" si="2"/>
        <v>GUARULHOS</v>
      </c>
      <c r="AJ6" s="29" t="s">
        <v>1</v>
      </c>
    </row>
    <row r="7" spans="1:36" ht="30" customHeight="1" x14ac:dyDescent="0.2">
      <c r="A7" s="83" t="s">
        <v>101</v>
      </c>
      <c r="B7" s="83">
        <v>2613684491</v>
      </c>
      <c r="C7" s="83" t="s">
        <v>69</v>
      </c>
      <c r="D7" s="83" t="s">
        <v>20</v>
      </c>
      <c r="E7" s="83" t="s">
        <v>102</v>
      </c>
      <c r="F7" s="83" t="s">
        <v>197</v>
      </c>
      <c r="G7" s="83">
        <v>444</v>
      </c>
      <c r="H7" s="83" t="s">
        <v>174</v>
      </c>
      <c r="I7" s="83" t="s">
        <v>162</v>
      </c>
      <c r="J7" s="83" t="s">
        <v>2586</v>
      </c>
      <c r="K7" s="83"/>
      <c r="L7" s="84" t="s">
        <v>106</v>
      </c>
      <c r="M7" s="84">
        <v>46026.401388888888</v>
      </c>
      <c r="N7" s="83" t="s">
        <v>2587</v>
      </c>
      <c r="O7" s="26" t="s">
        <v>108</v>
      </c>
      <c r="P7" s="41"/>
      <c r="Q7" s="26" t="s">
        <v>108</v>
      </c>
      <c r="R7" s="25"/>
      <c r="S7" s="26" t="s">
        <v>108</v>
      </c>
      <c r="T7" s="25"/>
      <c r="U7" s="26" t="s">
        <v>108</v>
      </c>
      <c r="V7" s="25"/>
      <c r="W7" s="26" t="s">
        <v>108</v>
      </c>
      <c r="X7" s="25"/>
      <c r="Y7" s="26" t="s">
        <v>108</v>
      </c>
      <c r="Z7" s="25"/>
      <c r="AA7" s="26" t="s">
        <v>108</v>
      </c>
      <c r="AB7" s="25"/>
      <c r="AC7" s="26" t="s">
        <v>108</v>
      </c>
      <c r="AD7" s="25"/>
      <c r="AE7" s="26" t="s">
        <v>108</v>
      </c>
      <c r="AF7" s="71" t="str">
        <f t="shared" si="1"/>
        <v>C</v>
      </c>
      <c r="AG7" s="21" t="str">
        <f t="shared" si="0"/>
        <v>UTILIZOU O PDA CORRETAMENTE</v>
      </c>
      <c r="AH7" s="42" t="s">
        <v>13</v>
      </c>
      <c r="AI7" s="29" t="str">
        <f t="shared" si="2"/>
        <v>GUARULHOS</v>
      </c>
      <c r="AJ7" s="29" t="s">
        <v>1</v>
      </c>
    </row>
    <row r="8" spans="1:36" ht="30" customHeight="1" x14ac:dyDescent="0.2">
      <c r="A8" s="83" t="s">
        <v>101</v>
      </c>
      <c r="B8" s="83">
        <v>2613695738</v>
      </c>
      <c r="C8" s="83" t="s">
        <v>68</v>
      </c>
      <c r="D8" s="83" t="s">
        <v>20</v>
      </c>
      <c r="E8" s="83" t="s">
        <v>102</v>
      </c>
      <c r="F8" s="83" t="s">
        <v>2591</v>
      </c>
      <c r="G8" s="83">
        <v>75</v>
      </c>
      <c r="H8" s="83" t="s">
        <v>2592</v>
      </c>
      <c r="I8" s="83" t="s">
        <v>220</v>
      </c>
      <c r="J8" s="83" t="s">
        <v>2588</v>
      </c>
      <c r="K8" s="83" t="s">
        <v>2593</v>
      </c>
      <c r="L8" s="84" t="s">
        <v>106</v>
      </c>
      <c r="M8" s="84">
        <v>46026.489583333336</v>
      </c>
      <c r="N8" s="83" t="s">
        <v>2587</v>
      </c>
      <c r="O8" s="26" t="s">
        <v>108</v>
      </c>
      <c r="P8" s="41"/>
      <c r="Q8" s="26" t="s">
        <v>108</v>
      </c>
      <c r="R8" s="25"/>
      <c r="S8" s="26" t="s">
        <v>108</v>
      </c>
      <c r="T8" s="25"/>
      <c r="U8" s="26" t="s">
        <v>108</v>
      </c>
      <c r="V8" s="25"/>
      <c r="W8" s="26" t="s">
        <v>108</v>
      </c>
      <c r="X8" s="25"/>
      <c r="Y8" s="26" t="s">
        <v>108</v>
      </c>
      <c r="Z8" s="25"/>
      <c r="AA8" s="26" t="s">
        <v>108</v>
      </c>
      <c r="AB8" s="25"/>
      <c r="AC8" s="26" t="s">
        <v>108</v>
      </c>
      <c r="AD8" s="25"/>
      <c r="AE8" s="26" t="s">
        <v>108</v>
      </c>
      <c r="AF8" s="71" t="str">
        <f t="shared" si="1"/>
        <v>C</v>
      </c>
      <c r="AG8" s="21" t="str">
        <f t="shared" si="0"/>
        <v>UTILIZOU O PDA CORRETAMENTE</v>
      </c>
      <c r="AH8" s="16" t="s">
        <v>4</v>
      </c>
      <c r="AI8" s="29" t="str">
        <f t="shared" si="2"/>
        <v>GUARULHOS</v>
      </c>
      <c r="AJ8" s="29" t="s">
        <v>1</v>
      </c>
    </row>
    <row r="9" spans="1:36" ht="30" customHeight="1" x14ac:dyDescent="0.2">
      <c r="A9" s="83" t="s">
        <v>101</v>
      </c>
      <c r="B9" s="83">
        <v>2613626746</v>
      </c>
      <c r="C9" s="83" t="s">
        <v>69</v>
      </c>
      <c r="D9" s="83" t="s">
        <v>20</v>
      </c>
      <c r="E9" s="83" t="s">
        <v>102</v>
      </c>
      <c r="F9" s="83" t="s">
        <v>197</v>
      </c>
      <c r="G9" s="83">
        <v>448</v>
      </c>
      <c r="H9" s="83"/>
      <c r="I9" s="83" t="s">
        <v>162</v>
      </c>
      <c r="J9" s="83" t="s">
        <v>2586</v>
      </c>
      <c r="K9" s="83"/>
      <c r="L9" s="84" t="s">
        <v>106</v>
      </c>
      <c r="M9" s="84">
        <v>46026.390277777777</v>
      </c>
      <c r="N9" s="83" t="s">
        <v>2587</v>
      </c>
      <c r="O9" s="26" t="s">
        <v>108</v>
      </c>
      <c r="P9" s="41"/>
      <c r="Q9" s="26" t="s">
        <v>108</v>
      </c>
      <c r="R9" s="25"/>
      <c r="S9" s="26" t="s">
        <v>108</v>
      </c>
      <c r="T9" s="25"/>
      <c r="U9" s="26" t="s">
        <v>108</v>
      </c>
      <c r="V9" s="25"/>
      <c r="W9" s="26" t="s">
        <v>108</v>
      </c>
      <c r="X9" s="25"/>
      <c r="Y9" s="26" t="s">
        <v>108</v>
      </c>
      <c r="Z9" s="25"/>
      <c r="AA9" s="26" t="s">
        <v>108</v>
      </c>
      <c r="AB9" s="25"/>
      <c r="AC9" s="26" t="s">
        <v>108</v>
      </c>
      <c r="AD9" s="25"/>
      <c r="AE9" s="26" t="s">
        <v>108</v>
      </c>
      <c r="AF9" s="71" t="str">
        <f t="shared" si="1"/>
        <v>C</v>
      </c>
      <c r="AG9" s="21" t="str">
        <f t="shared" si="0"/>
        <v>UTILIZOU O PDA CORRETAMENTE</v>
      </c>
      <c r="AH9" s="16" t="s">
        <v>4</v>
      </c>
      <c r="AI9" s="29" t="str">
        <f t="shared" si="2"/>
        <v>GUARULHOS</v>
      </c>
      <c r="AJ9" s="29" t="s">
        <v>1</v>
      </c>
    </row>
    <row r="10" spans="1:36" ht="30" customHeight="1" x14ac:dyDescent="0.2">
      <c r="A10" s="83" t="s">
        <v>101</v>
      </c>
      <c r="B10" s="83">
        <v>2613737450</v>
      </c>
      <c r="C10" s="83" t="s">
        <v>68</v>
      </c>
      <c r="D10" s="83" t="s">
        <v>20</v>
      </c>
      <c r="E10" s="83" t="s">
        <v>102</v>
      </c>
      <c r="F10" s="83" t="s">
        <v>2546</v>
      </c>
      <c r="G10" s="83">
        <v>68</v>
      </c>
      <c r="H10" s="83" t="s">
        <v>2594</v>
      </c>
      <c r="I10" s="83" t="s">
        <v>340</v>
      </c>
      <c r="J10" s="83" t="s">
        <v>2588</v>
      </c>
      <c r="K10" s="83" t="s">
        <v>2595</v>
      </c>
      <c r="L10" s="84" t="s">
        <v>217</v>
      </c>
      <c r="M10" s="84">
        <v>46057.393750000003</v>
      </c>
      <c r="N10" s="83" t="s">
        <v>2596</v>
      </c>
      <c r="O10" s="26" t="s">
        <v>108</v>
      </c>
      <c r="P10" s="41"/>
      <c r="Q10" s="26" t="s">
        <v>108</v>
      </c>
      <c r="R10" s="25"/>
      <c r="S10" s="26" t="s">
        <v>108</v>
      </c>
      <c r="T10" s="25"/>
      <c r="U10" s="26" t="s">
        <v>108</v>
      </c>
      <c r="V10" s="25"/>
      <c r="W10" s="26" t="s">
        <v>108</v>
      </c>
      <c r="X10" s="25"/>
      <c r="Y10" s="26" t="s">
        <v>108</v>
      </c>
      <c r="Z10" s="25"/>
      <c r="AA10" s="26" t="s">
        <v>108</v>
      </c>
      <c r="AB10" s="25"/>
      <c r="AC10" s="26" t="s">
        <v>108</v>
      </c>
      <c r="AD10" s="25"/>
      <c r="AE10" s="26" t="s">
        <v>108</v>
      </c>
      <c r="AF10" s="71" t="str">
        <f t="shared" si="1"/>
        <v>C</v>
      </c>
      <c r="AG10" s="21" t="str">
        <f t="shared" si="0"/>
        <v>UTILIZOU O PDA CORRETAMENTE</v>
      </c>
      <c r="AH10" s="16" t="s">
        <v>13</v>
      </c>
      <c r="AI10" s="29" t="str">
        <f t="shared" si="2"/>
        <v>GUARULHOS</v>
      </c>
      <c r="AJ10" s="29" t="s">
        <v>1</v>
      </c>
    </row>
    <row r="11" spans="1:36" ht="30" customHeight="1" x14ac:dyDescent="0.2">
      <c r="A11" s="83" t="s">
        <v>101</v>
      </c>
      <c r="B11" s="83">
        <v>2613592747</v>
      </c>
      <c r="C11" s="83" t="s">
        <v>69</v>
      </c>
      <c r="D11" s="83" t="s">
        <v>20</v>
      </c>
      <c r="E11" s="83" t="s">
        <v>102</v>
      </c>
      <c r="F11" s="83" t="s">
        <v>2597</v>
      </c>
      <c r="G11" s="83">
        <v>5</v>
      </c>
      <c r="H11" s="83" t="s">
        <v>2598</v>
      </c>
      <c r="I11" s="83" t="s">
        <v>940</v>
      </c>
      <c r="J11" s="83" t="s">
        <v>2586</v>
      </c>
      <c r="K11" s="83"/>
      <c r="L11" s="84" t="s">
        <v>217</v>
      </c>
      <c r="M11" s="84">
        <v>46057.378472222219</v>
      </c>
      <c r="N11" s="83" t="s">
        <v>2596</v>
      </c>
      <c r="O11" s="26" t="s">
        <v>108</v>
      </c>
      <c r="P11" s="41"/>
      <c r="Q11" s="26" t="s">
        <v>108</v>
      </c>
      <c r="R11" s="25"/>
      <c r="S11" s="26" t="s">
        <v>108</v>
      </c>
      <c r="T11" s="25"/>
      <c r="U11" s="26" t="s">
        <v>108</v>
      </c>
      <c r="V11" s="25"/>
      <c r="W11" s="26" t="s">
        <v>108</v>
      </c>
      <c r="X11" s="25"/>
      <c r="Y11" s="26" t="s">
        <v>108</v>
      </c>
      <c r="Z11" s="25"/>
      <c r="AA11" s="26" t="s">
        <v>108</v>
      </c>
      <c r="AB11" s="25"/>
      <c r="AC11" s="26" t="s">
        <v>108</v>
      </c>
      <c r="AD11" s="25"/>
      <c r="AE11" s="26" t="s">
        <v>108</v>
      </c>
      <c r="AF11" s="71" t="str">
        <f t="shared" si="1"/>
        <v>C</v>
      </c>
      <c r="AG11" s="21" t="str">
        <f t="shared" si="0"/>
        <v>UTILIZOU O PDA CORRETAMENTE</v>
      </c>
      <c r="AH11" s="16" t="s">
        <v>13</v>
      </c>
      <c r="AI11" s="29" t="str">
        <f t="shared" si="2"/>
        <v>GUARULHOS</v>
      </c>
      <c r="AJ11" s="29" t="s">
        <v>1</v>
      </c>
    </row>
    <row r="12" spans="1:36" ht="30" customHeight="1" x14ac:dyDescent="0.2">
      <c r="A12" s="83" t="s">
        <v>101</v>
      </c>
      <c r="B12" s="83">
        <v>2613765928</v>
      </c>
      <c r="C12" s="83" t="s">
        <v>68</v>
      </c>
      <c r="D12" s="83" t="s">
        <v>20</v>
      </c>
      <c r="E12" s="83" t="s">
        <v>102</v>
      </c>
      <c r="F12" s="83" t="s">
        <v>2599</v>
      </c>
      <c r="G12" s="83">
        <v>461</v>
      </c>
      <c r="H12" s="83" t="s">
        <v>2600</v>
      </c>
      <c r="I12" s="83" t="s">
        <v>516</v>
      </c>
      <c r="J12" s="83" t="s">
        <v>2588</v>
      </c>
      <c r="K12" s="83" t="s">
        <v>2595</v>
      </c>
      <c r="L12" s="84" t="s">
        <v>217</v>
      </c>
      <c r="M12" s="84">
        <v>46057.40902777778</v>
      </c>
      <c r="N12" s="83" t="s">
        <v>2596</v>
      </c>
      <c r="O12" s="26" t="s">
        <v>108</v>
      </c>
      <c r="P12" s="41"/>
      <c r="Q12" s="26" t="s">
        <v>108</v>
      </c>
      <c r="R12" s="25"/>
      <c r="S12" s="26" t="s">
        <v>108</v>
      </c>
      <c r="T12" s="25"/>
      <c r="U12" s="26" t="s">
        <v>108</v>
      </c>
      <c r="V12" s="25"/>
      <c r="W12" s="26" t="s">
        <v>108</v>
      </c>
      <c r="X12" s="25"/>
      <c r="Y12" s="26" t="s">
        <v>14</v>
      </c>
      <c r="Z12" s="25"/>
      <c r="AA12" s="26" t="s">
        <v>108</v>
      </c>
      <c r="AB12" s="25"/>
      <c r="AC12" s="26" t="s">
        <v>108</v>
      </c>
      <c r="AD12" s="25"/>
      <c r="AE12" s="26" t="s">
        <v>108</v>
      </c>
      <c r="AF12" s="71" t="str">
        <f t="shared" si="1"/>
        <v>C</v>
      </c>
      <c r="AG12" s="21" t="str">
        <f t="shared" si="0"/>
        <v>UTILIZOU O PDA CORRETAMENTE</v>
      </c>
      <c r="AH12" s="16" t="s">
        <v>13</v>
      </c>
      <c r="AI12" s="29" t="str">
        <f t="shared" si="2"/>
        <v>GUARULHOS</v>
      </c>
      <c r="AJ12" s="29" t="s">
        <v>1</v>
      </c>
    </row>
    <row r="13" spans="1:36" ht="30" customHeight="1" x14ac:dyDescent="0.2">
      <c r="A13" s="83" t="s">
        <v>101</v>
      </c>
      <c r="B13" s="83">
        <v>2613698364</v>
      </c>
      <c r="C13" s="83" t="s">
        <v>68</v>
      </c>
      <c r="D13" s="83" t="s">
        <v>20</v>
      </c>
      <c r="E13" s="83" t="s">
        <v>102</v>
      </c>
      <c r="F13" s="83" t="s">
        <v>128</v>
      </c>
      <c r="G13" s="83">
        <v>313</v>
      </c>
      <c r="H13" s="83"/>
      <c r="I13" s="83" t="s">
        <v>129</v>
      </c>
      <c r="J13" s="83" t="s">
        <v>2588</v>
      </c>
      <c r="K13" s="83" t="s">
        <v>2601</v>
      </c>
      <c r="L13" s="84" t="s">
        <v>217</v>
      </c>
      <c r="M13" s="84">
        <v>46057.341666666667</v>
      </c>
      <c r="N13" s="83" t="s">
        <v>2596</v>
      </c>
      <c r="O13" s="26" t="s">
        <v>108</v>
      </c>
      <c r="P13" s="41"/>
      <c r="Q13" s="26" t="s">
        <v>214</v>
      </c>
      <c r="R13" s="25"/>
      <c r="S13" s="26" t="s">
        <v>108</v>
      </c>
      <c r="T13" s="25"/>
      <c r="U13" s="26" t="s">
        <v>214</v>
      </c>
      <c r="V13" s="25"/>
      <c r="W13" s="26" t="s">
        <v>214</v>
      </c>
      <c r="X13" s="25"/>
      <c r="Y13" s="26" t="s">
        <v>214</v>
      </c>
      <c r="Z13" s="25"/>
      <c r="AA13" s="26" t="s">
        <v>214</v>
      </c>
      <c r="AB13" s="25"/>
      <c r="AC13" s="26" t="s">
        <v>214</v>
      </c>
      <c r="AD13" s="25"/>
      <c r="AE13" s="26" t="s">
        <v>114</v>
      </c>
      <c r="AF13" s="71" t="str">
        <f t="shared" si="1"/>
        <v>NC</v>
      </c>
      <c r="AG13" s="21" t="str">
        <f t="shared" si="0"/>
        <v>NÃO UTILIZOU O PDA</v>
      </c>
      <c r="AH13" s="16" t="s">
        <v>4</v>
      </c>
      <c r="AI13" s="29" t="str">
        <f t="shared" si="2"/>
        <v>GUARULHOS</v>
      </c>
      <c r="AJ13" s="29" t="s">
        <v>1</v>
      </c>
    </row>
    <row r="14" spans="1:36" ht="30" customHeight="1" x14ac:dyDescent="0.2">
      <c r="A14" s="83" t="s">
        <v>101</v>
      </c>
      <c r="B14" s="83">
        <v>2613673521</v>
      </c>
      <c r="C14" s="83" t="s">
        <v>71</v>
      </c>
      <c r="D14" s="83" t="s">
        <v>20</v>
      </c>
      <c r="E14" s="83" t="s">
        <v>102</v>
      </c>
      <c r="F14" s="83" t="s">
        <v>2602</v>
      </c>
      <c r="G14" s="83">
        <v>272</v>
      </c>
      <c r="H14" s="83" t="s">
        <v>2005</v>
      </c>
      <c r="I14" s="83" t="s">
        <v>940</v>
      </c>
      <c r="J14" s="83" t="s">
        <v>2586</v>
      </c>
      <c r="K14" s="83" t="s">
        <v>117</v>
      </c>
      <c r="L14" s="84" t="s">
        <v>217</v>
      </c>
      <c r="M14" s="84">
        <v>46057.359027777777</v>
      </c>
      <c r="N14" s="83" t="s">
        <v>2596</v>
      </c>
      <c r="O14" s="26" t="s">
        <v>108</v>
      </c>
      <c r="P14" s="41"/>
      <c r="Q14" s="26" t="s">
        <v>108</v>
      </c>
      <c r="R14" s="25"/>
      <c r="S14" s="26" t="s">
        <v>108</v>
      </c>
      <c r="T14" s="25"/>
      <c r="U14" s="26" t="s">
        <v>108</v>
      </c>
      <c r="V14" s="25"/>
      <c r="W14" s="26" t="s">
        <v>108</v>
      </c>
      <c r="X14" s="25"/>
      <c r="Y14" s="26" t="s">
        <v>108</v>
      </c>
      <c r="Z14" s="25"/>
      <c r="AA14" s="26" t="s">
        <v>108</v>
      </c>
      <c r="AB14" s="25"/>
      <c r="AC14" s="26" t="s">
        <v>108</v>
      </c>
      <c r="AD14" s="25"/>
      <c r="AE14" s="26" t="s">
        <v>108</v>
      </c>
      <c r="AF14" s="71" t="str">
        <f t="shared" si="1"/>
        <v>C</v>
      </c>
      <c r="AG14" s="21" t="str">
        <f t="shared" si="0"/>
        <v>UTILIZOU O PDA CORRETAMENTE</v>
      </c>
      <c r="AH14" s="16" t="s">
        <v>4</v>
      </c>
      <c r="AI14" s="29" t="str">
        <f t="shared" si="2"/>
        <v>GUARULHOS</v>
      </c>
      <c r="AJ14" s="29" t="s">
        <v>1</v>
      </c>
    </row>
    <row r="15" spans="1:36" ht="30" customHeight="1" x14ac:dyDescent="0.2">
      <c r="A15" s="83" t="s">
        <v>101</v>
      </c>
      <c r="B15" s="83">
        <v>2613368415</v>
      </c>
      <c r="C15" s="83" t="s">
        <v>69</v>
      </c>
      <c r="D15" s="83" t="s">
        <v>20</v>
      </c>
      <c r="E15" s="83" t="s">
        <v>102</v>
      </c>
      <c r="F15" s="83" t="s">
        <v>109</v>
      </c>
      <c r="G15" s="83">
        <v>419</v>
      </c>
      <c r="H15" s="83" t="s">
        <v>110</v>
      </c>
      <c r="I15" s="83" t="s">
        <v>111</v>
      </c>
      <c r="J15" s="83" t="s">
        <v>2586</v>
      </c>
      <c r="K15" s="83"/>
      <c r="L15" s="84" t="s">
        <v>217</v>
      </c>
      <c r="M15" s="84">
        <v>46057.368750000001</v>
      </c>
      <c r="N15" s="83" t="s">
        <v>2603</v>
      </c>
      <c r="O15" s="26" t="s">
        <v>114</v>
      </c>
      <c r="P15" s="41" t="s">
        <v>279</v>
      </c>
      <c r="Q15" s="26" t="s">
        <v>114</v>
      </c>
      <c r="R15" s="41" t="s">
        <v>279</v>
      </c>
      <c r="S15" s="26" t="s">
        <v>114</v>
      </c>
      <c r="T15" s="41" t="s">
        <v>279</v>
      </c>
      <c r="U15" s="26" t="s">
        <v>114</v>
      </c>
      <c r="V15" s="41" t="s">
        <v>279</v>
      </c>
      <c r="W15" s="26" t="s">
        <v>114</v>
      </c>
      <c r="X15" s="41" t="s">
        <v>279</v>
      </c>
      <c r="Y15" s="26" t="s">
        <v>114</v>
      </c>
      <c r="Z15" s="41" t="s">
        <v>279</v>
      </c>
      <c r="AA15" s="26" t="s">
        <v>114</v>
      </c>
      <c r="AB15" s="41" t="s">
        <v>279</v>
      </c>
      <c r="AC15" s="26" t="s">
        <v>114</v>
      </c>
      <c r="AD15" s="41" t="s">
        <v>279</v>
      </c>
      <c r="AE15" s="26" t="s">
        <v>114</v>
      </c>
      <c r="AF15" s="71" t="str">
        <f t="shared" si="1"/>
        <v>NC</v>
      </c>
      <c r="AG15" s="21" t="str">
        <f t="shared" si="0"/>
        <v>NÃO UTILIZOU O PDA</v>
      </c>
      <c r="AH15" s="16" t="s">
        <v>4</v>
      </c>
      <c r="AI15" s="29" t="str">
        <f t="shared" si="2"/>
        <v>GUARULHOS</v>
      </c>
      <c r="AJ15" s="29" t="s">
        <v>1</v>
      </c>
    </row>
    <row r="16" spans="1:36" ht="30" customHeight="1" x14ac:dyDescent="0.2">
      <c r="A16" s="83" t="s">
        <v>101</v>
      </c>
      <c r="B16" s="83">
        <v>2613672375</v>
      </c>
      <c r="C16" s="83" t="s">
        <v>71</v>
      </c>
      <c r="D16" s="83" t="s">
        <v>20</v>
      </c>
      <c r="E16" s="83" t="s">
        <v>102</v>
      </c>
      <c r="F16" s="83" t="s">
        <v>2604</v>
      </c>
      <c r="G16" s="83">
        <v>73</v>
      </c>
      <c r="H16" s="83" t="s">
        <v>2605</v>
      </c>
      <c r="I16" s="83" t="s">
        <v>247</v>
      </c>
      <c r="J16" s="83" t="s">
        <v>2586</v>
      </c>
      <c r="K16" s="83" t="s">
        <v>2606</v>
      </c>
      <c r="L16" s="84" t="s">
        <v>217</v>
      </c>
      <c r="M16" s="84">
        <v>46057.365277777775</v>
      </c>
      <c r="N16" s="83" t="s">
        <v>2603</v>
      </c>
      <c r="O16" s="26" t="s">
        <v>108</v>
      </c>
      <c r="P16" s="41"/>
      <c r="Q16" s="26" t="s">
        <v>108</v>
      </c>
      <c r="R16" s="25"/>
      <c r="S16" s="26" t="s">
        <v>108</v>
      </c>
      <c r="T16" s="25"/>
      <c r="U16" s="26" t="s">
        <v>108</v>
      </c>
      <c r="V16" s="25"/>
      <c r="W16" s="26" t="s">
        <v>108</v>
      </c>
      <c r="X16" s="25"/>
      <c r="Y16" s="26" t="s">
        <v>108</v>
      </c>
      <c r="Z16" s="25"/>
      <c r="AA16" s="26" t="s">
        <v>108</v>
      </c>
      <c r="AB16" s="25"/>
      <c r="AC16" s="26" t="s">
        <v>108</v>
      </c>
      <c r="AD16" s="25"/>
      <c r="AE16" s="26" t="s">
        <v>108</v>
      </c>
      <c r="AF16" s="71" t="str">
        <f t="shared" si="1"/>
        <v>C</v>
      </c>
      <c r="AG16" s="21" t="str">
        <f t="shared" si="0"/>
        <v>UTILIZOU O PDA CORRETAMENTE</v>
      </c>
      <c r="AH16" s="16" t="s">
        <v>4</v>
      </c>
      <c r="AI16" s="29" t="str">
        <f t="shared" si="2"/>
        <v>GUARULHOS</v>
      </c>
      <c r="AJ16" s="29" t="s">
        <v>1</v>
      </c>
    </row>
    <row r="17" spans="1:36" ht="30" customHeight="1" x14ac:dyDescent="0.2">
      <c r="A17" s="83" t="s">
        <v>101</v>
      </c>
      <c r="B17" s="83">
        <v>2613368415</v>
      </c>
      <c r="C17" s="83" t="s">
        <v>71</v>
      </c>
      <c r="D17" s="83" t="s">
        <v>20</v>
      </c>
      <c r="E17" s="83" t="s">
        <v>102</v>
      </c>
      <c r="F17" s="83" t="s">
        <v>109</v>
      </c>
      <c r="G17" s="83">
        <v>419</v>
      </c>
      <c r="H17" s="83" t="s">
        <v>110</v>
      </c>
      <c r="I17" s="83" t="s">
        <v>111</v>
      </c>
      <c r="J17" s="83" t="s">
        <v>2586</v>
      </c>
      <c r="K17" s="83"/>
      <c r="L17" s="84" t="s">
        <v>217</v>
      </c>
      <c r="M17" s="84">
        <v>46057.363888888889</v>
      </c>
      <c r="N17" s="83" t="s">
        <v>2603</v>
      </c>
      <c r="O17" s="26" t="s">
        <v>114</v>
      </c>
      <c r="P17" s="41" t="s">
        <v>279</v>
      </c>
      <c r="Q17" s="26" t="s">
        <v>114</v>
      </c>
      <c r="R17" s="41" t="s">
        <v>279</v>
      </c>
      <c r="S17" s="26" t="s">
        <v>114</v>
      </c>
      <c r="T17" s="41" t="s">
        <v>279</v>
      </c>
      <c r="U17" s="26" t="s">
        <v>114</v>
      </c>
      <c r="V17" s="41" t="s">
        <v>279</v>
      </c>
      <c r="W17" s="26" t="s">
        <v>114</v>
      </c>
      <c r="X17" s="41" t="s">
        <v>279</v>
      </c>
      <c r="Y17" s="26" t="s">
        <v>114</v>
      </c>
      <c r="Z17" s="41" t="s">
        <v>279</v>
      </c>
      <c r="AA17" s="26" t="s">
        <v>114</v>
      </c>
      <c r="AB17" s="41" t="s">
        <v>279</v>
      </c>
      <c r="AC17" s="26" t="s">
        <v>114</v>
      </c>
      <c r="AD17" s="41" t="s">
        <v>279</v>
      </c>
      <c r="AE17" s="26" t="s">
        <v>114</v>
      </c>
      <c r="AF17" s="71" t="str">
        <f t="shared" si="1"/>
        <v>NC</v>
      </c>
      <c r="AG17" s="21" t="str">
        <f t="shared" si="0"/>
        <v>NÃO UTILIZOU O PDA</v>
      </c>
      <c r="AH17" s="16" t="s">
        <v>4</v>
      </c>
      <c r="AI17" s="29" t="str">
        <f t="shared" si="2"/>
        <v>GUARULHOS</v>
      </c>
      <c r="AJ17" s="29" t="s">
        <v>1</v>
      </c>
    </row>
    <row r="18" spans="1:36" ht="30" customHeight="1" x14ac:dyDescent="0.2">
      <c r="A18" s="83" t="s">
        <v>101</v>
      </c>
      <c r="B18" s="83">
        <v>2613678510</v>
      </c>
      <c r="C18" s="83" t="s">
        <v>71</v>
      </c>
      <c r="D18" s="83" t="s">
        <v>20</v>
      </c>
      <c r="E18" s="83" t="s">
        <v>102</v>
      </c>
      <c r="F18" s="83" t="s">
        <v>2607</v>
      </c>
      <c r="G18" s="83">
        <v>270</v>
      </c>
      <c r="H18" s="83" t="s">
        <v>2608</v>
      </c>
      <c r="I18" s="83" t="s">
        <v>191</v>
      </c>
      <c r="J18" s="83" t="s">
        <v>2586</v>
      </c>
      <c r="K18" s="83" t="s">
        <v>2606</v>
      </c>
      <c r="L18" s="84" t="s">
        <v>217</v>
      </c>
      <c r="M18" s="84">
        <v>46057.380555555559</v>
      </c>
      <c r="N18" s="83" t="s">
        <v>2603</v>
      </c>
      <c r="O18" s="26" t="s">
        <v>14</v>
      </c>
      <c r="P18" s="41"/>
      <c r="Q18" s="26" t="s">
        <v>14</v>
      </c>
      <c r="R18" s="25"/>
      <c r="S18" s="26" t="s">
        <v>14</v>
      </c>
      <c r="T18" s="25"/>
      <c r="U18" s="26" t="s">
        <v>14</v>
      </c>
      <c r="V18" s="25"/>
      <c r="W18" s="26" t="s">
        <v>14</v>
      </c>
      <c r="X18" s="25"/>
      <c r="Y18" s="26" t="s">
        <v>14</v>
      </c>
      <c r="Z18" s="25"/>
      <c r="AA18" s="26" t="s">
        <v>14</v>
      </c>
      <c r="AB18" s="34"/>
      <c r="AC18" s="26" t="s">
        <v>14</v>
      </c>
      <c r="AD18" s="34"/>
      <c r="AE18" s="26" t="s">
        <v>14</v>
      </c>
      <c r="AF18" s="71" t="str">
        <f t="shared" si="1"/>
        <v>NA</v>
      </c>
      <c r="AG18" s="21" t="str">
        <f t="shared" si="0"/>
        <v>NÃO AVALIADO POR FALHA DE SINCRONISMO</v>
      </c>
      <c r="AH18" s="16" t="s">
        <v>13</v>
      </c>
      <c r="AI18" s="29" t="str">
        <f t="shared" si="2"/>
        <v>GUARULHOS</v>
      </c>
      <c r="AJ18" s="29" t="s">
        <v>1</v>
      </c>
    </row>
    <row r="19" spans="1:36" ht="30" customHeight="1" x14ac:dyDescent="0.2">
      <c r="A19" s="83" t="s">
        <v>101</v>
      </c>
      <c r="B19" s="83">
        <v>2613744360</v>
      </c>
      <c r="C19" s="83" t="s">
        <v>68</v>
      </c>
      <c r="D19" s="83" t="s">
        <v>20</v>
      </c>
      <c r="E19" s="83" t="s">
        <v>102</v>
      </c>
      <c r="F19" s="83" t="s">
        <v>655</v>
      </c>
      <c r="G19" s="83">
        <v>1823</v>
      </c>
      <c r="H19" s="83"/>
      <c r="I19" s="83" t="s">
        <v>407</v>
      </c>
      <c r="J19" s="83" t="s">
        <v>2588</v>
      </c>
      <c r="K19" s="83" t="s">
        <v>2606</v>
      </c>
      <c r="L19" s="84" t="s">
        <v>217</v>
      </c>
      <c r="M19" s="84">
        <v>46057.375</v>
      </c>
      <c r="N19" s="83" t="s">
        <v>2603</v>
      </c>
      <c r="O19" s="26" t="s">
        <v>108</v>
      </c>
      <c r="P19" s="42"/>
      <c r="Q19" s="26" t="s">
        <v>108</v>
      </c>
      <c r="R19" s="10"/>
      <c r="S19" s="26" t="s">
        <v>108</v>
      </c>
      <c r="T19" s="10"/>
      <c r="U19" s="26" t="s">
        <v>108</v>
      </c>
      <c r="V19" s="10"/>
      <c r="W19" s="26" t="s">
        <v>108</v>
      </c>
      <c r="X19" s="10"/>
      <c r="Y19" s="26" t="s">
        <v>108</v>
      </c>
      <c r="Z19" s="10"/>
      <c r="AA19" s="26" t="s">
        <v>108</v>
      </c>
      <c r="AB19" s="34"/>
      <c r="AC19" s="26" t="s">
        <v>108</v>
      </c>
      <c r="AD19" s="34"/>
      <c r="AE19" s="26" t="s">
        <v>108</v>
      </c>
      <c r="AF19" s="71" t="str">
        <f t="shared" si="1"/>
        <v>C</v>
      </c>
      <c r="AG19" s="21" t="str">
        <f t="shared" si="0"/>
        <v>UTILIZOU O PDA CORRETAMENTE</v>
      </c>
      <c r="AH19" s="16" t="s">
        <v>4</v>
      </c>
      <c r="AI19" s="29" t="str">
        <f t="shared" si="2"/>
        <v>GUARULHOS</v>
      </c>
      <c r="AJ19" s="29" t="s">
        <v>1</v>
      </c>
    </row>
    <row r="20" spans="1:36" ht="30" customHeight="1" x14ac:dyDescent="0.2">
      <c r="A20" s="83" t="s">
        <v>101</v>
      </c>
      <c r="B20" s="83">
        <v>2689146928</v>
      </c>
      <c r="C20" s="83" t="s">
        <v>68</v>
      </c>
      <c r="D20" s="83" t="s">
        <v>20</v>
      </c>
      <c r="E20" s="83" t="s">
        <v>102</v>
      </c>
      <c r="F20" s="83" t="s">
        <v>628</v>
      </c>
      <c r="G20" s="83">
        <v>398</v>
      </c>
      <c r="H20" s="83" t="s">
        <v>117</v>
      </c>
      <c r="I20" s="83" t="s">
        <v>277</v>
      </c>
      <c r="J20" s="83" t="s">
        <v>2588</v>
      </c>
      <c r="K20" s="83" t="s">
        <v>2606</v>
      </c>
      <c r="L20" s="84" t="s">
        <v>217</v>
      </c>
      <c r="M20" s="84">
        <v>46057.334027777775</v>
      </c>
      <c r="N20" s="83" t="s">
        <v>2603</v>
      </c>
      <c r="O20" s="26" t="s">
        <v>108</v>
      </c>
      <c r="P20" s="42"/>
      <c r="Q20" s="26" t="s">
        <v>108</v>
      </c>
      <c r="R20" s="10"/>
      <c r="S20" s="26" t="s">
        <v>108</v>
      </c>
      <c r="T20" s="10"/>
      <c r="U20" s="26" t="s">
        <v>108</v>
      </c>
      <c r="V20" s="10"/>
      <c r="W20" s="26" t="s">
        <v>108</v>
      </c>
      <c r="X20" s="10"/>
      <c r="Y20" s="26" t="s">
        <v>108</v>
      </c>
      <c r="Z20" s="10"/>
      <c r="AA20" s="26" t="s">
        <v>108</v>
      </c>
      <c r="AB20" s="34"/>
      <c r="AC20" s="26" t="s">
        <v>108</v>
      </c>
      <c r="AD20" s="34"/>
      <c r="AE20" s="26" t="s">
        <v>108</v>
      </c>
      <c r="AF20" s="71" t="str">
        <f t="shared" si="1"/>
        <v>C</v>
      </c>
      <c r="AG20" s="21" t="str">
        <f t="shared" si="0"/>
        <v>UTILIZOU O PDA CORRETAMENTE</v>
      </c>
      <c r="AH20" s="42" t="s">
        <v>4</v>
      </c>
      <c r="AI20" s="29" t="str">
        <f t="shared" si="2"/>
        <v>GUARULHOS</v>
      </c>
      <c r="AJ20" s="29" t="s">
        <v>1</v>
      </c>
    </row>
    <row r="21" spans="1:36" ht="30" customHeight="1" x14ac:dyDescent="0.2">
      <c r="A21" s="83" t="s">
        <v>101</v>
      </c>
      <c r="B21" s="83">
        <v>2613756857</v>
      </c>
      <c r="C21" s="83" t="s">
        <v>68</v>
      </c>
      <c r="D21" s="83" t="s">
        <v>20</v>
      </c>
      <c r="E21" s="83" t="s">
        <v>102</v>
      </c>
      <c r="F21" s="83" t="s">
        <v>2235</v>
      </c>
      <c r="G21" s="83">
        <v>119</v>
      </c>
      <c r="H21" s="83" t="s">
        <v>712</v>
      </c>
      <c r="I21" s="83" t="s">
        <v>576</v>
      </c>
      <c r="J21" s="83" t="s">
        <v>2588</v>
      </c>
      <c r="K21" s="83" t="s">
        <v>2606</v>
      </c>
      <c r="L21" s="84" t="s">
        <v>217</v>
      </c>
      <c r="M21" s="84">
        <v>46057.375694444447</v>
      </c>
      <c r="N21" s="83" t="s">
        <v>2603</v>
      </c>
      <c r="O21" s="26" t="s">
        <v>108</v>
      </c>
      <c r="P21" s="42"/>
      <c r="Q21" s="26" t="s">
        <v>108</v>
      </c>
      <c r="R21" s="10"/>
      <c r="S21" s="26" t="s">
        <v>108</v>
      </c>
      <c r="T21" s="10"/>
      <c r="U21" s="26" t="s">
        <v>108</v>
      </c>
      <c r="V21" s="10"/>
      <c r="W21" s="26" t="s">
        <v>108</v>
      </c>
      <c r="X21" s="10"/>
      <c r="Y21" s="26" t="s">
        <v>108</v>
      </c>
      <c r="Z21" s="10"/>
      <c r="AA21" s="26" t="s">
        <v>108</v>
      </c>
      <c r="AB21" s="34"/>
      <c r="AC21" s="26" t="s">
        <v>108</v>
      </c>
      <c r="AD21" s="34"/>
      <c r="AE21" s="26" t="s">
        <v>108</v>
      </c>
      <c r="AF21" s="71" t="str">
        <f t="shared" si="1"/>
        <v>C</v>
      </c>
      <c r="AG21" s="21" t="str">
        <f t="shared" si="0"/>
        <v>UTILIZOU O PDA CORRETAMENTE</v>
      </c>
      <c r="AH21" s="42" t="s">
        <v>4</v>
      </c>
      <c r="AI21" s="29" t="str">
        <f t="shared" si="2"/>
        <v>GUARULHOS</v>
      </c>
      <c r="AJ21" s="29" t="s">
        <v>1</v>
      </c>
    </row>
    <row r="22" spans="1:36" ht="30" customHeight="1" x14ac:dyDescent="0.2">
      <c r="A22" s="83" t="s">
        <v>101</v>
      </c>
      <c r="B22" s="83">
        <v>2613671727</v>
      </c>
      <c r="C22" s="83" t="s">
        <v>68</v>
      </c>
      <c r="D22" s="83" t="s">
        <v>20</v>
      </c>
      <c r="E22" s="83" t="s">
        <v>102</v>
      </c>
      <c r="F22" s="83" t="s">
        <v>655</v>
      </c>
      <c r="G22" s="83">
        <v>1814</v>
      </c>
      <c r="H22" s="83" t="s">
        <v>2609</v>
      </c>
      <c r="I22" s="83" t="s">
        <v>576</v>
      </c>
      <c r="J22" s="83" t="s">
        <v>2588</v>
      </c>
      <c r="K22" s="83" t="s">
        <v>2606</v>
      </c>
      <c r="L22" s="84" t="s">
        <v>217</v>
      </c>
      <c r="M22" s="84">
        <v>46057.34097222222</v>
      </c>
      <c r="N22" s="83" t="s">
        <v>2603</v>
      </c>
      <c r="O22" s="26" t="s">
        <v>108</v>
      </c>
      <c r="P22" s="42"/>
      <c r="Q22" s="26" t="s">
        <v>108</v>
      </c>
      <c r="R22" s="10"/>
      <c r="S22" s="26" t="s">
        <v>108</v>
      </c>
      <c r="T22" s="10"/>
      <c r="U22" s="26" t="s">
        <v>108</v>
      </c>
      <c r="V22" s="10"/>
      <c r="W22" s="26" t="s">
        <v>108</v>
      </c>
      <c r="X22" s="10"/>
      <c r="Y22" s="26" t="s">
        <v>108</v>
      </c>
      <c r="Z22" s="10"/>
      <c r="AA22" s="26" t="s">
        <v>108</v>
      </c>
      <c r="AB22" s="34"/>
      <c r="AC22" s="26" t="s">
        <v>108</v>
      </c>
      <c r="AD22" s="34"/>
      <c r="AE22" s="26" t="s">
        <v>108</v>
      </c>
      <c r="AF22" s="71" t="str">
        <f t="shared" si="1"/>
        <v>C</v>
      </c>
      <c r="AG22" s="21" t="str">
        <f t="shared" si="0"/>
        <v>UTILIZOU O PDA CORRETAMENTE</v>
      </c>
      <c r="AH22" s="42" t="s">
        <v>4</v>
      </c>
      <c r="AI22" s="29" t="str">
        <f t="shared" si="2"/>
        <v>GUARULHOS</v>
      </c>
      <c r="AJ22" s="29" t="s">
        <v>1</v>
      </c>
    </row>
    <row r="23" spans="1:36" ht="30" customHeight="1" x14ac:dyDescent="0.2">
      <c r="A23" s="83" t="s">
        <v>101</v>
      </c>
      <c r="B23" s="83">
        <v>2689154922</v>
      </c>
      <c r="C23" s="83" t="s">
        <v>71</v>
      </c>
      <c r="D23" s="83" t="s">
        <v>20</v>
      </c>
      <c r="E23" s="83" t="s">
        <v>102</v>
      </c>
      <c r="F23" s="83" t="s">
        <v>684</v>
      </c>
      <c r="G23" s="83">
        <v>18</v>
      </c>
      <c r="H23" s="83" t="s">
        <v>2610</v>
      </c>
      <c r="I23" s="83" t="s">
        <v>169</v>
      </c>
      <c r="J23" s="83" t="s">
        <v>2586</v>
      </c>
      <c r="K23" s="83" t="s">
        <v>2606</v>
      </c>
      <c r="L23" s="84" t="s">
        <v>217</v>
      </c>
      <c r="M23" s="84">
        <v>46057.368750000001</v>
      </c>
      <c r="N23" s="83" t="s">
        <v>2603</v>
      </c>
      <c r="O23" s="26" t="s">
        <v>108</v>
      </c>
      <c r="P23" s="42"/>
      <c r="Q23" s="26" t="s">
        <v>108</v>
      </c>
      <c r="R23" s="10"/>
      <c r="S23" s="26" t="s">
        <v>108</v>
      </c>
      <c r="T23" s="10"/>
      <c r="U23" s="26" t="s">
        <v>108</v>
      </c>
      <c r="V23" s="10"/>
      <c r="W23" s="26" t="s">
        <v>108</v>
      </c>
      <c r="X23" s="10"/>
      <c r="Y23" s="26" t="s">
        <v>108</v>
      </c>
      <c r="Z23" s="10"/>
      <c r="AA23" s="26" t="s">
        <v>108</v>
      </c>
      <c r="AB23" s="34"/>
      <c r="AC23" s="26" t="s">
        <v>108</v>
      </c>
      <c r="AD23" s="34"/>
      <c r="AE23" s="26" t="s">
        <v>108</v>
      </c>
      <c r="AF23" s="71" t="str">
        <f t="shared" si="1"/>
        <v>C</v>
      </c>
      <c r="AG23" s="21" t="str">
        <f t="shared" si="0"/>
        <v>UTILIZOU O PDA CORRETAMENTE</v>
      </c>
      <c r="AH23" s="42" t="s">
        <v>4</v>
      </c>
      <c r="AI23" s="29" t="str">
        <f t="shared" si="2"/>
        <v>GUARULHOS</v>
      </c>
      <c r="AJ23" s="29" t="s">
        <v>1</v>
      </c>
    </row>
    <row r="24" spans="1:36" ht="30" customHeight="1" x14ac:dyDescent="0.2">
      <c r="A24" s="83" t="s">
        <v>101</v>
      </c>
      <c r="B24" s="83">
        <v>2613740714</v>
      </c>
      <c r="C24" s="83" t="s">
        <v>71</v>
      </c>
      <c r="D24" s="83" t="s">
        <v>20</v>
      </c>
      <c r="E24" s="83" t="s">
        <v>102</v>
      </c>
      <c r="F24" s="83" t="s">
        <v>2611</v>
      </c>
      <c r="G24" s="83">
        <v>159</v>
      </c>
      <c r="H24" s="83" t="s">
        <v>2612</v>
      </c>
      <c r="I24" s="83" t="s">
        <v>2613</v>
      </c>
      <c r="J24" s="83" t="s">
        <v>2586</v>
      </c>
      <c r="K24" s="83" t="s">
        <v>2606</v>
      </c>
      <c r="L24" s="84" t="s">
        <v>217</v>
      </c>
      <c r="M24" s="84">
        <v>46057.334027777775</v>
      </c>
      <c r="N24" s="83" t="s">
        <v>2603</v>
      </c>
      <c r="O24" s="26" t="s">
        <v>108</v>
      </c>
      <c r="P24" s="42"/>
      <c r="Q24" s="26" t="s">
        <v>108</v>
      </c>
      <c r="R24" s="10"/>
      <c r="S24" s="26" t="s">
        <v>108</v>
      </c>
      <c r="T24" s="10"/>
      <c r="U24" s="26" t="s">
        <v>108</v>
      </c>
      <c r="V24" s="10"/>
      <c r="W24" s="26" t="s">
        <v>108</v>
      </c>
      <c r="X24" s="10"/>
      <c r="Y24" s="26" t="s">
        <v>108</v>
      </c>
      <c r="Z24" s="10"/>
      <c r="AA24" s="26" t="s">
        <v>108</v>
      </c>
      <c r="AB24" s="34"/>
      <c r="AC24" s="26" t="s">
        <v>108</v>
      </c>
      <c r="AD24" s="34"/>
      <c r="AE24" s="26" t="s">
        <v>108</v>
      </c>
      <c r="AF24" s="71" t="str">
        <f t="shared" si="1"/>
        <v>C</v>
      </c>
      <c r="AG24" s="21" t="str">
        <f t="shared" si="0"/>
        <v>UTILIZOU O PDA CORRETAMENTE</v>
      </c>
      <c r="AH24" s="42" t="s">
        <v>4</v>
      </c>
      <c r="AI24" s="29" t="str">
        <f t="shared" si="2"/>
        <v>GUARULHOS</v>
      </c>
      <c r="AJ24" s="29" t="s">
        <v>1</v>
      </c>
    </row>
    <row r="25" spans="1:36" ht="30" customHeight="1" x14ac:dyDescent="0.2">
      <c r="A25" s="83" t="s">
        <v>101</v>
      </c>
      <c r="B25" s="83">
        <v>2613563065</v>
      </c>
      <c r="C25" s="83" t="s">
        <v>71</v>
      </c>
      <c r="D25" s="83" t="s">
        <v>20</v>
      </c>
      <c r="E25" s="83" t="s">
        <v>102</v>
      </c>
      <c r="F25" s="83" t="s">
        <v>553</v>
      </c>
      <c r="G25" s="83">
        <v>168</v>
      </c>
      <c r="H25" s="83" t="s">
        <v>2614</v>
      </c>
      <c r="I25" s="83" t="s">
        <v>277</v>
      </c>
      <c r="J25" s="83" t="s">
        <v>2586</v>
      </c>
      <c r="K25" s="83" t="s">
        <v>2606</v>
      </c>
      <c r="L25" s="84" t="s">
        <v>217</v>
      </c>
      <c r="M25" s="84">
        <v>46057.368055555555</v>
      </c>
      <c r="N25" s="83" t="s">
        <v>2603</v>
      </c>
      <c r="O25" s="26" t="s">
        <v>108</v>
      </c>
      <c r="P25" s="42"/>
      <c r="Q25" s="26" t="s">
        <v>108</v>
      </c>
      <c r="R25" s="10"/>
      <c r="S25" s="26" t="s">
        <v>108</v>
      </c>
      <c r="T25" s="10"/>
      <c r="U25" s="26" t="s">
        <v>108</v>
      </c>
      <c r="V25" s="10"/>
      <c r="W25" s="26" t="s">
        <v>108</v>
      </c>
      <c r="X25" s="10"/>
      <c r="Y25" s="26" t="s">
        <v>108</v>
      </c>
      <c r="Z25" s="10"/>
      <c r="AA25" s="26" t="s">
        <v>108</v>
      </c>
      <c r="AB25" s="34"/>
      <c r="AC25" s="26" t="s">
        <v>108</v>
      </c>
      <c r="AD25" s="34"/>
      <c r="AE25" s="26" t="s">
        <v>108</v>
      </c>
      <c r="AF25" s="71" t="str">
        <f t="shared" si="1"/>
        <v>C</v>
      </c>
      <c r="AG25" s="21" t="str">
        <f t="shared" si="0"/>
        <v>UTILIZOU O PDA CORRETAMENTE</v>
      </c>
      <c r="AH25" s="42" t="s">
        <v>4</v>
      </c>
      <c r="AI25" s="29" t="str">
        <f t="shared" si="2"/>
        <v>GUARULHOS</v>
      </c>
      <c r="AJ25" s="29" t="s">
        <v>1</v>
      </c>
    </row>
    <row r="26" spans="1:36" ht="30" customHeight="1" x14ac:dyDescent="0.2">
      <c r="A26" s="83" t="s">
        <v>101</v>
      </c>
      <c r="B26" s="83">
        <v>2613454863</v>
      </c>
      <c r="C26" s="83" t="s">
        <v>69</v>
      </c>
      <c r="D26" s="83" t="s">
        <v>20</v>
      </c>
      <c r="E26" s="83" t="s">
        <v>102</v>
      </c>
      <c r="F26" s="83" t="s">
        <v>2615</v>
      </c>
      <c r="G26" s="83">
        <v>41</v>
      </c>
      <c r="H26" s="83" t="s">
        <v>1200</v>
      </c>
      <c r="I26" s="83" t="s">
        <v>820</v>
      </c>
      <c r="J26" s="83" t="s">
        <v>2586</v>
      </c>
      <c r="K26" s="83" t="s">
        <v>2616</v>
      </c>
      <c r="L26" s="84" t="s">
        <v>217</v>
      </c>
      <c r="M26" s="84">
        <v>46057.459027777775</v>
      </c>
      <c r="N26" s="83" t="s">
        <v>2587</v>
      </c>
      <c r="O26" s="26" t="s">
        <v>108</v>
      </c>
      <c r="P26" s="42"/>
      <c r="Q26" s="26" t="s">
        <v>108</v>
      </c>
      <c r="R26" s="10"/>
      <c r="S26" s="26" t="s">
        <v>108</v>
      </c>
      <c r="T26" s="10"/>
      <c r="U26" s="26" t="s">
        <v>108</v>
      </c>
      <c r="V26" s="10"/>
      <c r="W26" s="26" t="s">
        <v>108</v>
      </c>
      <c r="X26" s="10"/>
      <c r="Y26" s="26" t="s">
        <v>108</v>
      </c>
      <c r="Z26" s="10"/>
      <c r="AA26" s="26" t="s">
        <v>108</v>
      </c>
      <c r="AB26" s="34"/>
      <c r="AC26" s="26" t="s">
        <v>108</v>
      </c>
      <c r="AD26" s="34"/>
      <c r="AE26" s="26" t="s">
        <v>108</v>
      </c>
      <c r="AF26" s="71" t="str">
        <f t="shared" si="1"/>
        <v>C</v>
      </c>
      <c r="AG26" s="21" t="str">
        <f t="shared" si="0"/>
        <v>UTILIZOU O PDA CORRETAMENTE</v>
      </c>
      <c r="AH26" s="42" t="s">
        <v>4</v>
      </c>
      <c r="AI26" s="29" t="str">
        <f t="shared" si="2"/>
        <v>GUARULHOS</v>
      </c>
      <c r="AJ26" s="29" t="s">
        <v>1</v>
      </c>
    </row>
    <row r="27" spans="1:36" ht="30" customHeight="1" x14ac:dyDescent="0.2">
      <c r="A27" s="83" t="s">
        <v>101</v>
      </c>
      <c r="B27" s="83">
        <v>2613840742</v>
      </c>
      <c r="C27" s="83" t="s">
        <v>68</v>
      </c>
      <c r="D27" s="83" t="s">
        <v>20</v>
      </c>
      <c r="E27" s="83" t="s">
        <v>102</v>
      </c>
      <c r="F27" s="83" t="s">
        <v>137</v>
      </c>
      <c r="G27" s="83">
        <v>405</v>
      </c>
      <c r="H27" s="83" t="s">
        <v>117</v>
      </c>
      <c r="I27" s="83" t="s">
        <v>139</v>
      </c>
      <c r="J27" s="83" t="s">
        <v>2588</v>
      </c>
      <c r="K27" s="83" t="s">
        <v>117</v>
      </c>
      <c r="L27" s="84" t="s">
        <v>273</v>
      </c>
      <c r="M27" s="84">
        <v>46085.384027777778</v>
      </c>
      <c r="N27" s="83" t="s">
        <v>2603</v>
      </c>
      <c r="O27" s="26" t="s">
        <v>114</v>
      </c>
      <c r="P27" s="41" t="s">
        <v>279</v>
      </c>
      <c r="Q27" s="26" t="s">
        <v>114</v>
      </c>
      <c r="R27" s="41" t="s">
        <v>279</v>
      </c>
      <c r="S27" s="26" t="s">
        <v>114</v>
      </c>
      <c r="T27" s="41" t="s">
        <v>279</v>
      </c>
      <c r="U27" s="26" t="s">
        <v>114</v>
      </c>
      <c r="V27" s="41" t="s">
        <v>279</v>
      </c>
      <c r="W27" s="26" t="s">
        <v>114</v>
      </c>
      <c r="X27" s="41" t="s">
        <v>279</v>
      </c>
      <c r="Y27" s="26" t="s">
        <v>114</v>
      </c>
      <c r="Z27" s="41" t="s">
        <v>279</v>
      </c>
      <c r="AA27" s="26" t="s">
        <v>114</v>
      </c>
      <c r="AB27" s="41" t="s">
        <v>279</v>
      </c>
      <c r="AC27" s="26" t="s">
        <v>114</v>
      </c>
      <c r="AD27" s="41" t="s">
        <v>279</v>
      </c>
      <c r="AE27" s="26" t="s">
        <v>114</v>
      </c>
      <c r="AF27" s="71" t="str">
        <f t="shared" si="1"/>
        <v>NC</v>
      </c>
      <c r="AG27" s="21" t="str">
        <f t="shared" si="0"/>
        <v>NÃO UTILIZOU O PDA</v>
      </c>
      <c r="AH27" s="42" t="s">
        <v>4</v>
      </c>
      <c r="AI27" s="29" t="str">
        <f t="shared" si="2"/>
        <v>GUARULHOS</v>
      </c>
      <c r="AJ27" s="29" t="s">
        <v>1</v>
      </c>
    </row>
    <row r="28" spans="1:36" ht="30" customHeight="1" x14ac:dyDescent="0.2">
      <c r="A28" s="83" t="s">
        <v>101</v>
      </c>
      <c r="B28" s="83">
        <v>2613868634</v>
      </c>
      <c r="C28" s="83" t="s">
        <v>69</v>
      </c>
      <c r="D28" s="83" t="s">
        <v>20</v>
      </c>
      <c r="E28" s="83" t="s">
        <v>102</v>
      </c>
      <c r="F28" s="83" t="s">
        <v>211</v>
      </c>
      <c r="G28" s="83">
        <v>69</v>
      </c>
      <c r="H28" s="83"/>
      <c r="I28" s="83" t="s">
        <v>212</v>
      </c>
      <c r="J28" s="83" t="s">
        <v>2586</v>
      </c>
      <c r="K28" s="83"/>
      <c r="L28" s="84" t="s">
        <v>273</v>
      </c>
      <c r="M28" s="84">
        <v>46085.404166666667</v>
      </c>
      <c r="N28" s="83" t="s">
        <v>2603</v>
      </c>
      <c r="O28" s="26" t="s">
        <v>114</v>
      </c>
      <c r="P28" s="42" t="s">
        <v>279</v>
      </c>
      <c r="Q28" s="26" t="s">
        <v>114</v>
      </c>
      <c r="R28" s="10" t="s">
        <v>279</v>
      </c>
      <c r="S28" s="26" t="s">
        <v>114</v>
      </c>
      <c r="T28" s="10" t="s">
        <v>279</v>
      </c>
      <c r="U28" s="26" t="s">
        <v>114</v>
      </c>
      <c r="V28" s="10" t="s">
        <v>279</v>
      </c>
      <c r="W28" s="26" t="s">
        <v>114</v>
      </c>
      <c r="X28" s="10" t="s">
        <v>279</v>
      </c>
      <c r="Y28" s="26" t="s">
        <v>114</v>
      </c>
      <c r="Z28" s="10" t="s">
        <v>279</v>
      </c>
      <c r="AA28" s="26" t="s">
        <v>114</v>
      </c>
      <c r="AB28" s="34" t="s">
        <v>279</v>
      </c>
      <c r="AC28" s="26" t="s">
        <v>114</v>
      </c>
      <c r="AD28" s="34" t="s">
        <v>279</v>
      </c>
      <c r="AE28" s="26" t="s">
        <v>114</v>
      </c>
      <c r="AF28" s="71" t="str">
        <f t="shared" si="1"/>
        <v>NC</v>
      </c>
      <c r="AG28" s="21" t="str">
        <f t="shared" si="0"/>
        <v>NÃO UTILIZOU O PDA</v>
      </c>
      <c r="AH28" s="42" t="s">
        <v>4</v>
      </c>
      <c r="AI28" s="29" t="str">
        <f t="shared" si="2"/>
        <v>GUARULHOS</v>
      </c>
      <c r="AJ28" s="29" t="s">
        <v>1</v>
      </c>
    </row>
    <row r="29" spans="1:36" ht="30" customHeight="1" x14ac:dyDescent="0.2">
      <c r="A29" s="83" t="s">
        <v>101</v>
      </c>
      <c r="B29" s="83">
        <v>2613740920</v>
      </c>
      <c r="C29" s="83" t="s">
        <v>70</v>
      </c>
      <c r="D29" s="83" t="s">
        <v>20</v>
      </c>
      <c r="E29" s="83" t="s">
        <v>102</v>
      </c>
      <c r="F29" s="83" t="s">
        <v>141</v>
      </c>
      <c r="G29" s="83">
        <v>432</v>
      </c>
      <c r="H29" s="83" t="s">
        <v>142</v>
      </c>
      <c r="I29" s="83" t="s">
        <v>143</v>
      </c>
      <c r="J29" s="83" t="s">
        <v>2588</v>
      </c>
      <c r="K29" s="83" t="s">
        <v>117</v>
      </c>
      <c r="L29" s="84" t="s">
        <v>273</v>
      </c>
      <c r="M29" s="84">
        <v>46085.339583333334</v>
      </c>
      <c r="N29" s="83" t="s">
        <v>2603</v>
      </c>
      <c r="O29" s="26" t="s">
        <v>114</v>
      </c>
      <c r="P29" s="42" t="s">
        <v>279</v>
      </c>
      <c r="Q29" s="26" t="s">
        <v>114</v>
      </c>
      <c r="R29" s="10" t="s">
        <v>279</v>
      </c>
      <c r="S29" s="26" t="s">
        <v>114</v>
      </c>
      <c r="T29" s="10" t="s">
        <v>279</v>
      </c>
      <c r="U29" s="26" t="s">
        <v>114</v>
      </c>
      <c r="V29" s="10" t="s">
        <v>279</v>
      </c>
      <c r="W29" s="26" t="s">
        <v>114</v>
      </c>
      <c r="X29" s="10" t="s">
        <v>279</v>
      </c>
      <c r="Y29" s="26" t="s">
        <v>114</v>
      </c>
      <c r="Z29" s="10" t="s">
        <v>279</v>
      </c>
      <c r="AA29" s="26" t="s">
        <v>114</v>
      </c>
      <c r="AB29" s="34" t="s">
        <v>279</v>
      </c>
      <c r="AC29" s="26" t="s">
        <v>114</v>
      </c>
      <c r="AD29" s="34" t="s">
        <v>279</v>
      </c>
      <c r="AE29" s="26" t="s">
        <v>114</v>
      </c>
      <c r="AF29" s="71" t="str">
        <f t="shared" si="1"/>
        <v>NC</v>
      </c>
      <c r="AG29" s="21" t="str">
        <f t="shared" si="0"/>
        <v>NÃO UTILIZOU O PDA</v>
      </c>
      <c r="AH29" s="42" t="s">
        <v>4</v>
      </c>
      <c r="AI29" s="29" t="str">
        <f t="shared" si="2"/>
        <v>GUARULHOS</v>
      </c>
      <c r="AJ29" s="29" t="s">
        <v>1</v>
      </c>
    </row>
    <row r="30" spans="1:36" ht="30" customHeight="1" x14ac:dyDescent="0.2">
      <c r="A30" s="83" t="s">
        <v>101</v>
      </c>
      <c r="B30" s="83">
        <v>2613640339</v>
      </c>
      <c r="C30" s="83" t="s">
        <v>68</v>
      </c>
      <c r="D30" s="83" t="s">
        <v>20</v>
      </c>
      <c r="E30" s="83" t="s">
        <v>102</v>
      </c>
      <c r="F30" s="83" t="s">
        <v>2617</v>
      </c>
      <c r="G30" s="83">
        <v>55</v>
      </c>
      <c r="H30" s="83" t="s">
        <v>1169</v>
      </c>
      <c r="I30" s="83" t="s">
        <v>2618</v>
      </c>
      <c r="J30" s="83" t="s">
        <v>2588</v>
      </c>
      <c r="K30" s="83"/>
      <c r="L30" s="84" t="s">
        <v>273</v>
      </c>
      <c r="M30" s="84">
        <v>46085.348611111112</v>
      </c>
      <c r="N30" s="83" t="s">
        <v>2603</v>
      </c>
      <c r="O30" s="26" t="s">
        <v>114</v>
      </c>
      <c r="P30" s="42" t="s">
        <v>279</v>
      </c>
      <c r="Q30" s="26" t="s">
        <v>114</v>
      </c>
      <c r="R30" s="10" t="s">
        <v>279</v>
      </c>
      <c r="S30" s="26" t="s">
        <v>114</v>
      </c>
      <c r="T30" s="10" t="s">
        <v>279</v>
      </c>
      <c r="U30" s="26" t="s">
        <v>114</v>
      </c>
      <c r="V30" s="10" t="s">
        <v>279</v>
      </c>
      <c r="W30" s="26" t="s">
        <v>114</v>
      </c>
      <c r="X30" s="10" t="s">
        <v>279</v>
      </c>
      <c r="Y30" s="26" t="s">
        <v>114</v>
      </c>
      <c r="Z30" s="10" t="s">
        <v>279</v>
      </c>
      <c r="AA30" s="26" t="s">
        <v>114</v>
      </c>
      <c r="AB30" s="34" t="s">
        <v>279</v>
      </c>
      <c r="AC30" s="26" t="s">
        <v>114</v>
      </c>
      <c r="AD30" s="34" t="s">
        <v>279</v>
      </c>
      <c r="AE30" s="26" t="s">
        <v>114</v>
      </c>
      <c r="AF30" s="71" t="str">
        <f t="shared" si="1"/>
        <v>NC</v>
      </c>
      <c r="AG30" s="21" t="str">
        <f t="shared" si="0"/>
        <v>NÃO UTILIZOU O PDA</v>
      </c>
      <c r="AH30" s="42" t="s">
        <v>4</v>
      </c>
      <c r="AI30" s="29" t="str">
        <f t="shared" si="2"/>
        <v>GUARULHOS</v>
      </c>
      <c r="AJ30" s="29" t="s">
        <v>1</v>
      </c>
    </row>
    <row r="31" spans="1:36" ht="30" customHeight="1" x14ac:dyDescent="0.2">
      <c r="A31" s="83" t="s">
        <v>101</v>
      </c>
      <c r="B31" s="83">
        <v>2613859002</v>
      </c>
      <c r="C31" s="83" t="s">
        <v>68</v>
      </c>
      <c r="D31" s="83" t="s">
        <v>20</v>
      </c>
      <c r="E31" s="83" t="s">
        <v>102</v>
      </c>
      <c r="F31" s="83" t="s">
        <v>173</v>
      </c>
      <c r="G31" s="83">
        <v>221</v>
      </c>
      <c r="H31" s="83" t="s">
        <v>174</v>
      </c>
      <c r="I31" s="83" t="s">
        <v>175</v>
      </c>
      <c r="J31" s="83" t="s">
        <v>2588</v>
      </c>
      <c r="K31" s="83" t="s">
        <v>117</v>
      </c>
      <c r="L31" s="84" t="s">
        <v>273</v>
      </c>
      <c r="M31" s="84">
        <v>46085.412499999999</v>
      </c>
      <c r="N31" s="83" t="s">
        <v>2603</v>
      </c>
      <c r="O31" s="26" t="s">
        <v>114</v>
      </c>
      <c r="P31" s="42" t="s">
        <v>279</v>
      </c>
      <c r="Q31" s="26" t="s">
        <v>114</v>
      </c>
      <c r="R31" s="10" t="s">
        <v>279</v>
      </c>
      <c r="S31" s="26" t="s">
        <v>114</v>
      </c>
      <c r="T31" s="10" t="s">
        <v>279</v>
      </c>
      <c r="U31" s="26" t="s">
        <v>114</v>
      </c>
      <c r="V31" s="10" t="s">
        <v>279</v>
      </c>
      <c r="W31" s="26" t="s">
        <v>114</v>
      </c>
      <c r="X31" s="10" t="s">
        <v>279</v>
      </c>
      <c r="Y31" s="26" t="s">
        <v>114</v>
      </c>
      <c r="Z31" s="10" t="s">
        <v>279</v>
      </c>
      <c r="AA31" s="26" t="s">
        <v>114</v>
      </c>
      <c r="AB31" s="34" t="s">
        <v>279</v>
      </c>
      <c r="AC31" s="26" t="s">
        <v>114</v>
      </c>
      <c r="AD31" s="34" t="s">
        <v>279</v>
      </c>
      <c r="AE31" s="26" t="s">
        <v>114</v>
      </c>
      <c r="AF31" s="71" t="str">
        <f t="shared" si="1"/>
        <v>NC</v>
      </c>
      <c r="AG31" s="21" t="str">
        <f t="shared" si="0"/>
        <v>NÃO UTILIZOU O PDA</v>
      </c>
      <c r="AH31" s="42" t="s">
        <v>4</v>
      </c>
      <c r="AI31" s="29" t="str">
        <f t="shared" si="2"/>
        <v>GUARULHOS</v>
      </c>
      <c r="AJ31" s="29" t="s">
        <v>1</v>
      </c>
    </row>
    <row r="32" spans="1:36" ht="30" customHeight="1" x14ac:dyDescent="0.2">
      <c r="A32" s="83" t="s">
        <v>101</v>
      </c>
      <c r="B32" s="83">
        <v>2689271856</v>
      </c>
      <c r="C32" s="83" t="s">
        <v>71</v>
      </c>
      <c r="D32" s="83" t="s">
        <v>20</v>
      </c>
      <c r="E32" s="83" t="s">
        <v>102</v>
      </c>
      <c r="F32" s="83" t="s">
        <v>186</v>
      </c>
      <c r="G32" s="83">
        <v>28</v>
      </c>
      <c r="H32" s="83" t="s">
        <v>187</v>
      </c>
      <c r="I32" s="83" t="s">
        <v>177</v>
      </c>
      <c r="J32" s="83" t="s">
        <v>2586</v>
      </c>
      <c r="K32" s="83"/>
      <c r="L32" s="84" t="s">
        <v>273</v>
      </c>
      <c r="M32" s="84">
        <v>46085.32708333333</v>
      </c>
      <c r="N32" s="83" t="s">
        <v>2603</v>
      </c>
      <c r="O32" s="26" t="s">
        <v>114</v>
      </c>
      <c r="P32" s="42" t="s">
        <v>279</v>
      </c>
      <c r="Q32" s="26" t="s">
        <v>114</v>
      </c>
      <c r="R32" s="10" t="s">
        <v>279</v>
      </c>
      <c r="S32" s="26" t="s">
        <v>114</v>
      </c>
      <c r="T32" s="10" t="s">
        <v>279</v>
      </c>
      <c r="U32" s="26" t="s">
        <v>114</v>
      </c>
      <c r="V32" s="10" t="s">
        <v>279</v>
      </c>
      <c r="W32" s="26" t="s">
        <v>114</v>
      </c>
      <c r="X32" s="10" t="s">
        <v>279</v>
      </c>
      <c r="Y32" s="26" t="s">
        <v>114</v>
      </c>
      <c r="Z32" s="10" t="s">
        <v>279</v>
      </c>
      <c r="AA32" s="26" t="s">
        <v>114</v>
      </c>
      <c r="AB32" s="34" t="s">
        <v>279</v>
      </c>
      <c r="AC32" s="26" t="s">
        <v>114</v>
      </c>
      <c r="AD32" s="34" t="s">
        <v>279</v>
      </c>
      <c r="AE32" s="26" t="s">
        <v>114</v>
      </c>
      <c r="AF32" s="71" t="str">
        <f t="shared" si="1"/>
        <v>NC</v>
      </c>
      <c r="AG32" s="21" t="str">
        <f t="shared" si="0"/>
        <v>NÃO UTILIZOU O PDA</v>
      </c>
      <c r="AH32" s="42" t="s">
        <v>4</v>
      </c>
      <c r="AI32" s="29" t="str">
        <f t="shared" si="2"/>
        <v>GUARULHOS</v>
      </c>
      <c r="AJ32" s="29" t="s">
        <v>1</v>
      </c>
    </row>
    <row r="33" spans="1:36" ht="30" customHeight="1" x14ac:dyDescent="0.2">
      <c r="A33" s="83" t="s">
        <v>101</v>
      </c>
      <c r="B33" s="83">
        <v>2613915889</v>
      </c>
      <c r="C33" s="83" t="s">
        <v>69</v>
      </c>
      <c r="D33" s="83" t="s">
        <v>20</v>
      </c>
      <c r="E33" s="83" t="s">
        <v>102</v>
      </c>
      <c r="F33" s="83" t="s">
        <v>202</v>
      </c>
      <c r="G33" s="83">
        <v>238</v>
      </c>
      <c r="H33" s="83" t="s">
        <v>203</v>
      </c>
      <c r="I33" s="83" t="s">
        <v>204</v>
      </c>
      <c r="J33" s="83" t="s">
        <v>2586</v>
      </c>
      <c r="K33" s="83" t="s">
        <v>117</v>
      </c>
      <c r="L33" s="84" t="s">
        <v>273</v>
      </c>
      <c r="M33" s="84">
        <v>46085.45208333333</v>
      </c>
      <c r="N33" s="83" t="s">
        <v>2596</v>
      </c>
      <c r="O33" s="26" t="s">
        <v>108</v>
      </c>
      <c r="P33" s="42"/>
      <c r="Q33" s="26" t="s">
        <v>108</v>
      </c>
      <c r="R33" s="10"/>
      <c r="S33" s="26" t="s">
        <v>108</v>
      </c>
      <c r="T33" s="10"/>
      <c r="U33" s="26" t="s">
        <v>108</v>
      </c>
      <c r="V33" s="10"/>
      <c r="W33" s="26" t="s">
        <v>108</v>
      </c>
      <c r="X33" s="10"/>
      <c r="Y33" s="26" t="s">
        <v>108</v>
      </c>
      <c r="Z33" s="10"/>
      <c r="AA33" s="26" t="s">
        <v>108</v>
      </c>
      <c r="AB33" s="34"/>
      <c r="AC33" s="26" t="s">
        <v>108</v>
      </c>
      <c r="AD33" s="34"/>
      <c r="AE33" s="26" t="s">
        <v>108</v>
      </c>
      <c r="AF33" s="71" t="str">
        <f t="shared" si="1"/>
        <v>C</v>
      </c>
      <c r="AG33" s="21" t="str">
        <f t="shared" si="0"/>
        <v>UTILIZOU O PDA CORRETAMENTE</v>
      </c>
      <c r="AH33" s="42"/>
      <c r="AI33" s="29" t="str">
        <f t="shared" si="2"/>
        <v>GUARULHOS</v>
      </c>
      <c r="AJ33" s="29" t="s">
        <v>1</v>
      </c>
    </row>
    <row r="34" spans="1:36" ht="30" customHeight="1" x14ac:dyDescent="0.2">
      <c r="A34" s="83" t="s">
        <v>101</v>
      </c>
      <c r="B34" s="83">
        <v>2689203387</v>
      </c>
      <c r="C34" s="83" t="s">
        <v>70</v>
      </c>
      <c r="D34" s="83" t="s">
        <v>20</v>
      </c>
      <c r="E34" s="83" t="s">
        <v>102</v>
      </c>
      <c r="F34" s="83" t="s">
        <v>2619</v>
      </c>
      <c r="G34" s="83">
        <v>90</v>
      </c>
      <c r="H34" s="83"/>
      <c r="I34" s="83" t="s">
        <v>1125</v>
      </c>
      <c r="J34" s="83" t="s">
        <v>2588</v>
      </c>
      <c r="K34" s="83"/>
      <c r="L34" s="84" t="s">
        <v>273</v>
      </c>
      <c r="M34" s="84">
        <v>46085.430555555555</v>
      </c>
      <c r="N34" s="83" t="s">
        <v>2596</v>
      </c>
      <c r="O34" s="26" t="s">
        <v>108</v>
      </c>
      <c r="P34" s="42"/>
      <c r="Q34" s="26" t="s">
        <v>108</v>
      </c>
      <c r="R34" s="10"/>
      <c r="S34" s="26" t="s">
        <v>108</v>
      </c>
      <c r="T34" s="10"/>
      <c r="U34" s="26" t="s">
        <v>108</v>
      </c>
      <c r="V34" s="10"/>
      <c r="W34" s="26" t="s">
        <v>108</v>
      </c>
      <c r="X34" s="10"/>
      <c r="Y34" s="26" t="s">
        <v>108</v>
      </c>
      <c r="Z34" s="10"/>
      <c r="AA34" s="26" t="s">
        <v>108</v>
      </c>
      <c r="AB34" s="34"/>
      <c r="AC34" s="26" t="s">
        <v>108</v>
      </c>
      <c r="AD34" s="34"/>
      <c r="AE34" s="26" t="s">
        <v>108</v>
      </c>
      <c r="AF34" s="71" t="str">
        <f t="shared" si="1"/>
        <v>C</v>
      </c>
      <c r="AG34" s="21" t="str">
        <f t="shared" si="0"/>
        <v>UTILIZOU O PDA CORRETAMENTE</v>
      </c>
      <c r="AH34" s="42" t="s">
        <v>4</v>
      </c>
      <c r="AI34" s="29" t="str">
        <f t="shared" si="2"/>
        <v>GUARULHOS</v>
      </c>
      <c r="AJ34" s="29" t="s">
        <v>1</v>
      </c>
    </row>
    <row r="35" spans="1:36" ht="30" customHeight="1" x14ac:dyDescent="0.2">
      <c r="A35" s="83" t="s">
        <v>101</v>
      </c>
      <c r="B35" s="83">
        <v>2613820954</v>
      </c>
      <c r="C35" s="83" t="s">
        <v>71</v>
      </c>
      <c r="D35" s="83" t="s">
        <v>20</v>
      </c>
      <c r="E35" s="83" t="s">
        <v>102</v>
      </c>
      <c r="F35" s="83" t="s">
        <v>1711</v>
      </c>
      <c r="G35" s="83">
        <v>43</v>
      </c>
      <c r="H35" s="83" t="s">
        <v>1712</v>
      </c>
      <c r="I35" s="83" t="s">
        <v>264</v>
      </c>
      <c r="J35" s="83" t="s">
        <v>2586</v>
      </c>
      <c r="K35" s="83" t="s">
        <v>117</v>
      </c>
      <c r="L35" s="84" t="s">
        <v>273</v>
      </c>
      <c r="M35" s="84">
        <v>46085.342361111114</v>
      </c>
      <c r="N35" s="83" t="s">
        <v>2596</v>
      </c>
      <c r="O35" s="26" t="s">
        <v>108</v>
      </c>
      <c r="P35" s="42"/>
      <c r="Q35" s="26" t="s">
        <v>108</v>
      </c>
      <c r="R35" s="10"/>
      <c r="S35" s="26" t="s">
        <v>108</v>
      </c>
      <c r="T35" s="10"/>
      <c r="U35" s="26" t="s">
        <v>108</v>
      </c>
      <c r="V35" s="10"/>
      <c r="W35" s="26" t="s">
        <v>108</v>
      </c>
      <c r="X35" s="10"/>
      <c r="Y35" s="26" t="s">
        <v>108</v>
      </c>
      <c r="Z35" s="10"/>
      <c r="AA35" s="26" t="s">
        <v>108</v>
      </c>
      <c r="AB35" s="34"/>
      <c r="AC35" s="26" t="s">
        <v>108</v>
      </c>
      <c r="AD35" s="34"/>
      <c r="AE35" s="26" t="s">
        <v>108</v>
      </c>
      <c r="AF35" s="71" t="str">
        <f t="shared" si="1"/>
        <v>C</v>
      </c>
      <c r="AG35" s="21" t="str">
        <f t="shared" si="0"/>
        <v>UTILIZOU O PDA CORRETAMENTE</v>
      </c>
      <c r="AH35" s="16"/>
      <c r="AI35" s="29" t="str">
        <f t="shared" si="2"/>
        <v>GUARULHOS</v>
      </c>
      <c r="AJ35" s="29" t="s">
        <v>1</v>
      </c>
    </row>
    <row r="36" spans="1:36" ht="30" customHeight="1" x14ac:dyDescent="0.2">
      <c r="A36" s="83" t="s">
        <v>101</v>
      </c>
      <c r="B36" s="83">
        <v>2613872040</v>
      </c>
      <c r="C36" s="83" t="s">
        <v>70</v>
      </c>
      <c r="D36" s="83" t="s">
        <v>20</v>
      </c>
      <c r="E36" s="83" t="s">
        <v>102</v>
      </c>
      <c r="F36" s="83" t="s">
        <v>189</v>
      </c>
      <c r="G36" s="83">
        <v>125</v>
      </c>
      <c r="H36" s="83" t="s">
        <v>190</v>
      </c>
      <c r="I36" s="83" t="s">
        <v>191</v>
      </c>
      <c r="J36" s="83" t="s">
        <v>2588</v>
      </c>
      <c r="K36" s="83"/>
      <c r="L36" s="84" t="s">
        <v>273</v>
      </c>
      <c r="M36" s="84">
        <v>46085.324999999997</v>
      </c>
      <c r="N36" s="83" t="s">
        <v>2596</v>
      </c>
      <c r="O36" s="26" t="s">
        <v>108</v>
      </c>
      <c r="P36" s="42"/>
      <c r="Q36" s="26" t="s">
        <v>108</v>
      </c>
      <c r="R36" s="10"/>
      <c r="S36" s="26" t="s">
        <v>108</v>
      </c>
      <c r="T36" s="10"/>
      <c r="U36" s="26" t="s">
        <v>108</v>
      </c>
      <c r="V36" s="10"/>
      <c r="W36" s="26" t="s">
        <v>108</v>
      </c>
      <c r="X36" s="10"/>
      <c r="Y36" s="26" t="s">
        <v>108</v>
      </c>
      <c r="Z36" s="10"/>
      <c r="AA36" s="26" t="s">
        <v>108</v>
      </c>
      <c r="AB36" s="34"/>
      <c r="AC36" s="26" t="s">
        <v>108</v>
      </c>
      <c r="AD36" s="34"/>
      <c r="AE36" s="26" t="s">
        <v>108</v>
      </c>
      <c r="AF36" s="71" t="str">
        <f t="shared" si="1"/>
        <v>C</v>
      </c>
      <c r="AG36" s="21" t="str">
        <f t="shared" si="0"/>
        <v>UTILIZOU O PDA CORRETAMENTE</v>
      </c>
      <c r="AH36" s="42" t="s">
        <v>4</v>
      </c>
      <c r="AI36" s="29" t="str">
        <f t="shared" si="2"/>
        <v>GUARULHOS</v>
      </c>
      <c r="AJ36" s="29" t="s">
        <v>1</v>
      </c>
    </row>
    <row r="37" spans="1:36" ht="30" customHeight="1" x14ac:dyDescent="0.2">
      <c r="A37" s="83" t="s">
        <v>101</v>
      </c>
      <c r="B37" s="83">
        <v>2689268674</v>
      </c>
      <c r="C37" s="83" t="s">
        <v>70</v>
      </c>
      <c r="D37" s="83" t="s">
        <v>20</v>
      </c>
      <c r="E37" s="83" t="s">
        <v>102</v>
      </c>
      <c r="F37" s="83" t="s">
        <v>2620</v>
      </c>
      <c r="G37" s="83">
        <v>132</v>
      </c>
      <c r="H37" s="83" t="s">
        <v>2621</v>
      </c>
      <c r="I37" s="83" t="s">
        <v>1644</v>
      </c>
      <c r="J37" s="83" t="s">
        <v>2588</v>
      </c>
      <c r="K37" s="83" t="s">
        <v>117</v>
      </c>
      <c r="L37" s="84" t="s">
        <v>273</v>
      </c>
      <c r="M37" s="84">
        <v>46085.401388888888</v>
      </c>
      <c r="N37" s="83" t="s">
        <v>2596</v>
      </c>
      <c r="O37" s="26" t="s">
        <v>108</v>
      </c>
      <c r="P37" s="42"/>
      <c r="Q37" s="26" t="s">
        <v>108</v>
      </c>
      <c r="R37" s="10"/>
      <c r="S37" s="26" t="s">
        <v>108</v>
      </c>
      <c r="T37" s="10"/>
      <c r="U37" s="26" t="s">
        <v>108</v>
      </c>
      <c r="V37" s="10"/>
      <c r="W37" s="26" t="s">
        <v>108</v>
      </c>
      <c r="X37" s="10"/>
      <c r="Y37" s="26" t="s">
        <v>108</v>
      </c>
      <c r="Z37" s="10"/>
      <c r="AA37" s="26" t="s">
        <v>108</v>
      </c>
      <c r="AB37" s="34"/>
      <c r="AC37" s="26" t="s">
        <v>108</v>
      </c>
      <c r="AD37" s="34"/>
      <c r="AE37" s="26" t="s">
        <v>108</v>
      </c>
      <c r="AF37" s="71" t="str">
        <f t="shared" si="1"/>
        <v>C</v>
      </c>
      <c r="AG37" s="21" t="str">
        <f t="shared" si="0"/>
        <v>UTILIZOU O PDA CORRETAMENTE</v>
      </c>
      <c r="AH37" s="16" t="s">
        <v>4</v>
      </c>
      <c r="AI37" s="29" t="str">
        <f t="shared" si="2"/>
        <v>GUARULHOS</v>
      </c>
      <c r="AJ37" s="29" t="s">
        <v>1</v>
      </c>
    </row>
    <row r="38" spans="1:36" ht="30" customHeight="1" x14ac:dyDescent="0.2">
      <c r="A38" s="83" t="s">
        <v>101</v>
      </c>
      <c r="B38" s="83">
        <v>2613824748</v>
      </c>
      <c r="C38" s="83" t="s">
        <v>69</v>
      </c>
      <c r="D38" s="83" t="s">
        <v>20</v>
      </c>
      <c r="E38" s="83" t="s">
        <v>102</v>
      </c>
      <c r="F38" s="83" t="s">
        <v>546</v>
      </c>
      <c r="G38" s="83">
        <v>233</v>
      </c>
      <c r="H38" s="83" t="s">
        <v>1695</v>
      </c>
      <c r="I38" s="83" t="s">
        <v>532</v>
      </c>
      <c r="J38" s="83" t="s">
        <v>2586</v>
      </c>
      <c r="K38" s="83"/>
      <c r="L38" s="84" t="s">
        <v>273</v>
      </c>
      <c r="M38" s="84">
        <v>46085.368055555555</v>
      </c>
      <c r="N38" s="83" t="s">
        <v>2596</v>
      </c>
      <c r="O38" s="26" t="s">
        <v>108</v>
      </c>
      <c r="P38" s="42"/>
      <c r="Q38" s="26" t="s">
        <v>108</v>
      </c>
      <c r="R38" s="10"/>
      <c r="S38" s="26" t="s">
        <v>108</v>
      </c>
      <c r="T38" s="10"/>
      <c r="U38" s="26" t="s">
        <v>108</v>
      </c>
      <c r="V38" s="10"/>
      <c r="W38" s="26" t="s">
        <v>108</v>
      </c>
      <c r="X38" s="10"/>
      <c r="Y38" s="26" t="s">
        <v>108</v>
      </c>
      <c r="Z38" s="10"/>
      <c r="AA38" s="26" t="s">
        <v>108</v>
      </c>
      <c r="AB38" s="34"/>
      <c r="AC38" s="26" t="s">
        <v>108</v>
      </c>
      <c r="AD38" s="34"/>
      <c r="AE38" s="26" t="s">
        <v>108</v>
      </c>
      <c r="AF38" s="71" t="str">
        <f t="shared" si="1"/>
        <v>C</v>
      </c>
      <c r="AG38" s="21" t="str">
        <f t="shared" si="0"/>
        <v>UTILIZOU O PDA CORRETAMENTE</v>
      </c>
      <c r="AH38" s="42" t="s">
        <v>13</v>
      </c>
      <c r="AI38" s="29" t="str">
        <f t="shared" si="2"/>
        <v>GUARULHOS</v>
      </c>
      <c r="AJ38" s="29" t="s">
        <v>1</v>
      </c>
    </row>
    <row r="39" spans="1:36" ht="30" customHeight="1" x14ac:dyDescent="0.2">
      <c r="A39" s="83" t="s">
        <v>101</v>
      </c>
      <c r="B39" s="83">
        <v>2613700313</v>
      </c>
      <c r="C39" s="83" t="s">
        <v>69</v>
      </c>
      <c r="D39" s="83" t="s">
        <v>20</v>
      </c>
      <c r="E39" s="83" t="s">
        <v>102</v>
      </c>
      <c r="F39" s="83" t="s">
        <v>133</v>
      </c>
      <c r="G39" s="83">
        <v>11</v>
      </c>
      <c r="H39" s="83" t="s">
        <v>110</v>
      </c>
      <c r="I39" s="83" t="s">
        <v>134</v>
      </c>
      <c r="J39" s="83" t="s">
        <v>2586</v>
      </c>
      <c r="K39" s="83" t="s">
        <v>117</v>
      </c>
      <c r="L39" s="84" t="s">
        <v>273</v>
      </c>
      <c r="M39" s="84">
        <v>46085.417361111111</v>
      </c>
      <c r="N39" s="83" t="s">
        <v>2596</v>
      </c>
      <c r="O39" s="26" t="s">
        <v>108</v>
      </c>
      <c r="P39" s="42"/>
      <c r="Q39" s="26" t="s">
        <v>108</v>
      </c>
      <c r="R39" s="10"/>
      <c r="S39" s="26" t="s">
        <v>108</v>
      </c>
      <c r="T39" s="10"/>
      <c r="U39" s="26" t="s">
        <v>108</v>
      </c>
      <c r="V39" s="10"/>
      <c r="W39" s="26" t="s">
        <v>108</v>
      </c>
      <c r="X39" s="10"/>
      <c r="Y39" s="26" t="s">
        <v>108</v>
      </c>
      <c r="Z39" s="10"/>
      <c r="AA39" s="26" t="s">
        <v>108</v>
      </c>
      <c r="AB39" s="34"/>
      <c r="AC39" s="26" t="s">
        <v>108</v>
      </c>
      <c r="AD39" s="34"/>
      <c r="AE39" s="26" t="s">
        <v>108</v>
      </c>
      <c r="AF39" s="71" t="str">
        <f t="shared" si="1"/>
        <v>C</v>
      </c>
      <c r="AG39" s="21" t="str">
        <f t="shared" si="0"/>
        <v>UTILIZOU O PDA CORRETAMENTE</v>
      </c>
      <c r="AH39" s="42" t="s">
        <v>4</v>
      </c>
      <c r="AI39" s="29" t="str">
        <f t="shared" si="2"/>
        <v>GUARULHOS</v>
      </c>
      <c r="AJ39" s="29" t="s">
        <v>1</v>
      </c>
    </row>
    <row r="40" spans="1:36" ht="30" customHeight="1" x14ac:dyDescent="0.2">
      <c r="A40" s="83" t="s">
        <v>101</v>
      </c>
      <c r="B40" s="83">
        <v>2613846631</v>
      </c>
      <c r="C40" s="83" t="s">
        <v>68</v>
      </c>
      <c r="D40" s="83" t="s">
        <v>20</v>
      </c>
      <c r="E40" s="83" t="s">
        <v>102</v>
      </c>
      <c r="F40" s="83" t="s">
        <v>1058</v>
      </c>
      <c r="G40" s="83">
        <v>1659</v>
      </c>
      <c r="H40" s="83"/>
      <c r="I40" s="83" t="s">
        <v>1679</v>
      </c>
      <c r="J40" s="83" t="s">
        <v>2588</v>
      </c>
      <c r="K40" s="83" t="s">
        <v>2595</v>
      </c>
      <c r="L40" s="84" t="s">
        <v>310</v>
      </c>
      <c r="M40" s="84">
        <v>46116.313194444447</v>
      </c>
      <c r="N40" s="83" t="s">
        <v>2596</v>
      </c>
      <c r="O40" s="26" t="s">
        <v>108</v>
      </c>
      <c r="P40" s="42"/>
      <c r="Q40" s="26" t="s">
        <v>108</v>
      </c>
      <c r="R40" s="10"/>
      <c r="S40" s="26" t="s">
        <v>108</v>
      </c>
      <c r="T40" s="10"/>
      <c r="U40" s="26" t="s">
        <v>108</v>
      </c>
      <c r="V40" s="10"/>
      <c r="W40" s="26" t="s">
        <v>108</v>
      </c>
      <c r="X40" s="10"/>
      <c r="Y40" s="26" t="s">
        <v>14</v>
      </c>
      <c r="Z40" s="10" t="s">
        <v>2622</v>
      </c>
      <c r="AA40" s="26" t="s">
        <v>108</v>
      </c>
      <c r="AB40" s="34"/>
      <c r="AC40" s="26" t="s">
        <v>108</v>
      </c>
      <c r="AD40" s="34"/>
      <c r="AE40" s="26" t="s">
        <v>108</v>
      </c>
      <c r="AF40" s="71" t="str">
        <f t="shared" si="1"/>
        <v>C</v>
      </c>
      <c r="AG40" s="21" t="str">
        <f t="shared" si="0"/>
        <v>UTILIZOU O PDA CORRETAMENTE</v>
      </c>
      <c r="AH40" s="42" t="s">
        <v>13</v>
      </c>
      <c r="AI40" s="29" t="str">
        <f t="shared" si="2"/>
        <v>GUARULHOS</v>
      </c>
      <c r="AJ40" s="29" t="s">
        <v>1</v>
      </c>
    </row>
    <row r="41" spans="1:36" ht="30" customHeight="1" x14ac:dyDescent="0.2">
      <c r="A41" s="83" t="s">
        <v>101</v>
      </c>
      <c r="B41" s="83">
        <v>2613867309</v>
      </c>
      <c r="C41" s="83" t="s">
        <v>71</v>
      </c>
      <c r="D41" s="83" t="s">
        <v>20</v>
      </c>
      <c r="E41" s="83" t="s">
        <v>102</v>
      </c>
      <c r="F41" s="83" t="s">
        <v>236</v>
      </c>
      <c r="G41" s="83">
        <v>153</v>
      </c>
      <c r="H41" s="83" t="s">
        <v>117</v>
      </c>
      <c r="I41" s="83" t="s">
        <v>237</v>
      </c>
      <c r="J41" s="83" t="s">
        <v>2586</v>
      </c>
      <c r="K41" s="83" t="s">
        <v>2623</v>
      </c>
      <c r="L41" s="84" t="s">
        <v>310</v>
      </c>
      <c r="M41" s="84">
        <v>46116.321527777778</v>
      </c>
      <c r="N41" s="83" t="s">
        <v>2596</v>
      </c>
      <c r="O41" s="26" t="s">
        <v>214</v>
      </c>
      <c r="P41" s="42"/>
      <c r="Q41" s="26" t="s">
        <v>214</v>
      </c>
      <c r="R41" s="10"/>
      <c r="S41" s="26" t="s">
        <v>214</v>
      </c>
      <c r="T41" s="10"/>
      <c r="U41" s="26" t="s">
        <v>214</v>
      </c>
      <c r="V41" s="10"/>
      <c r="W41" s="26" t="s">
        <v>214</v>
      </c>
      <c r="X41" s="10"/>
      <c r="Y41" s="26" t="s">
        <v>214</v>
      </c>
      <c r="Z41" s="10"/>
      <c r="AA41" s="26" t="s">
        <v>214</v>
      </c>
      <c r="AB41" s="34"/>
      <c r="AC41" s="26" t="s">
        <v>214</v>
      </c>
      <c r="AD41" s="34"/>
      <c r="AE41" s="26" t="s">
        <v>114</v>
      </c>
      <c r="AF41" s="71" t="str">
        <f t="shared" si="1"/>
        <v>NC</v>
      </c>
      <c r="AG41" s="21" t="str">
        <f t="shared" si="0"/>
        <v>NÃO UTILIZOU O PDA</v>
      </c>
      <c r="AH41" s="42" t="s">
        <v>4</v>
      </c>
      <c r="AI41" s="29" t="str">
        <f t="shared" si="2"/>
        <v>GUARULHOS</v>
      </c>
      <c r="AJ41" s="29" t="s">
        <v>1</v>
      </c>
    </row>
    <row r="42" spans="1:36" ht="30" customHeight="1" x14ac:dyDescent="0.2">
      <c r="A42" s="83" t="s">
        <v>101</v>
      </c>
      <c r="B42" s="83">
        <v>2613827789</v>
      </c>
      <c r="C42" s="83" t="s">
        <v>71</v>
      </c>
      <c r="D42" s="83" t="s">
        <v>20</v>
      </c>
      <c r="E42" s="83" t="s">
        <v>102</v>
      </c>
      <c r="F42" s="83" t="s">
        <v>1699</v>
      </c>
      <c r="G42" s="83">
        <v>256</v>
      </c>
      <c r="H42" s="83" t="s">
        <v>1700</v>
      </c>
      <c r="I42" s="83" t="s">
        <v>149</v>
      </c>
      <c r="J42" s="83" t="s">
        <v>2586</v>
      </c>
      <c r="K42" s="83"/>
      <c r="L42" s="84" t="s">
        <v>310</v>
      </c>
      <c r="M42" s="84">
        <v>46116.398611111108</v>
      </c>
      <c r="N42" s="83" t="s">
        <v>2596</v>
      </c>
      <c r="O42" s="26" t="s">
        <v>108</v>
      </c>
      <c r="P42" s="42"/>
      <c r="Q42" s="26" t="s">
        <v>108</v>
      </c>
      <c r="R42" s="10"/>
      <c r="S42" s="26" t="s">
        <v>108</v>
      </c>
      <c r="T42" s="10"/>
      <c r="U42" s="26" t="s">
        <v>108</v>
      </c>
      <c r="V42" s="10"/>
      <c r="W42" s="26" t="s">
        <v>108</v>
      </c>
      <c r="X42" s="10"/>
      <c r="Y42" s="26" t="s">
        <v>108</v>
      </c>
      <c r="Z42" s="10"/>
      <c r="AA42" s="26" t="s">
        <v>108</v>
      </c>
      <c r="AB42" s="34"/>
      <c r="AC42" s="26" t="s">
        <v>108</v>
      </c>
      <c r="AD42" s="34"/>
      <c r="AE42" s="26" t="s">
        <v>108</v>
      </c>
      <c r="AF42" s="71" t="str">
        <f t="shared" si="1"/>
        <v>C</v>
      </c>
      <c r="AG42" s="21" t="str">
        <f t="shared" si="0"/>
        <v>UTILIZOU O PDA CORRETAMENTE</v>
      </c>
      <c r="AH42" s="42" t="s">
        <v>13</v>
      </c>
      <c r="AI42" s="29" t="str">
        <f t="shared" si="2"/>
        <v>GUARULHOS</v>
      </c>
      <c r="AJ42" s="29" t="s">
        <v>1</v>
      </c>
    </row>
    <row r="43" spans="1:36" ht="30" customHeight="1" x14ac:dyDescent="0.2">
      <c r="A43" s="83" t="s">
        <v>101</v>
      </c>
      <c r="B43" s="83">
        <v>2613876929</v>
      </c>
      <c r="C43" s="83" t="s">
        <v>68</v>
      </c>
      <c r="D43" s="83" t="s">
        <v>20</v>
      </c>
      <c r="E43" s="83" t="s">
        <v>102</v>
      </c>
      <c r="F43" s="83" t="s">
        <v>238</v>
      </c>
      <c r="G43" s="83">
        <v>1244</v>
      </c>
      <c r="H43" s="83" t="s">
        <v>239</v>
      </c>
      <c r="I43" s="83" t="s">
        <v>162</v>
      </c>
      <c r="J43" s="83" t="s">
        <v>2588</v>
      </c>
      <c r="K43" s="83" t="s">
        <v>117</v>
      </c>
      <c r="L43" s="84" t="s">
        <v>310</v>
      </c>
      <c r="M43" s="84">
        <v>46116.355555555558</v>
      </c>
      <c r="N43" s="83" t="s">
        <v>2596</v>
      </c>
      <c r="O43" s="26" t="s">
        <v>108</v>
      </c>
      <c r="P43" s="42"/>
      <c r="Q43" s="26" t="s">
        <v>108</v>
      </c>
      <c r="R43" s="10"/>
      <c r="S43" s="26" t="s">
        <v>108</v>
      </c>
      <c r="T43" s="10"/>
      <c r="U43" s="26" t="s">
        <v>108</v>
      </c>
      <c r="V43" s="10"/>
      <c r="W43" s="26" t="s">
        <v>108</v>
      </c>
      <c r="X43" s="10"/>
      <c r="Y43" s="26" t="s">
        <v>108</v>
      </c>
      <c r="Z43" s="10"/>
      <c r="AA43" s="26" t="s">
        <v>108</v>
      </c>
      <c r="AB43" s="34"/>
      <c r="AC43" s="26" t="s">
        <v>108</v>
      </c>
      <c r="AD43" s="34"/>
      <c r="AE43" s="26" t="s">
        <v>108</v>
      </c>
      <c r="AF43" s="71" t="str">
        <f t="shared" si="1"/>
        <v>C</v>
      </c>
      <c r="AG43" s="21" t="str">
        <f t="shared" si="0"/>
        <v>UTILIZOU O PDA CORRETAMENTE</v>
      </c>
      <c r="AH43" s="42" t="s">
        <v>4</v>
      </c>
      <c r="AI43" s="29" t="str">
        <f t="shared" si="2"/>
        <v>GUARULHOS</v>
      </c>
      <c r="AJ43" s="29" t="s">
        <v>1</v>
      </c>
    </row>
    <row r="44" spans="1:36" ht="30" customHeight="1" x14ac:dyDescent="0.2">
      <c r="A44" s="83" t="s">
        <v>101</v>
      </c>
      <c r="B44" s="83">
        <v>2613905393</v>
      </c>
      <c r="C44" s="83" t="s">
        <v>68</v>
      </c>
      <c r="D44" s="83" t="s">
        <v>20</v>
      </c>
      <c r="E44" s="83" t="s">
        <v>102</v>
      </c>
      <c r="F44" s="83" t="s">
        <v>244</v>
      </c>
      <c r="G44" s="83">
        <v>185</v>
      </c>
      <c r="H44" s="83" t="s">
        <v>174</v>
      </c>
      <c r="I44" s="83" t="s">
        <v>245</v>
      </c>
      <c r="J44" s="83" t="s">
        <v>2588</v>
      </c>
      <c r="K44" s="83"/>
      <c r="L44" s="84" t="s">
        <v>310</v>
      </c>
      <c r="M44" s="84">
        <v>46116.365972222222</v>
      </c>
      <c r="N44" s="83" t="s">
        <v>2596</v>
      </c>
      <c r="O44" s="26" t="s">
        <v>108</v>
      </c>
      <c r="P44" s="42"/>
      <c r="Q44" s="26" t="s">
        <v>108</v>
      </c>
      <c r="R44" s="10"/>
      <c r="S44" s="26" t="s">
        <v>108</v>
      </c>
      <c r="T44" s="10"/>
      <c r="U44" s="26" t="s">
        <v>108</v>
      </c>
      <c r="V44" s="10"/>
      <c r="W44" s="26" t="s">
        <v>108</v>
      </c>
      <c r="X44" s="10"/>
      <c r="Y44" s="26" t="s">
        <v>108</v>
      </c>
      <c r="Z44" s="10"/>
      <c r="AA44" s="26" t="s">
        <v>108</v>
      </c>
      <c r="AB44" s="34"/>
      <c r="AC44" s="26" t="s">
        <v>108</v>
      </c>
      <c r="AD44" s="34"/>
      <c r="AE44" s="26" t="s">
        <v>108</v>
      </c>
      <c r="AF44" s="71" t="str">
        <f t="shared" si="1"/>
        <v>C</v>
      </c>
      <c r="AG44" s="21" t="str">
        <f t="shared" si="0"/>
        <v>UTILIZOU O PDA CORRETAMENTE</v>
      </c>
      <c r="AH44" s="42" t="s">
        <v>4</v>
      </c>
      <c r="AI44" s="29" t="str">
        <f t="shared" si="2"/>
        <v>GUARULHOS</v>
      </c>
      <c r="AJ44" s="29" t="s">
        <v>1</v>
      </c>
    </row>
    <row r="45" spans="1:36" ht="30" customHeight="1" x14ac:dyDescent="0.2">
      <c r="A45" s="83" t="s">
        <v>101</v>
      </c>
      <c r="B45" s="83">
        <v>2614220563</v>
      </c>
      <c r="C45" s="83" t="s">
        <v>68</v>
      </c>
      <c r="D45" s="83" t="s">
        <v>20</v>
      </c>
      <c r="E45" s="83" t="s">
        <v>102</v>
      </c>
      <c r="F45" s="83" t="s">
        <v>202</v>
      </c>
      <c r="G45" s="83">
        <v>112</v>
      </c>
      <c r="H45" s="83" t="s">
        <v>117</v>
      </c>
      <c r="I45" s="83" t="s">
        <v>204</v>
      </c>
      <c r="J45" s="83" t="s">
        <v>2588</v>
      </c>
      <c r="K45" s="83" t="s">
        <v>117</v>
      </c>
      <c r="L45" s="84" t="s">
        <v>310</v>
      </c>
      <c r="M45" s="84">
        <v>46116.415972222225</v>
      </c>
      <c r="N45" s="83" t="s">
        <v>2596</v>
      </c>
      <c r="O45" s="26" t="s">
        <v>108</v>
      </c>
      <c r="P45" s="42"/>
      <c r="Q45" s="26" t="s">
        <v>108</v>
      </c>
      <c r="R45" s="10"/>
      <c r="S45" s="26" t="s">
        <v>108</v>
      </c>
      <c r="T45" s="10"/>
      <c r="U45" s="26" t="s">
        <v>108</v>
      </c>
      <c r="V45" s="10"/>
      <c r="W45" s="26" t="s">
        <v>108</v>
      </c>
      <c r="X45" s="10"/>
      <c r="Y45" s="26" t="s">
        <v>108</v>
      </c>
      <c r="Z45" s="10"/>
      <c r="AA45" s="26" t="s">
        <v>108</v>
      </c>
      <c r="AB45" s="34"/>
      <c r="AC45" s="26" t="s">
        <v>108</v>
      </c>
      <c r="AD45" s="34"/>
      <c r="AE45" s="26" t="s">
        <v>108</v>
      </c>
      <c r="AF45" s="71" t="str">
        <f t="shared" si="1"/>
        <v>C</v>
      </c>
      <c r="AG45" s="21" t="str">
        <f t="shared" si="0"/>
        <v>UTILIZOU O PDA CORRETAMENTE</v>
      </c>
      <c r="AH45" s="42" t="s">
        <v>4</v>
      </c>
      <c r="AI45" s="29" t="str">
        <f t="shared" si="2"/>
        <v>GUARULHOS</v>
      </c>
      <c r="AJ45" s="29" t="s">
        <v>1</v>
      </c>
    </row>
    <row r="46" spans="1:36" ht="30" customHeight="1" x14ac:dyDescent="0.2">
      <c r="A46" s="83" t="s">
        <v>101</v>
      </c>
      <c r="B46" s="83">
        <v>2614193686</v>
      </c>
      <c r="C46" s="83" t="s">
        <v>71</v>
      </c>
      <c r="D46" s="83" t="s">
        <v>20</v>
      </c>
      <c r="E46" s="83" t="s">
        <v>102</v>
      </c>
      <c r="F46" s="83" t="s">
        <v>344</v>
      </c>
      <c r="G46" s="83">
        <v>71</v>
      </c>
      <c r="H46" s="83"/>
      <c r="I46" s="83" t="s">
        <v>650</v>
      </c>
      <c r="J46" s="83" t="s">
        <v>2586</v>
      </c>
      <c r="K46" s="83"/>
      <c r="L46" s="84" t="s">
        <v>310</v>
      </c>
      <c r="M46" s="84">
        <v>46116.381944444445</v>
      </c>
      <c r="N46" s="83" t="s">
        <v>2596</v>
      </c>
      <c r="O46" s="26" t="s">
        <v>108</v>
      </c>
      <c r="P46" s="42"/>
      <c r="Q46" s="26" t="s">
        <v>108</v>
      </c>
      <c r="R46" s="10"/>
      <c r="S46" s="26" t="s">
        <v>108</v>
      </c>
      <c r="T46" s="10"/>
      <c r="U46" s="26" t="s">
        <v>108</v>
      </c>
      <c r="V46" s="10"/>
      <c r="W46" s="26" t="s">
        <v>108</v>
      </c>
      <c r="X46" s="10"/>
      <c r="Y46" s="26" t="s">
        <v>214</v>
      </c>
      <c r="Z46" s="10"/>
      <c r="AA46" s="26" t="s">
        <v>108</v>
      </c>
      <c r="AB46" s="34"/>
      <c r="AC46" s="26" t="s">
        <v>108</v>
      </c>
      <c r="AD46" s="34"/>
      <c r="AE46" s="26" t="s">
        <v>108</v>
      </c>
      <c r="AF46" s="71" t="str">
        <f t="shared" si="1"/>
        <v>NC</v>
      </c>
      <c r="AG46" s="21" t="str">
        <f t="shared" si="0"/>
        <v>UTILIZOU O PDA CORRETAMENTE. NÃO HÁ FOTOS DE TODAS AS ETAPAS</v>
      </c>
      <c r="AH46" s="42" t="s">
        <v>13</v>
      </c>
      <c r="AI46" s="29" t="str">
        <f t="shared" si="2"/>
        <v>GUARULHOS</v>
      </c>
      <c r="AJ46" s="29" t="s">
        <v>1</v>
      </c>
    </row>
    <row r="47" spans="1:36" ht="30" customHeight="1" x14ac:dyDescent="0.2">
      <c r="A47" s="83" t="s">
        <v>101</v>
      </c>
      <c r="B47" s="83">
        <v>2613821039</v>
      </c>
      <c r="C47" s="83" t="s">
        <v>71</v>
      </c>
      <c r="D47" s="83" t="s">
        <v>20</v>
      </c>
      <c r="E47" s="83" t="s">
        <v>102</v>
      </c>
      <c r="F47" s="83" t="s">
        <v>646</v>
      </c>
      <c r="G47" s="83">
        <v>468</v>
      </c>
      <c r="H47" s="83" t="s">
        <v>2624</v>
      </c>
      <c r="I47" s="83" t="s">
        <v>647</v>
      </c>
      <c r="J47" s="83" t="s">
        <v>2586</v>
      </c>
      <c r="K47" s="83" t="s">
        <v>117</v>
      </c>
      <c r="L47" s="84" t="s">
        <v>310</v>
      </c>
      <c r="M47" s="84">
        <v>46116.338888888888</v>
      </c>
      <c r="N47" s="83" t="s">
        <v>2596</v>
      </c>
      <c r="O47" s="26" t="s">
        <v>108</v>
      </c>
      <c r="P47" s="42"/>
      <c r="Q47" s="26" t="s">
        <v>108</v>
      </c>
      <c r="R47" s="10"/>
      <c r="S47" s="26" t="s">
        <v>108</v>
      </c>
      <c r="T47" s="10"/>
      <c r="U47" s="26" t="s">
        <v>108</v>
      </c>
      <c r="V47" s="10"/>
      <c r="W47" s="26" t="s">
        <v>108</v>
      </c>
      <c r="X47" s="10"/>
      <c r="Y47" s="26" t="s">
        <v>108</v>
      </c>
      <c r="Z47" s="10"/>
      <c r="AA47" s="26" t="s">
        <v>108</v>
      </c>
      <c r="AB47" s="34"/>
      <c r="AC47" s="26" t="s">
        <v>108</v>
      </c>
      <c r="AD47" s="34"/>
      <c r="AE47" s="26" t="s">
        <v>108</v>
      </c>
      <c r="AF47" s="71" t="str">
        <f t="shared" si="1"/>
        <v>C</v>
      </c>
      <c r="AG47" s="21" t="str">
        <f t="shared" si="0"/>
        <v>UTILIZOU O PDA CORRETAMENTE</v>
      </c>
      <c r="AH47" s="42"/>
      <c r="AI47" s="29" t="str">
        <f t="shared" si="2"/>
        <v>GUARULHOS</v>
      </c>
      <c r="AJ47" s="29" t="s">
        <v>1</v>
      </c>
    </row>
    <row r="48" spans="1:36" ht="30" customHeight="1" x14ac:dyDescent="0.2">
      <c r="A48" s="83" t="s">
        <v>101</v>
      </c>
      <c r="B48" s="83">
        <v>2689494667</v>
      </c>
      <c r="C48" s="83" t="s">
        <v>68</v>
      </c>
      <c r="D48" s="83" t="s">
        <v>20</v>
      </c>
      <c r="E48" s="83" t="s">
        <v>102</v>
      </c>
      <c r="F48" s="83" t="s">
        <v>246</v>
      </c>
      <c r="G48" s="83">
        <v>155</v>
      </c>
      <c r="H48" s="83"/>
      <c r="I48" s="83" t="s">
        <v>247</v>
      </c>
      <c r="J48" s="83" t="s">
        <v>2588</v>
      </c>
      <c r="K48" s="83"/>
      <c r="L48" s="84" t="s">
        <v>310</v>
      </c>
      <c r="M48" s="84">
        <v>46116.399305555555</v>
      </c>
      <c r="N48" s="83" t="s">
        <v>2603</v>
      </c>
      <c r="O48" s="26" t="s">
        <v>114</v>
      </c>
      <c r="P48" s="42" t="s">
        <v>279</v>
      </c>
      <c r="Q48" s="26" t="s">
        <v>114</v>
      </c>
      <c r="R48" s="10" t="s">
        <v>279</v>
      </c>
      <c r="S48" s="26" t="s">
        <v>114</v>
      </c>
      <c r="T48" s="10" t="s">
        <v>279</v>
      </c>
      <c r="U48" s="26" t="s">
        <v>114</v>
      </c>
      <c r="V48" s="10" t="s">
        <v>279</v>
      </c>
      <c r="W48" s="26" t="s">
        <v>114</v>
      </c>
      <c r="X48" s="10" t="s">
        <v>279</v>
      </c>
      <c r="Y48" s="26" t="s">
        <v>114</v>
      </c>
      <c r="Z48" s="10" t="s">
        <v>279</v>
      </c>
      <c r="AA48" s="26" t="s">
        <v>114</v>
      </c>
      <c r="AB48" s="34" t="s">
        <v>279</v>
      </c>
      <c r="AC48" s="26" t="s">
        <v>114</v>
      </c>
      <c r="AD48" s="34" t="s">
        <v>279</v>
      </c>
      <c r="AE48" s="26" t="s">
        <v>114</v>
      </c>
      <c r="AF48" s="71" t="s">
        <v>114</v>
      </c>
      <c r="AG48" s="21" t="str">
        <f t="shared" si="0"/>
        <v>NÃO UTILIZOU O PDA</v>
      </c>
      <c r="AH48" s="42" t="s">
        <v>4</v>
      </c>
      <c r="AI48" s="29" t="str">
        <f t="shared" si="2"/>
        <v>GUARULHOS</v>
      </c>
      <c r="AJ48" s="29" t="s">
        <v>1</v>
      </c>
    </row>
    <row r="49" spans="1:36" ht="30" customHeight="1" x14ac:dyDescent="0.2">
      <c r="A49" s="83" t="s">
        <v>101</v>
      </c>
      <c r="B49" s="83">
        <v>2613681820</v>
      </c>
      <c r="C49" s="83" t="s">
        <v>69</v>
      </c>
      <c r="D49" s="83" t="s">
        <v>20</v>
      </c>
      <c r="E49" s="83" t="s">
        <v>102</v>
      </c>
      <c r="F49" s="83" t="s">
        <v>226</v>
      </c>
      <c r="G49" s="83">
        <v>44</v>
      </c>
      <c r="H49" s="83" t="s">
        <v>117</v>
      </c>
      <c r="I49" s="83" t="s">
        <v>139</v>
      </c>
      <c r="J49" s="83" t="s">
        <v>2586</v>
      </c>
      <c r="K49" s="83" t="s">
        <v>117</v>
      </c>
      <c r="L49" s="84" t="s">
        <v>310</v>
      </c>
      <c r="M49" s="84">
        <v>46116.445138888892</v>
      </c>
      <c r="N49" s="83" t="s">
        <v>2603</v>
      </c>
      <c r="O49" s="26" t="s">
        <v>114</v>
      </c>
      <c r="P49" s="42" t="s">
        <v>279</v>
      </c>
      <c r="Q49" s="26" t="s">
        <v>114</v>
      </c>
      <c r="R49" s="10" t="s">
        <v>279</v>
      </c>
      <c r="S49" s="26" t="s">
        <v>114</v>
      </c>
      <c r="T49" s="10" t="s">
        <v>279</v>
      </c>
      <c r="U49" s="26" t="s">
        <v>114</v>
      </c>
      <c r="V49" s="10" t="s">
        <v>279</v>
      </c>
      <c r="W49" s="26" t="s">
        <v>114</v>
      </c>
      <c r="X49" s="10" t="s">
        <v>279</v>
      </c>
      <c r="Y49" s="26" t="s">
        <v>114</v>
      </c>
      <c r="Z49" s="10" t="s">
        <v>279</v>
      </c>
      <c r="AA49" s="26" t="s">
        <v>114</v>
      </c>
      <c r="AB49" s="34" t="s">
        <v>279</v>
      </c>
      <c r="AC49" s="26" t="s">
        <v>114</v>
      </c>
      <c r="AD49" s="34" t="s">
        <v>279</v>
      </c>
      <c r="AE49" s="26" t="s">
        <v>114</v>
      </c>
      <c r="AF49" s="71" t="str">
        <f t="shared" si="1"/>
        <v>NC</v>
      </c>
      <c r="AG49" s="21" t="str">
        <f t="shared" si="0"/>
        <v>NÃO UTILIZOU O PDA</v>
      </c>
      <c r="AH49" s="42" t="s">
        <v>4</v>
      </c>
      <c r="AI49" s="29" t="str">
        <f t="shared" si="2"/>
        <v>GUARULHOS</v>
      </c>
      <c r="AJ49" s="29" t="s">
        <v>1</v>
      </c>
    </row>
    <row r="50" spans="1:36" ht="30" customHeight="1" x14ac:dyDescent="0.2">
      <c r="A50" s="83" t="s">
        <v>101</v>
      </c>
      <c r="B50" s="83">
        <v>2613599104</v>
      </c>
      <c r="C50" s="83" t="s">
        <v>69</v>
      </c>
      <c r="D50" s="83" t="s">
        <v>20</v>
      </c>
      <c r="E50" s="83" t="s">
        <v>102</v>
      </c>
      <c r="F50" s="83" t="s">
        <v>224</v>
      </c>
      <c r="G50" s="83">
        <v>148</v>
      </c>
      <c r="H50" s="83"/>
      <c r="I50" s="83" t="s">
        <v>212</v>
      </c>
      <c r="J50" s="83" t="s">
        <v>2586</v>
      </c>
      <c r="K50" s="83"/>
      <c r="L50" s="84" t="s">
        <v>310</v>
      </c>
      <c r="M50" s="84">
        <v>46116.46875</v>
      </c>
      <c r="N50" s="83" t="s">
        <v>2603</v>
      </c>
      <c r="O50" s="26" t="s">
        <v>114</v>
      </c>
      <c r="P50" s="42" t="s">
        <v>279</v>
      </c>
      <c r="Q50" s="26" t="s">
        <v>114</v>
      </c>
      <c r="R50" s="10" t="s">
        <v>279</v>
      </c>
      <c r="S50" s="26" t="s">
        <v>114</v>
      </c>
      <c r="T50" s="10" t="s">
        <v>279</v>
      </c>
      <c r="U50" s="26" t="s">
        <v>114</v>
      </c>
      <c r="V50" s="10" t="s">
        <v>279</v>
      </c>
      <c r="W50" s="26" t="s">
        <v>114</v>
      </c>
      <c r="X50" s="10" t="s">
        <v>279</v>
      </c>
      <c r="Y50" s="26" t="s">
        <v>114</v>
      </c>
      <c r="Z50" s="10" t="s">
        <v>279</v>
      </c>
      <c r="AA50" s="26" t="s">
        <v>114</v>
      </c>
      <c r="AB50" s="34" t="s">
        <v>279</v>
      </c>
      <c r="AC50" s="26" t="s">
        <v>114</v>
      </c>
      <c r="AD50" s="34" t="s">
        <v>279</v>
      </c>
      <c r="AE50" s="26" t="s">
        <v>114</v>
      </c>
      <c r="AF50" s="71" t="str">
        <f t="shared" si="1"/>
        <v>NC</v>
      </c>
      <c r="AG50" s="21" t="str">
        <f t="shared" si="0"/>
        <v>NÃO UTILIZOU O PDA</v>
      </c>
      <c r="AH50" s="42" t="s">
        <v>4</v>
      </c>
      <c r="AI50" s="29" t="str">
        <f t="shared" si="2"/>
        <v>GUARULHOS</v>
      </c>
      <c r="AJ50" s="29" t="s">
        <v>1</v>
      </c>
    </row>
    <row r="51" spans="1:36" ht="30" customHeight="1" x14ac:dyDescent="0.2">
      <c r="A51" s="83" t="s">
        <v>101</v>
      </c>
      <c r="B51" s="83">
        <v>2612942604</v>
      </c>
      <c r="C51" s="83" t="s">
        <v>69</v>
      </c>
      <c r="D51" s="83" t="s">
        <v>20</v>
      </c>
      <c r="E51" s="83" t="s">
        <v>102</v>
      </c>
      <c r="F51" s="83" t="s">
        <v>1024</v>
      </c>
      <c r="G51" s="83">
        <v>222</v>
      </c>
      <c r="H51" s="83" t="s">
        <v>1696</v>
      </c>
      <c r="I51" s="83" t="s">
        <v>340</v>
      </c>
      <c r="J51" s="83" t="s">
        <v>2586</v>
      </c>
      <c r="K51" s="83" t="s">
        <v>117</v>
      </c>
      <c r="L51" s="84" t="s">
        <v>310</v>
      </c>
      <c r="M51" s="84">
        <v>46116.347916666666</v>
      </c>
      <c r="N51" s="83" t="s">
        <v>2603</v>
      </c>
      <c r="O51" s="26" t="s">
        <v>114</v>
      </c>
      <c r="P51" s="42" t="s">
        <v>279</v>
      </c>
      <c r="Q51" s="26" t="s">
        <v>114</v>
      </c>
      <c r="R51" s="10" t="s">
        <v>279</v>
      </c>
      <c r="S51" s="26" t="s">
        <v>114</v>
      </c>
      <c r="T51" s="10" t="s">
        <v>279</v>
      </c>
      <c r="U51" s="26" t="s">
        <v>114</v>
      </c>
      <c r="V51" s="10" t="s">
        <v>279</v>
      </c>
      <c r="W51" s="26" t="s">
        <v>114</v>
      </c>
      <c r="X51" s="10" t="s">
        <v>279</v>
      </c>
      <c r="Y51" s="26" t="s">
        <v>114</v>
      </c>
      <c r="Z51" s="10" t="s">
        <v>279</v>
      </c>
      <c r="AA51" s="26" t="s">
        <v>114</v>
      </c>
      <c r="AB51" s="34" t="s">
        <v>279</v>
      </c>
      <c r="AC51" s="26" t="s">
        <v>114</v>
      </c>
      <c r="AD51" s="34" t="s">
        <v>279</v>
      </c>
      <c r="AE51" s="26" t="s">
        <v>114</v>
      </c>
      <c r="AF51" s="71" t="str">
        <f t="shared" si="1"/>
        <v>NC</v>
      </c>
      <c r="AG51" s="21" t="str">
        <f t="shared" si="0"/>
        <v>NÃO UTILIZOU O PDA</v>
      </c>
      <c r="AH51" s="42" t="s">
        <v>13</v>
      </c>
      <c r="AI51" s="29" t="str">
        <f t="shared" si="2"/>
        <v>GUARULHOS</v>
      </c>
      <c r="AJ51" s="29" t="s">
        <v>1</v>
      </c>
    </row>
    <row r="52" spans="1:36" ht="30" customHeight="1" x14ac:dyDescent="0.2">
      <c r="A52" s="83" t="s">
        <v>101</v>
      </c>
      <c r="B52" s="83">
        <v>2614159770</v>
      </c>
      <c r="C52" s="83" t="s">
        <v>68</v>
      </c>
      <c r="D52" s="83" t="s">
        <v>20</v>
      </c>
      <c r="E52" s="83" t="s">
        <v>102</v>
      </c>
      <c r="F52" s="83" t="s">
        <v>268</v>
      </c>
      <c r="G52" s="83">
        <v>415</v>
      </c>
      <c r="H52" s="83"/>
      <c r="I52" s="83" t="s">
        <v>264</v>
      </c>
      <c r="J52" s="83" t="s">
        <v>2588</v>
      </c>
      <c r="K52" s="83"/>
      <c r="L52" s="84" t="s">
        <v>310</v>
      </c>
      <c r="M52" s="84">
        <v>46116.428472222222</v>
      </c>
      <c r="N52" s="83" t="s">
        <v>2603</v>
      </c>
      <c r="O52" s="26" t="s">
        <v>114</v>
      </c>
      <c r="P52" s="42" t="s">
        <v>279</v>
      </c>
      <c r="Q52" s="26" t="s">
        <v>114</v>
      </c>
      <c r="R52" s="10" t="s">
        <v>279</v>
      </c>
      <c r="S52" s="26" t="s">
        <v>114</v>
      </c>
      <c r="T52" s="10" t="s">
        <v>279</v>
      </c>
      <c r="U52" s="26" t="s">
        <v>114</v>
      </c>
      <c r="V52" s="10" t="s">
        <v>279</v>
      </c>
      <c r="W52" s="26" t="s">
        <v>114</v>
      </c>
      <c r="X52" s="10" t="s">
        <v>279</v>
      </c>
      <c r="Y52" s="26" t="s">
        <v>114</v>
      </c>
      <c r="Z52" s="10" t="s">
        <v>279</v>
      </c>
      <c r="AA52" s="26" t="s">
        <v>114</v>
      </c>
      <c r="AB52" s="34" t="s">
        <v>279</v>
      </c>
      <c r="AC52" s="26" t="s">
        <v>114</v>
      </c>
      <c r="AD52" s="34" t="s">
        <v>279</v>
      </c>
      <c r="AE52" s="26" t="s">
        <v>114</v>
      </c>
      <c r="AF52" s="71" t="str">
        <f t="shared" si="1"/>
        <v>NC</v>
      </c>
      <c r="AG52" s="21" t="str">
        <f t="shared" si="0"/>
        <v>NÃO UTILIZOU O PDA</v>
      </c>
      <c r="AH52" s="42" t="s">
        <v>4</v>
      </c>
      <c r="AI52" s="29" t="str">
        <f t="shared" si="2"/>
        <v>GUARULHOS</v>
      </c>
      <c r="AJ52" s="29" t="s">
        <v>1</v>
      </c>
    </row>
    <row r="53" spans="1:36" ht="30" customHeight="1" x14ac:dyDescent="0.2">
      <c r="A53" s="83" t="s">
        <v>101</v>
      </c>
      <c r="B53" s="83">
        <v>2614128186</v>
      </c>
      <c r="C53" s="83" t="s">
        <v>70</v>
      </c>
      <c r="D53" s="83" t="s">
        <v>20</v>
      </c>
      <c r="E53" s="83" t="s">
        <v>102</v>
      </c>
      <c r="F53" s="83" t="s">
        <v>250</v>
      </c>
      <c r="G53" s="83">
        <v>286</v>
      </c>
      <c r="H53" s="83" t="s">
        <v>251</v>
      </c>
      <c r="I53" s="83" t="s">
        <v>252</v>
      </c>
      <c r="J53" s="83" t="s">
        <v>2588</v>
      </c>
      <c r="K53" s="83" t="s">
        <v>117</v>
      </c>
      <c r="L53" s="84" t="s">
        <v>310</v>
      </c>
      <c r="M53" s="84">
        <v>46116.368750000001</v>
      </c>
      <c r="N53" s="83" t="s">
        <v>2603</v>
      </c>
      <c r="O53" s="26" t="s">
        <v>114</v>
      </c>
      <c r="P53" s="42" t="s">
        <v>279</v>
      </c>
      <c r="Q53" s="26" t="s">
        <v>114</v>
      </c>
      <c r="R53" s="10" t="s">
        <v>279</v>
      </c>
      <c r="S53" s="26" t="s">
        <v>114</v>
      </c>
      <c r="T53" s="10" t="s">
        <v>279</v>
      </c>
      <c r="U53" s="26" t="s">
        <v>114</v>
      </c>
      <c r="V53" s="10" t="s">
        <v>279</v>
      </c>
      <c r="W53" s="26" t="s">
        <v>114</v>
      </c>
      <c r="X53" s="10" t="s">
        <v>279</v>
      </c>
      <c r="Y53" s="26" t="s">
        <v>114</v>
      </c>
      <c r="Z53" s="10" t="s">
        <v>279</v>
      </c>
      <c r="AA53" s="26" t="s">
        <v>114</v>
      </c>
      <c r="AB53" s="34" t="s">
        <v>279</v>
      </c>
      <c r="AC53" s="26" t="s">
        <v>114</v>
      </c>
      <c r="AD53" s="34" t="s">
        <v>279</v>
      </c>
      <c r="AE53" s="26" t="s">
        <v>114</v>
      </c>
      <c r="AF53" s="71" t="str">
        <f t="shared" si="1"/>
        <v>NC</v>
      </c>
      <c r="AG53" s="21" t="str">
        <f t="shared" si="0"/>
        <v>NÃO UTILIZOU O PDA</v>
      </c>
      <c r="AH53" s="16" t="s">
        <v>4</v>
      </c>
      <c r="AI53" s="29" t="str">
        <f t="shared" si="2"/>
        <v>GUARULHOS</v>
      </c>
      <c r="AJ53" s="29" t="s">
        <v>1</v>
      </c>
    </row>
    <row r="54" spans="1:36" ht="30" customHeight="1" x14ac:dyDescent="0.2">
      <c r="A54" s="83" t="s">
        <v>101</v>
      </c>
      <c r="B54" s="83">
        <v>2689511296</v>
      </c>
      <c r="C54" s="83" t="s">
        <v>70</v>
      </c>
      <c r="D54" s="83" t="s">
        <v>20</v>
      </c>
      <c r="E54" s="83" t="s">
        <v>102</v>
      </c>
      <c r="F54" s="83" t="s">
        <v>259</v>
      </c>
      <c r="G54" s="83">
        <v>233</v>
      </c>
      <c r="H54" s="83" t="s">
        <v>260</v>
      </c>
      <c r="I54" s="83" t="s">
        <v>261</v>
      </c>
      <c r="J54" s="83" t="s">
        <v>2588</v>
      </c>
      <c r="K54" s="83"/>
      <c r="L54" s="84" t="s">
        <v>310</v>
      </c>
      <c r="M54" s="84">
        <v>46116.40902777778</v>
      </c>
      <c r="N54" s="83" t="s">
        <v>2603</v>
      </c>
      <c r="O54" s="26" t="s">
        <v>114</v>
      </c>
      <c r="P54" s="42" t="s">
        <v>279</v>
      </c>
      <c r="Q54" s="26" t="s">
        <v>114</v>
      </c>
      <c r="R54" s="10" t="s">
        <v>279</v>
      </c>
      <c r="S54" s="26" t="s">
        <v>114</v>
      </c>
      <c r="T54" s="10" t="s">
        <v>279</v>
      </c>
      <c r="U54" s="26" t="s">
        <v>114</v>
      </c>
      <c r="V54" s="10" t="s">
        <v>279</v>
      </c>
      <c r="W54" s="26" t="s">
        <v>114</v>
      </c>
      <c r="X54" s="10" t="s">
        <v>279</v>
      </c>
      <c r="Y54" s="26" t="s">
        <v>114</v>
      </c>
      <c r="Z54" s="10" t="s">
        <v>279</v>
      </c>
      <c r="AA54" s="26" t="s">
        <v>114</v>
      </c>
      <c r="AB54" s="10" t="s">
        <v>279</v>
      </c>
      <c r="AC54" s="26" t="s">
        <v>114</v>
      </c>
      <c r="AD54" s="10" t="s">
        <v>279</v>
      </c>
      <c r="AE54" s="26" t="s">
        <v>114</v>
      </c>
      <c r="AF54" s="71" t="str">
        <f t="shared" si="1"/>
        <v>NC</v>
      </c>
      <c r="AG54" s="21" t="str">
        <f t="shared" si="0"/>
        <v>NÃO UTILIZOU O PDA</v>
      </c>
      <c r="AH54" s="16" t="s">
        <v>4</v>
      </c>
      <c r="AI54" s="29" t="str">
        <f t="shared" si="2"/>
        <v>GUARULHOS</v>
      </c>
      <c r="AJ54" s="29" t="s">
        <v>1</v>
      </c>
    </row>
    <row r="55" spans="1:36" ht="30" customHeight="1" x14ac:dyDescent="0.2">
      <c r="A55" s="83" t="s">
        <v>101</v>
      </c>
      <c r="B55" s="83">
        <v>2614312644</v>
      </c>
      <c r="C55" s="83" t="s">
        <v>69</v>
      </c>
      <c r="D55" s="83" t="s">
        <v>20</v>
      </c>
      <c r="E55" s="83" t="s">
        <v>102</v>
      </c>
      <c r="F55" s="83" t="s">
        <v>372</v>
      </c>
      <c r="G55" s="83">
        <v>216</v>
      </c>
      <c r="H55" s="83"/>
      <c r="I55" s="83" t="s">
        <v>340</v>
      </c>
      <c r="J55" s="83" t="s">
        <v>2586</v>
      </c>
      <c r="K55" s="83"/>
      <c r="L55" s="84" t="s">
        <v>377</v>
      </c>
      <c r="M55" s="84">
        <v>46177.342361111114</v>
      </c>
      <c r="N55" s="83" t="s">
        <v>2596</v>
      </c>
      <c r="O55" s="26" t="s">
        <v>108</v>
      </c>
      <c r="P55" s="42"/>
      <c r="Q55" s="26" t="s">
        <v>108</v>
      </c>
      <c r="R55" s="10"/>
      <c r="S55" s="26" t="s">
        <v>108</v>
      </c>
      <c r="T55" s="10"/>
      <c r="U55" s="26" t="s">
        <v>108</v>
      </c>
      <c r="V55" s="10"/>
      <c r="W55" s="26" t="s">
        <v>108</v>
      </c>
      <c r="X55" s="10"/>
      <c r="Y55" s="26" t="s">
        <v>108</v>
      </c>
      <c r="Z55" s="10"/>
      <c r="AA55" s="26" t="s">
        <v>108</v>
      </c>
      <c r="AB55" s="34"/>
      <c r="AC55" s="26" t="s">
        <v>108</v>
      </c>
      <c r="AD55" s="34"/>
      <c r="AE55" s="26" t="s">
        <v>108</v>
      </c>
      <c r="AF55" s="71" t="str">
        <f t="shared" si="1"/>
        <v>C</v>
      </c>
      <c r="AG55" s="21" t="str">
        <f t="shared" si="0"/>
        <v>UTILIZOU O PDA CORRETAMENTE</v>
      </c>
      <c r="AH55" s="42" t="s">
        <v>4</v>
      </c>
      <c r="AI55" s="29" t="str">
        <f t="shared" si="2"/>
        <v>GUARULHOS</v>
      </c>
      <c r="AJ55" s="29" t="s">
        <v>1</v>
      </c>
    </row>
    <row r="56" spans="1:36" ht="30" customHeight="1" x14ac:dyDescent="0.2">
      <c r="A56" s="83" t="s">
        <v>101</v>
      </c>
      <c r="B56" s="83">
        <v>2614318419</v>
      </c>
      <c r="C56" s="83" t="s">
        <v>70</v>
      </c>
      <c r="D56" s="83" t="s">
        <v>20</v>
      </c>
      <c r="E56" s="83" t="s">
        <v>102</v>
      </c>
      <c r="F56" s="83" t="s">
        <v>1726</v>
      </c>
      <c r="G56" s="83">
        <v>1296</v>
      </c>
      <c r="H56" s="83" t="s">
        <v>117</v>
      </c>
      <c r="I56" s="83" t="s">
        <v>149</v>
      </c>
      <c r="J56" s="83" t="s">
        <v>2588</v>
      </c>
      <c r="K56" s="83" t="s">
        <v>117</v>
      </c>
      <c r="L56" s="84" t="s">
        <v>377</v>
      </c>
      <c r="M56" s="84">
        <v>46177.40902777778</v>
      </c>
      <c r="N56" s="83" t="s">
        <v>2596</v>
      </c>
      <c r="O56" s="26" t="s">
        <v>108</v>
      </c>
      <c r="P56" s="42"/>
      <c r="Q56" s="26" t="s">
        <v>108</v>
      </c>
      <c r="R56" s="10"/>
      <c r="S56" s="26" t="s">
        <v>108</v>
      </c>
      <c r="T56" s="10"/>
      <c r="U56" s="26" t="s">
        <v>108</v>
      </c>
      <c r="V56" s="10"/>
      <c r="W56" s="26" t="s">
        <v>108</v>
      </c>
      <c r="X56" s="10"/>
      <c r="Y56" s="26" t="s">
        <v>214</v>
      </c>
      <c r="Z56" s="10"/>
      <c r="AA56" s="26" t="s">
        <v>108</v>
      </c>
      <c r="AB56" s="10"/>
      <c r="AC56" s="26" t="s">
        <v>108</v>
      </c>
      <c r="AD56" s="10"/>
      <c r="AE56" s="26" t="s">
        <v>108</v>
      </c>
      <c r="AF56" s="71" t="str">
        <f t="shared" si="1"/>
        <v>NC</v>
      </c>
      <c r="AG56" s="21" t="str">
        <f t="shared" si="0"/>
        <v>UTILIZOU O PDA CORRETAMENTE. NÃO HÁ FOTOS DE TODAS AS ETAPAS</v>
      </c>
      <c r="AH56" s="42" t="s">
        <v>13</v>
      </c>
      <c r="AI56" s="29" t="str">
        <f t="shared" si="2"/>
        <v>GUARULHOS</v>
      </c>
      <c r="AJ56" s="29" t="s">
        <v>1</v>
      </c>
    </row>
    <row r="57" spans="1:36" ht="30" customHeight="1" x14ac:dyDescent="0.2">
      <c r="A57" s="83" t="s">
        <v>101</v>
      </c>
      <c r="B57" s="83">
        <v>2613629129</v>
      </c>
      <c r="C57" s="83" t="s">
        <v>71</v>
      </c>
      <c r="D57" s="83" t="s">
        <v>20</v>
      </c>
      <c r="E57" s="83" t="s">
        <v>102</v>
      </c>
      <c r="F57" s="83" t="s">
        <v>311</v>
      </c>
      <c r="G57" s="83">
        <v>125</v>
      </c>
      <c r="H57" s="83"/>
      <c r="I57" s="83" t="s">
        <v>204</v>
      </c>
      <c r="J57" s="83" t="s">
        <v>2586</v>
      </c>
      <c r="K57" s="83"/>
      <c r="L57" s="84" t="s">
        <v>377</v>
      </c>
      <c r="M57" s="84">
        <v>46177.463194444441</v>
      </c>
      <c r="N57" s="83" t="s">
        <v>2596</v>
      </c>
      <c r="O57" s="26" t="s">
        <v>114</v>
      </c>
      <c r="P57" s="42" t="s">
        <v>279</v>
      </c>
      <c r="Q57" s="26" t="s">
        <v>114</v>
      </c>
      <c r="R57" s="10" t="s">
        <v>279</v>
      </c>
      <c r="S57" s="26" t="s">
        <v>114</v>
      </c>
      <c r="T57" s="10" t="s">
        <v>279</v>
      </c>
      <c r="U57" s="26" t="s">
        <v>114</v>
      </c>
      <c r="V57" s="10" t="s">
        <v>279</v>
      </c>
      <c r="W57" s="26" t="s">
        <v>114</v>
      </c>
      <c r="X57" s="10" t="s">
        <v>279</v>
      </c>
      <c r="Y57" s="26" t="s">
        <v>114</v>
      </c>
      <c r="Z57" s="10" t="s">
        <v>279</v>
      </c>
      <c r="AA57" s="26" t="s">
        <v>114</v>
      </c>
      <c r="AB57" s="10" t="s">
        <v>279</v>
      </c>
      <c r="AC57" s="26" t="s">
        <v>114</v>
      </c>
      <c r="AD57" s="10" t="s">
        <v>279</v>
      </c>
      <c r="AE57" s="26" t="s">
        <v>114</v>
      </c>
      <c r="AF57" s="71" t="str">
        <f t="shared" si="1"/>
        <v>NC</v>
      </c>
      <c r="AG57" s="21" t="str">
        <f t="shared" si="0"/>
        <v>NÃO UTILIZOU O PDA</v>
      </c>
      <c r="AH57" s="42" t="s">
        <v>13</v>
      </c>
      <c r="AI57" s="29" t="str">
        <f t="shared" si="2"/>
        <v>GUARULHOS</v>
      </c>
      <c r="AJ57" s="29" t="s">
        <v>1</v>
      </c>
    </row>
    <row r="58" spans="1:36" ht="30" customHeight="1" x14ac:dyDescent="0.2">
      <c r="A58" s="83" t="s">
        <v>101</v>
      </c>
      <c r="B58" s="83">
        <v>2614223573</v>
      </c>
      <c r="C58" s="83" t="s">
        <v>68</v>
      </c>
      <c r="D58" s="83" t="s">
        <v>20</v>
      </c>
      <c r="E58" s="83" t="s">
        <v>102</v>
      </c>
      <c r="F58" s="83" t="s">
        <v>293</v>
      </c>
      <c r="G58" s="83">
        <v>466</v>
      </c>
      <c r="H58" s="83" t="s">
        <v>294</v>
      </c>
      <c r="I58" s="83" t="s">
        <v>154</v>
      </c>
      <c r="J58" s="83" t="s">
        <v>2588</v>
      </c>
      <c r="K58" s="83" t="s">
        <v>117</v>
      </c>
      <c r="L58" s="84" t="s">
        <v>377</v>
      </c>
      <c r="M58" s="84">
        <v>46177.449305555558</v>
      </c>
      <c r="N58" s="83" t="s">
        <v>2596</v>
      </c>
      <c r="O58" s="26" t="s">
        <v>108</v>
      </c>
      <c r="P58" s="42"/>
      <c r="Q58" s="26" t="s">
        <v>108</v>
      </c>
      <c r="R58" s="10"/>
      <c r="S58" s="26" t="s">
        <v>108</v>
      </c>
      <c r="T58" s="10"/>
      <c r="U58" s="26" t="s">
        <v>108</v>
      </c>
      <c r="V58" s="10"/>
      <c r="W58" s="26" t="s">
        <v>108</v>
      </c>
      <c r="X58" s="10"/>
      <c r="Y58" s="26" t="s">
        <v>108</v>
      </c>
      <c r="Z58" s="10"/>
      <c r="AA58" s="26" t="s">
        <v>108</v>
      </c>
      <c r="AB58" s="10"/>
      <c r="AC58" s="26" t="s">
        <v>108</v>
      </c>
      <c r="AD58" s="10"/>
      <c r="AE58" s="26" t="s">
        <v>108</v>
      </c>
      <c r="AF58" s="71" t="str">
        <f t="shared" si="1"/>
        <v>C</v>
      </c>
      <c r="AG58" s="21" t="str">
        <f t="shared" si="0"/>
        <v>UTILIZOU O PDA CORRETAMENTE</v>
      </c>
      <c r="AH58" s="42" t="s">
        <v>4</v>
      </c>
      <c r="AI58" s="29" t="str">
        <f t="shared" si="2"/>
        <v>GUARULHOS</v>
      </c>
      <c r="AJ58" s="29" t="s">
        <v>1</v>
      </c>
    </row>
    <row r="59" spans="1:36" ht="30" customHeight="1" x14ac:dyDescent="0.2">
      <c r="A59" s="83" t="s">
        <v>101</v>
      </c>
      <c r="B59" s="83">
        <v>2614309884</v>
      </c>
      <c r="C59" s="83" t="s">
        <v>71</v>
      </c>
      <c r="D59" s="83" t="s">
        <v>20</v>
      </c>
      <c r="E59" s="83" t="s">
        <v>102</v>
      </c>
      <c r="F59" s="83" t="s">
        <v>1707</v>
      </c>
      <c r="G59" s="83">
        <v>327</v>
      </c>
      <c r="H59" s="83" t="s">
        <v>1708</v>
      </c>
      <c r="I59" s="83" t="s">
        <v>179</v>
      </c>
      <c r="J59" s="83" t="s">
        <v>2586</v>
      </c>
      <c r="K59" s="83"/>
      <c r="L59" s="84" t="s">
        <v>377</v>
      </c>
      <c r="M59" s="84">
        <v>46177.390972222223</v>
      </c>
      <c r="N59" s="83" t="s">
        <v>2596</v>
      </c>
      <c r="O59" s="26" t="s">
        <v>108</v>
      </c>
      <c r="P59" s="42"/>
      <c r="Q59" s="26" t="s">
        <v>108</v>
      </c>
      <c r="R59" s="10"/>
      <c r="S59" s="26" t="s">
        <v>108</v>
      </c>
      <c r="T59" s="10"/>
      <c r="U59" s="26" t="s">
        <v>108</v>
      </c>
      <c r="V59" s="10"/>
      <c r="W59" s="26" t="s">
        <v>108</v>
      </c>
      <c r="X59" s="10"/>
      <c r="Y59" s="26" t="s">
        <v>214</v>
      </c>
      <c r="Z59" s="10"/>
      <c r="AA59" s="26" t="s">
        <v>108</v>
      </c>
      <c r="AB59" s="10"/>
      <c r="AC59" s="26" t="s">
        <v>108</v>
      </c>
      <c r="AD59" s="10"/>
      <c r="AE59" s="26" t="s">
        <v>108</v>
      </c>
      <c r="AF59" s="71" t="str">
        <f t="shared" si="1"/>
        <v>NC</v>
      </c>
      <c r="AG59" s="21" t="str">
        <f t="shared" si="0"/>
        <v>UTILIZOU O PDA CORRETAMENTE. NÃO HÁ FOTOS DE TODAS AS ETAPAS</v>
      </c>
      <c r="AH59" s="42"/>
      <c r="AI59" s="29" t="str">
        <f t="shared" si="2"/>
        <v>GUARULHOS</v>
      </c>
      <c r="AJ59" s="29" t="s">
        <v>1</v>
      </c>
    </row>
    <row r="60" spans="1:36" ht="30" customHeight="1" x14ac:dyDescent="0.2">
      <c r="A60" s="83" t="s">
        <v>101</v>
      </c>
      <c r="B60" s="83">
        <v>2613894467</v>
      </c>
      <c r="C60" s="83" t="s">
        <v>68</v>
      </c>
      <c r="D60" s="83" t="s">
        <v>20</v>
      </c>
      <c r="E60" s="83" t="s">
        <v>102</v>
      </c>
      <c r="F60" s="83" t="s">
        <v>280</v>
      </c>
      <c r="G60" s="83">
        <v>82</v>
      </c>
      <c r="H60" s="83" t="s">
        <v>281</v>
      </c>
      <c r="I60" s="83" t="s">
        <v>282</v>
      </c>
      <c r="J60" s="83" t="s">
        <v>2588</v>
      </c>
      <c r="K60" s="83" t="s">
        <v>117</v>
      </c>
      <c r="L60" s="84" t="s">
        <v>377</v>
      </c>
      <c r="M60" s="84">
        <v>46177.429861111108</v>
      </c>
      <c r="N60" s="83" t="s">
        <v>2596</v>
      </c>
      <c r="O60" s="26" t="s">
        <v>108</v>
      </c>
      <c r="P60" s="42"/>
      <c r="Q60" s="26" t="s">
        <v>108</v>
      </c>
      <c r="R60" s="10"/>
      <c r="S60" s="26" t="s">
        <v>108</v>
      </c>
      <c r="T60" s="10"/>
      <c r="U60" s="26" t="s">
        <v>108</v>
      </c>
      <c r="V60" s="10"/>
      <c r="W60" s="26" t="s">
        <v>108</v>
      </c>
      <c r="X60" s="10"/>
      <c r="Y60" s="26" t="s">
        <v>108</v>
      </c>
      <c r="Z60" s="10"/>
      <c r="AA60" s="26" t="s">
        <v>108</v>
      </c>
      <c r="AB60" s="10"/>
      <c r="AC60" s="26" t="s">
        <v>108</v>
      </c>
      <c r="AD60" s="10"/>
      <c r="AE60" s="26" t="s">
        <v>108</v>
      </c>
      <c r="AF60" s="71" t="str">
        <f t="shared" si="1"/>
        <v>C</v>
      </c>
      <c r="AG60" s="21" t="str">
        <f t="shared" si="0"/>
        <v>UTILIZOU O PDA CORRETAMENTE</v>
      </c>
      <c r="AH60" s="16" t="s">
        <v>4</v>
      </c>
      <c r="AI60" s="29" t="str">
        <f t="shared" si="2"/>
        <v>GUARULHOS</v>
      </c>
      <c r="AJ60" s="29" t="s">
        <v>1</v>
      </c>
    </row>
    <row r="61" spans="1:36" ht="30" customHeight="1" x14ac:dyDescent="0.2">
      <c r="A61" s="83" t="s">
        <v>101</v>
      </c>
      <c r="B61" s="83">
        <v>2614395552</v>
      </c>
      <c r="C61" s="83" t="s">
        <v>68</v>
      </c>
      <c r="D61" s="83" t="s">
        <v>20</v>
      </c>
      <c r="E61" s="83" t="s">
        <v>102</v>
      </c>
      <c r="F61" s="83" t="s">
        <v>372</v>
      </c>
      <c r="G61" s="83">
        <v>216</v>
      </c>
      <c r="H61" s="83"/>
      <c r="I61" s="83" t="s">
        <v>340</v>
      </c>
      <c r="J61" s="83" t="s">
        <v>2588</v>
      </c>
      <c r="K61" s="83" t="s">
        <v>2625</v>
      </c>
      <c r="L61" s="84" t="s">
        <v>377</v>
      </c>
      <c r="M61" s="84">
        <v>46177.34652777778</v>
      </c>
      <c r="N61" s="83" t="s">
        <v>2596</v>
      </c>
      <c r="O61" s="26" t="s">
        <v>108</v>
      </c>
      <c r="P61" s="42"/>
      <c r="Q61" s="26" t="s">
        <v>108</v>
      </c>
      <c r="R61" s="10"/>
      <c r="S61" s="26" t="s">
        <v>108</v>
      </c>
      <c r="T61" s="10"/>
      <c r="U61" s="26" t="s">
        <v>108</v>
      </c>
      <c r="V61" s="10"/>
      <c r="W61" s="26" t="s">
        <v>108</v>
      </c>
      <c r="X61" s="10"/>
      <c r="Y61" s="26" t="s">
        <v>108</v>
      </c>
      <c r="Z61" s="10"/>
      <c r="AA61" s="26" t="s">
        <v>108</v>
      </c>
      <c r="AB61" s="10"/>
      <c r="AC61" s="26" t="s">
        <v>108</v>
      </c>
      <c r="AD61" s="10"/>
      <c r="AE61" s="26" t="s">
        <v>108</v>
      </c>
      <c r="AF61" s="71" t="str">
        <f t="shared" si="1"/>
        <v>C</v>
      </c>
      <c r="AG61" s="21" t="str">
        <f t="shared" si="0"/>
        <v>UTILIZOU O PDA CORRETAMENTE</v>
      </c>
      <c r="AH61" s="16" t="s">
        <v>4</v>
      </c>
      <c r="AI61" s="29" t="str">
        <f t="shared" si="2"/>
        <v>GUARULHOS</v>
      </c>
      <c r="AJ61" s="29" t="s">
        <v>1</v>
      </c>
    </row>
    <row r="62" spans="1:36" ht="30" customHeight="1" x14ac:dyDescent="0.2">
      <c r="A62" s="83" t="s">
        <v>101</v>
      </c>
      <c r="B62" s="83">
        <v>2614318929</v>
      </c>
      <c r="C62" s="83" t="s">
        <v>69</v>
      </c>
      <c r="D62" s="83" t="s">
        <v>20</v>
      </c>
      <c r="E62" s="83" t="s">
        <v>102</v>
      </c>
      <c r="F62" s="83" t="s">
        <v>1701</v>
      </c>
      <c r="G62" s="83">
        <v>35</v>
      </c>
      <c r="H62" s="83" t="s">
        <v>174</v>
      </c>
      <c r="I62" s="83" t="s">
        <v>220</v>
      </c>
      <c r="J62" s="83" t="s">
        <v>2586</v>
      </c>
      <c r="K62" s="83" t="s">
        <v>117</v>
      </c>
      <c r="L62" s="84" t="s">
        <v>377</v>
      </c>
      <c r="M62" s="84">
        <v>46177.486111111109</v>
      </c>
      <c r="N62" s="83" t="s">
        <v>2596</v>
      </c>
      <c r="O62" s="26" t="s">
        <v>108</v>
      </c>
      <c r="P62" s="42"/>
      <c r="Q62" s="26" t="s">
        <v>108</v>
      </c>
      <c r="R62" s="10"/>
      <c r="S62" s="26" t="s">
        <v>108</v>
      </c>
      <c r="T62" s="10"/>
      <c r="U62" s="26" t="s">
        <v>108</v>
      </c>
      <c r="V62" s="10"/>
      <c r="W62" s="26" t="s">
        <v>108</v>
      </c>
      <c r="X62" s="10"/>
      <c r="Y62" s="26" t="s">
        <v>108</v>
      </c>
      <c r="Z62" s="10"/>
      <c r="AA62" s="26" t="s">
        <v>108</v>
      </c>
      <c r="AB62" s="34"/>
      <c r="AC62" s="26" t="s">
        <v>108</v>
      </c>
      <c r="AD62" s="34"/>
      <c r="AE62" s="26" t="s">
        <v>108</v>
      </c>
      <c r="AF62" s="71" t="str">
        <f t="shared" si="1"/>
        <v>C</v>
      </c>
      <c r="AG62" s="21" t="str">
        <f t="shared" si="0"/>
        <v>UTILIZOU O PDA CORRETAMENTE</v>
      </c>
      <c r="AH62" s="42"/>
      <c r="AI62" s="29" t="str">
        <f t="shared" si="2"/>
        <v>GUARULHOS</v>
      </c>
      <c r="AJ62" s="29" t="s">
        <v>1</v>
      </c>
    </row>
    <row r="63" spans="1:36" ht="30" customHeight="1" x14ac:dyDescent="0.2">
      <c r="A63" s="83" t="s">
        <v>101</v>
      </c>
      <c r="B63" s="83">
        <v>2614194300</v>
      </c>
      <c r="C63" s="83" t="s">
        <v>69</v>
      </c>
      <c r="D63" s="83" t="s">
        <v>20</v>
      </c>
      <c r="E63" s="83" t="s">
        <v>102</v>
      </c>
      <c r="F63" s="83" t="s">
        <v>257</v>
      </c>
      <c r="G63" s="83">
        <v>100</v>
      </c>
      <c r="H63" s="83" t="s">
        <v>278</v>
      </c>
      <c r="I63" s="83" t="s">
        <v>162</v>
      </c>
      <c r="J63" s="83" t="s">
        <v>2586</v>
      </c>
      <c r="K63" s="83" t="s">
        <v>2623</v>
      </c>
      <c r="L63" s="84" t="s">
        <v>377</v>
      </c>
      <c r="M63" s="84">
        <v>46177.375</v>
      </c>
      <c r="N63" s="83" t="s">
        <v>2596</v>
      </c>
      <c r="O63" s="26" t="s">
        <v>214</v>
      </c>
      <c r="P63" s="42"/>
      <c r="Q63" s="26" t="s">
        <v>214</v>
      </c>
      <c r="R63" s="10"/>
      <c r="S63" s="26" t="s">
        <v>214</v>
      </c>
      <c r="T63" s="10"/>
      <c r="U63" s="26" t="s">
        <v>214</v>
      </c>
      <c r="V63" s="10"/>
      <c r="W63" s="26" t="s">
        <v>214</v>
      </c>
      <c r="X63" s="10"/>
      <c r="Y63" s="26" t="s">
        <v>214</v>
      </c>
      <c r="Z63" s="10"/>
      <c r="AA63" s="26" t="s">
        <v>214</v>
      </c>
      <c r="AB63" s="10"/>
      <c r="AC63" s="26" t="s">
        <v>214</v>
      </c>
      <c r="AD63" s="10"/>
      <c r="AE63" s="26" t="s">
        <v>114</v>
      </c>
      <c r="AF63" s="71" t="str">
        <f t="shared" si="1"/>
        <v>NC</v>
      </c>
      <c r="AG63" s="21" t="str">
        <f t="shared" si="0"/>
        <v>NÃO UTILIZOU O PDA</v>
      </c>
      <c r="AH63" s="42" t="s">
        <v>13</v>
      </c>
      <c r="AI63" s="29" t="str">
        <f t="shared" si="2"/>
        <v>GUARULHOS</v>
      </c>
      <c r="AJ63" s="29" t="s">
        <v>1</v>
      </c>
    </row>
    <row r="64" spans="1:36" ht="30" customHeight="1" x14ac:dyDescent="0.2">
      <c r="A64" s="83" t="s">
        <v>101</v>
      </c>
      <c r="B64" s="83">
        <v>2613893400</v>
      </c>
      <c r="C64" s="83" t="s">
        <v>70</v>
      </c>
      <c r="D64" s="83" t="s">
        <v>20</v>
      </c>
      <c r="E64" s="83" t="s">
        <v>102</v>
      </c>
      <c r="F64" s="83" t="s">
        <v>1724</v>
      </c>
      <c r="G64" s="83">
        <v>57</v>
      </c>
      <c r="H64" s="83" t="s">
        <v>198</v>
      </c>
      <c r="I64" s="83" t="s">
        <v>545</v>
      </c>
      <c r="J64" s="83" t="s">
        <v>2588</v>
      </c>
      <c r="K64" s="83" t="s">
        <v>117</v>
      </c>
      <c r="L64" s="84" t="s">
        <v>377</v>
      </c>
      <c r="M64" s="84">
        <v>46177.427083333336</v>
      </c>
      <c r="N64" s="83" t="s">
        <v>2587</v>
      </c>
      <c r="O64" s="26" t="s">
        <v>114</v>
      </c>
      <c r="P64" s="42" t="s">
        <v>279</v>
      </c>
      <c r="Q64" s="26" t="s">
        <v>114</v>
      </c>
      <c r="R64" s="10" t="s">
        <v>279</v>
      </c>
      <c r="S64" s="26" t="s">
        <v>114</v>
      </c>
      <c r="T64" s="10" t="s">
        <v>279</v>
      </c>
      <c r="U64" s="26" t="s">
        <v>114</v>
      </c>
      <c r="V64" s="10" t="s">
        <v>279</v>
      </c>
      <c r="W64" s="26" t="s">
        <v>114</v>
      </c>
      <c r="X64" s="10" t="s">
        <v>279</v>
      </c>
      <c r="Y64" s="26" t="s">
        <v>114</v>
      </c>
      <c r="Z64" s="10" t="s">
        <v>279</v>
      </c>
      <c r="AA64" s="26" t="s">
        <v>114</v>
      </c>
      <c r="AB64" s="34" t="s">
        <v>279</v>
      </c>
      <c r="AC64" s="26" t="s">
        <v>114</v>
      </c>
      <c r="AD64" s="34" t="s">
        <v>279</v>
      </c>
      <c r="AE64" s="26" t="s">
        <v>114</v>
      </c>
      <c r="AF64" s="71" t="str">
        <f t="shared" si="1"/>
        <v>NC</v>
      </c>
      <c r="AG64" s="21" t="str">
        <f t="shared" si="0"/>
        <v>NÃO UTILIZOU O PDA</v>
      </c>
      <c r="AH64" s="42" t="s">
        <v>13</v>
      </c>
      <c r="AI64" s="29" t="str">
        <f t="shared" si="2"/>
        <v>GUARULHOS</v>
      </c>
      <c r="AJ64" s="29" t="s">
        <v>1</v>
      </c>
    </row>
    <row r="65" spans="1:36" ht="30" customHeight="1" x14ac:dyDescent="0.2">
      <c r="A65" s="83" t="s">
        <v>101</v>
      </c>
      <c r="B65" s="83">
        <v>2614229309</v>
      </c>
      <c r="C65" s="83" t="s">
        <v>70</v>
      </c>
      <c r="D65" s="83" t="s">
        <v>20</v>
      </c>
      <c r="E65" s="83" t="s">
        <v>102</v>
      </c>
      <c r="F65" s="83" t="s">
        <v>513</v>
      </c>
      <c r="G65" s="83">
        <v>672</v>
      </c>
      <c r="H65" s="83" t="s">
        <v>1601</v>
      </c>
      <c r="I65" s="83" t="s">
        <v>301</v>
      </c>
      <c r="J65" s="83" t="s">
        <v>2588</v>
      </c>
      <c r="K65" s="83"/>
      <c r="L65" s="84" t="s">
        <v>377</v>
      </c>
      <c r="M65" s="84">
        <v>46177.384027777778</v>
      </c>
      <c r="N65" s="83" t="s">
        <v>2587</v>
      </c>
      <c r="O65" s="26" t="s">
        <v>114</v>
      </c>
      <c r="P65" s="42" t="s">
        <v>279</v>
      </c>
      <c r="Q65" s="26" t="s">
        <v>114</v>
      </c>
      <c r="R65" s="10" t="s">
        <v>279</v>
      </c>
      <c r="S65" s="26" t="s">
        <v>114</v>
      </c>
      <c r="T65" s="10" t="s">
        <v>279</v>
      </c>
      <c r="U65" s="26" t="s">
        <v>114</v>
      </c>
      <c r="V65" s="10" t="s">
        <v>279</v>
      </c>
      <c r="W65" s="26" t="s">
        <v>114</v>
      </c>
      <c r="X65" s="10" t="s">
        <v>279</v>
      </c>
      <c r="Y65" s="26" t="s">
        <v>114</v>
      </c>
      <c r="Z65" s="10" t="s">
        <v>279</v>
      </c>
      <c r="AA65" s="26" t="s">
        <v>114</v>
      </c>
      <c r="AB65" s="10" t="s">
        <v>279</v>
      </c>
      <c r="AC65" s="26" t="s">
        <v>114</v>
      </c>
      <c r="AD65" s="10" t="s">
        <v>279</v>
      </c>
      <c r="AE65" s="26" t="s">
        <v>114</v>
      </c>
      <c r="AF65" s="71" t="str">
        <f t="shared" si="1"/>
        <v>NC</v>
      </c>
      <c r="AG65" s="21" t="str">
        <f t="shared" si="0"/>
        <v>NÃO UTILIZOU O PDA</v>
      </c>
      <c r="AH65" s="42" t="s">
        <v>13</v>
      </c>
      <c r="AI65" s="29" t="str">
        <f t="shared" si="2"/>
        <v>GUARULHOS</v>
      </c>
      <c r="AJ65" s="29" t="s">
        <v>1</v>
      </c>
    </row>
    <row r="66" spans="1:36" ht="30" customHeight="1" x14ac:dyDescent="0.2">
      <c r="A66" s="83" t="s">
        <v>101</v>
      </c>
      <c r="B66" s="83">
        <v>2614223845</v>
      </c>
      <c r="C66" s="83" t="s">
        <v>70</v>
      </c>
      <c r="D66" s="83" t="s">
        <v>20</v>
      </c>
      <c r="E66" s="83" t="s">
        <v>102</v>
      </c>
      <c r="F66" s="83" t="s">
        <v>1713</v>
      </c>
      <c r="G66" s="83">
        <v>835</v>
      </c>
      <c r="H66" s="83" t="s">
        <v>1714</v>
      </c>
      <c r="I66" s="83" t="s">
        <v>327</v>
      </c>
      <c r="J66" s="83" t="s">
        <v>2588</v>
      </c>
      <c r="K66" s="83" t="s">
        <v>2626</v>
      </c>
      <c r="L66" s="84" t="s">
        <v>377</v>
      </c>
      <c r="M66" s="84">
        <v>46177.456944444442</v>
      </c>
      <c r="N66" s="83" t="s">
        <v>2587</v>
      </c>
      <c r="O66" s="26" t="s">
        <v>214</v>
      </c>
      <c r="P66" s="42"/>
      <c r="Q66" s="26" t="s">
        <v>214</v>
      </c>
      <c r="R66" s="10"/>
      <c r="S66" s="26" t="s">
        <v>214</v>
      </c>
      <c r="T66" s="10"/>
      <c r="U66" s="26" t="s">
        <v>214</v>
      </c>
      <c r="V66" s="10"/>
      <c r="W66" s="26" t="s">
        <v>214</v>
      </c>
      <c r="X66" s="10"/>
      <c r="Y66" s="26" t="s">
        <v>214</v>
      </c>
      <c r="Z66" s="10"/>
      <c r="AA66" s="26" t="s">
        <v>214</v>
      </c>
      <c r="AB66" s="10"/>
      <c r="AC66" s="26" t="s">
        <v>214</v>
      </c>
      <c r="AD66" s="10"/>
      <c r="AE66" s="26" t="s">
        <v>114</v>
      </c>
      <c r="AF66" s="71" t="str">
        <f t="shared" si="1"/>
        <v>NC</v>
      </c>
      <c r="AG66" s="21" t="str">
        <f t="shared" ref="AG66:AG129" si="3">IF(AND(AE66="C",AF66="C"),"UTILIZOU O PDA CORRETAMENTE",IF(AND(AE66="C",AF66="NC"),"UTILIZOU O PDA CORRETAMENTE. NÃO HÁ FOTOS DE TODAS AS ETAPAS",IF(AND(AE66="NC",AF66="NC"),"NÃO UTILIZOU O PDA",IF(AND(AE66="NA",AF66="NA"),"NÃO AVALIADO POR FALHA DE SINCRONISMO"))))</f>
        <v>NÃO UTILIZOU O PDA</v>
      </c>
      <c r="AH66" s="42" t="s">
        <v>13</v>
      </c>
      <c r="AI66" s="29" t="str">
        <f t="shared" si="2"/>
        <v>GUARULHOS</v>
      </c>
      <c r="AJ66" s="29" t="s">
        <v>1</v>
      </c>
    </row>
    <row r="67" spans="1:36" ht="30" customHeight="1" x14ac:dyDescent="0.2">
      <c r="A67" s="83" t="s">
        <v>101</v>
      </c>
      <c r="B67" s="83">
        <v>2613870525</v>
      </c>
      <c r="C67" s="83" t="s">
        <v>68</v>
      </c>
      <c r="D67" s="83" t="s">
        <v>20</v>
      </c>
      <c r="E67" s="83" t="s">
        <v>102</v>
      </c>
      <c r="F67" s="83" t="s">
        <v>325</v>
      </c>
      <c r="G67" s="83">
        <v>993</v>
      </c>
      <c r="H67" s="83" t="s">
        <v>326</v>
      </c>
      <c r="I67" s="83" t="s">
        <v>327</v>
      </c>
      <c r="J67" s="83" t="s">
        <v>2588</v>
      </c>
      <c r="K67" s="83"/>
      <c r="L67" s="84" t="s">
        <v>377</v>
      </c>
      <c r="M67" s="84">
        <v>46177.446527777778</v>
      </c>
      <c r="N67" s="83" t="s">
        <v>2587</v>
      </c>
      <c r="O67" s="26" t="s">
        <v>108</v>
      </c>
      <c r="P67" s="42"/>
      <c r="Q67" s="26" t="s">
        <v>108</v>
      </c>
      <c r="R67" s="10"/>
      <c r="S67" s="26" t="s">
        <v>108</v>
      </c>
      <c r="T67" s="10"/>
      <c r="U67" s="26" t="s">
        <v>108</v>
      </c>
      <c r="V67" s="10"/>
      <c r="W67" s="26" t="s">
        <v>108</v>
      </c>
      <c r="X67" s="10"/>
      <c r="Y67" s="26" t="s">
        <v>108</v>
      </c>
      <c r="Z67" s="10"/>
      <c r="AA67" s="26" t="s">
        <v>108</v>
      </c>
      <c r="AB67" s="34"/>
      <c r="AC67" s="26" t="s">
        <v>108</v>
      </c>
      <c r="AD67" s="34"/>
      <c r="AE67" s="26" t="s">
        <v>108</v>
      </c>
      <c r="AF67" s="71" t="str">
        <f t="shared" ref="AF67:AF130" si="4">IF(AND(O67="",Q67="",S67="",U67="",W67="",Y67="",AA67="",AC67=""),"",
IF(OR(    AND(O67&lt;&gt;"NA",O67&lt;&gt;"C",O67&lt;&gt;"NC",O67&lt;&gt;"SF",O67&lt;&gt;""),
    AND(Q67&lt;&gt;"NA",Q67&lt;&gt;"C",Q67&lt;&gt;"NC",Q67&lt;&gt;"SF",Q67&lt;&gt;""),
    AND(S67&lt;&gt;"NA",S67&lt;&gt;"C",S67&lt;&gt;"NC",S67&lt;&gt;"SF",S67&lt;&gt;""),
    AND(U67&lt;&gt;"NA",U67&lt;&gt;"C",U67&lt;&gt;"NC",U67&lt;&gt;"SF",U67&lt;&gt;""),
    AND(W67&lt;&gt;"NA",W67&lt;&gt;"C",W67&lt;&gt;"NC",W67&lt;&gt;"SF",W67&lt;&gt;""),
    AND(Y67&lt;&gt;"NA",Y67&lt;&gt;"C",Y67&lt;&gt;"NC",Y67&lt;&gt;"SF",Y67&lt;&gt;""),
    AND(AA67&lt;&gt;"NA",AA67&lt;&gt;"C",AA67&lt;&gt;"NC",AA67&lt;&gt;"SF",AA67&lt;&gt;""),
    AND(AC67&lt;&gt;"NA",AC67&lt;&gt;"C",AC67&lt;&gt;"NC",AC67&lt;&gt;"SF",AC67&lt;&gt;"")
),"FALSO",
IF(AND(O67="NA",Q67="NA",S67="NA",U67="NA",W67="NA",Y67="NA",AA67="NA",AC67="NA"),"NA",
IF(OR(O67="NC",Q67="NC",S67="NC",U67="NC",W67="NC",Y67="NC",AA67="NC",AC67="NC",
       O67="SF",Q67="SF",S67="SF",U67="SF",W67="SF",Y67="SF",AA67="SF",AC67="SF"),"NC",
IF(SUM(IF(O67="C",1,0),IF(Q67="C",1,0),IF(S67="C",1,0),IF(U67="C",1,0),IF(W67="C",1,0),IF(Y67="C",1,0),IF(AA67="C",1,0),IF(AC67="C",1,0))=1,"C","C")))))</f>
        <v>C</v>
      </c>
      <c r="AG67" s="21" t="str">
        <f t="shared" si="3"/>
        <v>UTILIZOU O PDA CORRETAMENTE</v>
      </c>
      <c r="AH67" s="42" t="s">
        <v>4</v>
      </c>
      <c r="AI67" s="29" t="str">
        <f t="shared" ref="AI67:AI119" si="5">E67</f>
        <v>GUARULHOS</v>
      </c>
      <c r="AJ67" s="29" t="s">
        <v>1</v>
      </c>
    </row>
    <row r="68" spans="1:36" ht="30" customHeight="1" x14ac:dyDescent="0.2">
      <c r="A68" s="83" t="s">
        <v>101</v>
      </c>
      <c r="B68" s="83">
        <v>2614318719</v>
      </c>
      <c r="C68" s="83" t="s">
        <v>70</v>
      </c>
      <c r="D68" s="83" t="s">
        <v>20</v>
      </c>
      <c r="E68" s="83" t="s">
        <v>102</v>
      </c>
      <c r="F68" s="83" t="s">
        <v>299</v>
      </c>
      <c r="G68" s="83">
        <v>436</v>
      </c>
      <c r="H68" s="83" t="s">
        <v>1725</v>
      </c>
      <c r="I68" s="83" t="s">
        <v>301</v>
      </c>
      <c r="J68" s="83" t="s">
        <v>2588</v>
      </c>
      <c r="K68" s="83" t="s">
        <v>2593</v>
      </c>
      <c r="L68" s="84" t="s">
        <v>377</v>
      </c>
      <c r="M68" s="84">
        <v>46177.404861111114</v>
      </c>
      <c r="N68" s="83" t="s">
        <v>2587</v>
      </c>
      <c r="O68" s="26" t="s">
        <v>108</v>
      </c>
      <c r="P68" s="42"/>
      <c r="Q68" s="26" t="s">
        <v>108</v>
      </c>
      <c r="R68" s="10"/>
      <c r="S68" s="26" t="s">
        <v>108</v>
      </c>
      <c r="T68" s="10"/>
      <c r="U68" s="26" t="s">
        <v>108</v>
      </c>
      <c r="V68" s="10"/>
      <c r="W68" s="26" t="s">
        <v>108</v>
      </c>
      <c r="X68" s="10"/>
      <c r="Y68" s="26" t="s">
        <v>214</v>
      </c>
      <c r="Z68" s="10"/>
      <c r="AA68" s="26" t="s">
        <v>108</v>
      </c>
      <c r="AB68" s="34"/>
      <c r="AC68" s="26" t="s">
        <v>108</v>
      </c>
      <c r="AD68" s="34"/>
      <c r="AE68" s="26" t="s">
        <v>108</v>
      </c>
      <c r="AF68" s="71" t="str">
        <f t="shared" si="4"/>
        <v>NC</v>
      </c>
      <c r="AG68" s="21" t="str">
        <f t="shared" si="3"/>
        <v>UTILIZOU O PDA CORRETAMENTE. NÃO HÁ FOTOS DE TODAS AS ETAPAS</v>
      </c>
      <c r="AH68" s="16" t="s">
        <v>13</v>
      </c>
      <c r="AI68" s="29" t="str">
        <f t="shared" si="5"/>
        <v>GUARULHOS</v>
      </c>
      <c r="AJ68" s="29" t="s">
        <v>1</v>
      </c>
    </row>
    <row r="69" spans="1:36" ht="30" customHeight="1" x14ac:dyDescent="0.2">
      <c r="A69" s="83" t="s">
        <v>101</v>
      </c>
      <c r="B69" s="83">
        <v>2614223758</v>
      </c>
      <c r="C69" s="83" t="s">
        <v>70</v>
      </c>
      <c r="D69" s="83" t="s">
        <v>20</v>
      </c>
      <c r="E69" s="83" t="s">
        <v>102</v>
      </c>
      <c r="F69" s="83" t="s">
        <v>295</v>
      </c>
      <c r="G69" s="83">
        <v>77</v>
      </c>
      <c r="H69" s="83"/>
      <c r="I69" s="83" t="s">
        <v>296</v>
      </c>
      <c r="J69" s="83" t="s">
        <v>2588</v>
      </c>
      <c r="K69" s="83"/>
      <c r="L69" s="84" t="s">
        <v>377</v>
      </c>
      <c r="M69" s="84">
        <v>46177.409722222219</v>
      </c>
      <c r="N69" s="83" t="s">
        <v>2587</v>
      </c>
      <c r="O69" s="26" t="s">
        <v>114</v>
      </c>
      <c r="P69" s="42" t="s">
        <v>279</v>
      </c>
      <c r="Q69" s="26" t="s">
        <v>114</v>
      </c>
      <c r="R69" s="10" t="s">
        <v>279</v>
      </c>
      <c r="S69" s="26" t="s">
        <v>114</v>
      </c>
      <c r="T69" s="10" t="s">
        <v>279</v>
      </c>
      <c r="U69" s="26" t="s">
        <v>114</v>
      </c>
      <c r="V69" s="10" t="s">
        <v>279</v>
      </c>
      <c r="W69" s="26" t="s">
        <v>114</v>
      </c>
      <c r="X69" s="10" t="s">
        <v>279</v>
      </c>
      <c r="Y69" s="26" t="s">
        <v>114</v>
      </c>
      <c r="Z69" s="10" t="s">
        <v>279</v>
      </c>
      <c r="AA69" s="26" t="s">
        <v>114</v>
      </c>
      <c r="AB69" s="34" t="s">
        <v>279</v>
      </c>
      <c r="AC69" s="26" t="s">
        <v>114</v>
      </c>
      <c r="AD69" s="34" t="s">
        <v>279</v>
      </c>
      <c r="AE69" s="26" t="s">
        <v>114</v>
      </c>
      <c r="AF69" s="71" t="str">
        <f t="shared" si="4"/>
        <v>NC</v>
      </c>
      <c r="AG69" s="21" t="str">
        <f t="shared" si="3"/>
        <v>NÃO UTILIZOU O PDA</v>
      </c>
      <c r="AH69" s="42" t="s">
        <v>4</v>
      </c>
      <c r="AI69" s="29" t="str">
        <f t="shared" si="5"/>
        <v>GUARULHOS</v>
      </c>
      <c r="AJ69" s="29" t="s">
        <v>1</v>
      </c>
    </row>
    <row r="70" spans="1:36" ht="30" customHeight="1" x14ac:dyDescent="0.2">
      <c r="A70" s="83" t="s">
        <v>101</v>
      </c>
      <c r="B70" s="83">
        <v>2614124061</v>
      </c>
      <c r="C70" s="83" t="s">
        <v>69</v>
      </c>
      <c r="D70" s="83" t="s">
        <v>20</v>
      </c>
      <c r="E70" s="83" t="s">
        <v>102</v>
      </c>
      <c r="F70" s="83" t="s">
        <v>1711</v>
      </c>
      <c r="G70" s="83">
        <v>43</v>
      </c>
      <c r="H70" s="83" t="s">
        <v>1712</v>
      </c>
      <c r="I70" s="83" t="s">
        <v>264</v>
      </c>
      <c r="J70" s="83" t="s">
        <v>2586</v>
      </c>
      <c r="K70" s="83" t="s">
        <v>117</v>
      </c>
      <c r="L70" s="84" t="s">
        <v>377</v>
      </c>
      <c r="M70" s="84">
        <v>46177.410416666666</v>
      </c>
      <c r="N70" s="83" t="s">
        <v>2603</v>
      </c>
      <c r="O70" s="26" t="s">
        <v>114</v>
      </c>
      <c r="P70" s="42" t="s">
        <v>279</v>
      </c>
      <c r="Q70" s="26" t="s">
        <v>114</v>
      </c>
      <c r="R70" s="10" t="s">
        <v>279</v>
      </c>
      <c r="S70" s="26" t="s">
        <v>114</v>
      </c>
      <c r="T70" s="10" t="s">
        <v>279</v>
      </c>
      <c r="U70" s="26" t="s">
        <v>114</v>
      </c>
      <c r="V70" s="10" t="s">
        <v>279</v>
      </c>
      <c r="W70" s="26" t="s">
        <v>114</v>
      </c>
      <c r="X70" s="10" t="s">
        <v>279</v>
      </c>
      <c r="Y70" s="26" t="s">
        <v>114</v>
      </c>
      <c r="Z70" s="10" t="s">
        <v>279</v>
      </c>
      <c r="AA70" s="26" t="s">
        <v>114</v>
      </c>
      <c r="AB70" s="10" t="s">
        <v>279</v>
      </c>
      <c r="AC70" s="26" t="s">
        <v>114</v>
      </c>
      <c r="AD70" s="10" t="s">
        <v>279</v>
      </c>
      <c r="AE70" s="26" t="s">
        <v>114</v>
      </c>
      <c r="AF70" s="71" t="str">
        <f t="shared" si="4"/>
        <v>NC</v>
      </c>
      <c r="AG70" s="21" t="str">
        <f t="shared" si="3"/>
        <v>NÃO UTILIZOU O PDA</v>
      </c>
      <c r="AH70" s="42" t="s">
        <v>13</v>
      </c>
      <c r="AI70" s="29" t="str">
        <f t="shared" si="5"/>
        <v>GUARULHOS</v>
      </c>
      <c r="AJ70" s="29" t="s">
        <v>1</v>
      </c>
    </row>
    <row r="71" spans="1:36" ht="30" customHeight="1" x14ac:dyDescent="0.2">
      <c r="A71" s="83" t="s">
        <v>101</v>
      </c>
      <c r="B71" s="83">
        <v>2614141833</v>
      </c>
      <c r="C71" s="83" t="s">
        <v>70</v>
      </c>
      <c r="D71" s="83" t="s">
        <v>20</v>
      </c>
      <c r="E71" s="83" t="s">
        <v>102</v>
      </c>
      <c r="F71" s="83" t="s">
        <v>1722</v>
      </c>
      <c r="G71" s="83">
        <v>214</v>
      </c>
      <c r="H71" s="83" t="s">
        <v>1723</v>
      </c>
      <c r="I71" s="83" t="s">
        <v>479</v>
      </c>
      <c r="J71" s="83" t="s">
        <v>2588</v>
      </c>
      <c r="K71" s="83"/>
      <c r="L71" s="84" t="s">
        <v>377</v>
      </c>
      <c r="M71" s="84">
        <v>46177.354166666664</v>
      </c>
      <c r="N71" s="83" t="s">
        <v>2603</v>
      </c>
      <c r="O71" s="26" t="s">
        <v>114</v>
      </c>
      <c r="P71" s="42" t="s">
        <v>279</v>
      </c>
      <c r="Q71" s="26" t="s">
        <v>114</v>
      </c>
      <c r="R71" s="10" t="s">
        <v>279</v>
      </c>
      <c r="S71" s="26" t="s">
        <v>114</v>
      </c>
      <c r="T71" s="10" t="s">
        <v>279</v>
      </c>
      <c r="U71" s="26" t="s">
        <v>114</v>
      </c>
      <c r="V71" s="10" t="s">
        <v>279</v>
      </c>
      <c r="W71" s="26" t="s">
        <v>114</v>
      </c>
      <c r="X71" s="10" t="s">
        <v>279</v>
      </c>
      <c r="Y71" s="26" t="s">
        <v>114</v>
      </c>
      <c r="Z71" s="10" t="s">
        <v>279</v>
      </c>
      <c r="AA71" s="26" t="s">
        <v>114</v>
      </c>
      <c r="AB71" s="10" t="s">
        <v>279</v>
      </c>
      <c r="AC71" s="26" t="s">
        <v>114</v>
      </c>
      <c r="AD71" s="10" t="s">
        <v>279</v>
      </c>
      <c r="AE71" s="26" t="s">
        <v>114</v>
      </c>
      <c r="AF71" s="71" t="str">
        <f t="shared" si="4"/>
        <v>NC</v>
      </c>
      <c r="AG71" s="21" t="str">
        <f t="shared" si="3"/>
        <v>NÃO UTILIZOU O PDA</v>
      </c>
      <c r="AH71" s="42"/>
      <c r="AI71" s="29" t="str">
        <f t="shared" si="5"/>
        <v>GUARULHOS</v>
      </c>
      <c r="AJ71" s="29" t="s">
        <v>1</v>
      </c>
    </row>
    <row r="72" spans="1:36" ht="30" customHeight="1" x14ac:dyDescent="0.2">
      <c r="A72" s="83" t="s">
        <v>101</v>
      </c>
      <c r="B72" s="83">
        <v>2614228430</v>
      </c>
      <c r="C72" s="83" t="s">
        <v>69</v>
      </c>
      <c r="D72" s="83" t="s">
        <v>20</v>
      </c>
      <c r="E72" s="83" t="s">
        <v>102</v>
      </c>
      <c r="F72" s="83" t="s">
        <v>330</v>
      </c>
      <c r="G72" s="83">
        <v>100</v>
      </c>
      <c r="H72" s="83" t="s">
        <v>331</v>
      </c>
      <c r="I72" s="83" t="s">
        <v>247</v>
      </c>
      <c r="J72" s="83" t="s">
        <v>2586</v>
      </c>
      <c r="K72" s="83" t="s">
        <v>117</v>
      </c>
      <c r="L72" s="84" t="s">
        <v>377</v>
      </c>
      <c r="M72" s="84">
        <v>46177.393750000003</v>
      </c>
      <c r="N72" s="83" t="s">
        <v>2603</v>
      </c>
      <c r="O72" s="26" t="s">
        <v>114</v>
      </c>
      <c r="P72" s="42" t="s">
        <v>279</v>
      </c>
      <c r="Q72" s="26" t="s">
        <v>114</v>
      </c>
      <c r="R72" s="10" t="s">
        <v>279</v>
      </c>
      <c r="S72" s="26" t="s">
        <v>114</v>
      </c>
      <c r="T72" s="10" t="s">
        <v>279</v>
      </c>
      <c r="U72" s="26" t="s">
        <v>114</v>
      </c>
      <c r="V72" s="10" t="s">
        <v>279</v>
      </c>
      <c r="W72" s="26" t="s">
        <v>114</v>
      </c>
      <c r="X72" s="10" t="s">
        <v>279</v>
      </c>
      <c r="Y72" s="26" t="s">
        <v>114</v>
      </c>
      <c r="Z72" s="10" t="s">
        <v>279</v>
      </c>
      <c r="AA72" s="26" t="s">
        <v>114</v>
      </c>
      <c r="AB72" s="10" t="s">
        <v>279</v>
      </c>
      <c r="AC72" s="26" t="s">
        <v>114</v>
      </c>
      <c r="AD72" s="10" t="s">
        <v>279</v>
      </c>
      <c r="AE72" s="26" t="s">
        <v>114</v>
      </c>
      <c r="AF72" s="71" t="str">
        <f t="shared" si="4"/>
        <v>NC</v>
      </c>
      <c r="AG72" s="21" t="str">
        <f t="shared" si="3"/>
        <v>NÃO UTILIZOU O PDA</v>
      </c>
      <c r="AH72" s="42"/>
      <c r="AI72" s="29" t="str">
        <f t="shared" si="5"/>
        <v>GUARULHOS</v>
      </c>
      <c r="AJ72" s="29" t="s">
        <v>1</v>
      </c>
    </row>
    <row r="73" spans="1:36" ht="30" customHeight="1" x14ac:dyDescent="0.2">
      <c r="A73" s="83" t="s">
        <v>101</v>
      </c>
      <c r="B73" s="83">
        <v>2614123875</v>
      </c>
      <c r="C73" s="83" t="s">
        <v>71</v>
      </c>
      <c r="D73" s="83" t="s">
        <v>20</v>
      </c>
      <c r="E73" s="83" t="s">
        <v>102</v>
      </c>
      <c r="F73" s="83" t="s">
        <v>1705</v>
      </c>
      <c r="G73" s="83">
        <v>127</v>
      </c>
      <c r="H73" s="83" t="s">
        <v>1706</v>
      </c>
      <c r="I73" s="83" t="s">
        <v>169</v>
      </c>
      <c r="J73" s="83" t="s">
        <v>2586</v>
      </c>
      <c r="K73" s="83"/>
      <c r="L73" s="84" t="s">
        <v>377</v>
      </c>
      <c r="M73" s="84">
        <v>46177.410416666666</v>
      </c>
      <c r="N73" s="83" t="s">
        <v>2603</v>
      </c>
      <c r="O73" s="26" t="s">
        <v>114</v>
      </c>
      <c r="P73" s="42" t="s">
        <v>279</v>
      </c>
      <c r="Q73" s="26" t="s">
        <v>114</v>
      </c>
      <c r="R73" s="10" t="s">
        <v>279</v>
      </c>
      <c r="S73" s="26" t="s">
        <v>114</v>
      </c>
      <c r="T73" s="10" t="s">
        <v>279</v>
      </c>
      <c r="U73" s="26" t="s">
        <v>114</v>
      </c>
      <c r="V73" s="10" t="s">
        <v>279</v>
      </c>
      <c r="W73" s="26" t="s">
        <v>114</v>
      </c>
      <c r="X73" s="10" t="s">
        <v>279</v>
      </c>
      <c r="Y73" s="26" t="s">
        <v>114</v>
      </c>
      <c r="Z73" s="10" t="s">
        <v>279</v>
      </c>
      <c r="AA73" s="26" t="s">
        <v>114</v>
      </c>
      <c r="AB73" s="10" t="s">
        <v>279</v>
      </c>
      <c r="AC73" s="26" t="s">
        <v>114</v>
      </c>
      <c r="AD73" s="10" t="s">
        <v>279</v>
      </c>
      <c r="AE73" s="26" t="s">
        <v>114</v>
      </c>
      <c r="AF73" s="71" t="str">
        <f t="shared" si="4"/>
        <v>NC</v>
      </c>
      <c r="AG73" s="21" t="str">
        <f t="shared" si="3"/>
        <v>NÃO UTILIZOU O PDA</v>
      </c>
      <c r="AH73" s="42"/>
      <c r="AI73" s="29" t="str">
        <f t="shared" si="5"/>
        <v>GUARULHOS</v>
      </c>
      <c r="AJ73" s="29" t="s">
        <v>1</v>
      </c>
    </row>
    <row r="74" spans="1:36" ht="30" customHeight="1" x14ac:dyDescent="0.2">
      <c r="A74" s="83" t="s">
        <v>101</v>
      </c>
      <c r="B74" s="83">
        <v>2689585954</v>
      </c>
      <c r="C74" s="83" t="s">
        <v>68</v>
      </c>
      <c r="D74" s="83" t="s">
        <v>20</v>
      </c>
      <c r="E74" s="83" t="s">
        <v>102</v>
      </c>
      <c r="F74" s="83" t="s">
        <v>332</v>
      </c>
      <c r="G74" s="83">
        <v>117</v>
      </c>
      <c r="H74" s="83" t="s">
        <v>333</v>
      </c>
      <c r="I74" s="83" t="s">
        <v>264</v>
      </c>
      <c r="J74" s="83" t="s">
        <v>2588</v>
      </c>
      <c r="K74" s="83" t="s">
        <v>117</v>
      </c>
      <c r="L74" s="84" t="s">
        <v>377</v>
      </c>
      <c r="M74" s="84">
        <v>46177.420138888891</v>
      </c>
      <c r="N74" s="83" t="s">
        <v>2603</v>
      </c>
      <c r="O74" s="26" t="s">
        <v>114</v>
      </c>
      <c r="P74" s="42" t="s">
        <v>279</v>
      </c>
      <c r="Q74" s="26" t="s">
        <v>114</v>
      </c>
      <c r="R74" s="10" t="s">
        <v>279</v>
      </c>
      <c r="S74" s="26" t="s">
        <v>114</v>
      </c>
      <c r="T74" s="10" t="s">
        <v>279</v>
      </c>
      <c r="U74" s="26" t="s">
        <v>114</v>
      </c>
      <c r="V74" s="10" t="s">
        <v>279</v>
      </c>
      <c r="W74" s="26" t="s">
        <v>114</v>
      </c>
      <c r="X74" s="10" t="s">
        <v>279</v>
      </c>
      <c r="Y74" s="26" t="s">
        <v>114</v>
      </c>
      <c r="Z74" s="10" t="s">
        <v>279</v>
      </c>
      <c r="AA74" s="26" t="s">
        <v>114</v>
      </c>
      <c r="AB74" s="10" t="s">
        <v>279</v>
      </c>
      <c r="AC74" s="26" t="s">
        <v>114</v>
      </c>
      <c r="AD74" s="10" t="s">
        <v>279</v>
      </c>
      <c r="AE74" s="26" t="s">
        <v>114</v>
      </c>
      <c r="AF74" s="71" t="str">
        <f t="shared" si="4"/>
        <v>NC</v>
      </c>
      <c r="AG74" s="21" t="str">
        <f t="shared" si="3"/>
        <v>NÃO UTILIZOU O PDA</v>
      </c>
      <c r="AH74" s="42"/>
      <c r="AI74" s="29" t="str">
        <f t="shared" si="5"/>
        <v>GUARULHOS</v>
      </c>
      <c r="AJ74" s="29" t="s">
        <v>1</v>
      </c>
    </row>
    <row r="75" spans="1:36" ht="30" customHeight="1" x14ac:dyDescent="0.2">
      <c r="A75" s="83" t="s">
        <v>101</v>
      </c>
      <c r="B75" s="83">
        <v>2689600138</v>
      </c>
      <c r="C75" s="83" t="s">
        <v>69</v>
      </c>
      <c r="D75" s="83" t="s">
        <v>20</v>
      </c>
      <c r="E75" s="83" t="s">
        <v>102</v>
      </c>
      <c r="F75" s="83" t="s">
        <v>342</v>
      </c>
      <c r="G75" s="83">
        <v>167</v>
      </c>
      <c r="H75" s="83"/>
      <c r="I75" s="83" t="s">
        <v>343</v>
      </c>
      <c r="J75" s="83" t="s">
        <v>2586</v>
      </c>
      <c r="K75" s="83"/>
      <c r="L75" s="84" t="s">
        <v>377</v>
      </c>
      <c r="M75" s="84">
        <v>46177.436805555553</v>
      </c>
      <c r="N75" s="83" t="s">
        <v>2603</v>
      </c>
      <c r="O75" s="26" t="s">
        <v>114</v>
      </c>
      <c r="P75" s="42" t="s">
        <v>279</v>
      </c>
      <c r="Q75" s="26" t="s">
        <v>114</v>
      </c>
      <c r="R75" s="10" t="s">
        <v>279</v>
      </c>
      <c r="S75" s="26" t="s">
        <v>114</v>
      </c>
      <c r="T75" s="10" t="s">
        <v>279</v>
      </c>
      <c r="U75" s="26" t="s">
        <v>114</v>
      </c>
      <c r="V75" s="10" t="s">
        <v>279</v>
      </c>
      <c r="W75" s="26" t="s">
        <v>114</v>
      </c>
      <c r="X75" s="10" t="s">
        <v>279</v>
      </c>
      <c r="Y75" s="26" t="s">
        <v>114</v>
      </c>
      <c r="Z75" s="10" t="s">
        <v>279</v>
      </c>
      <c r="AA75" s="26" t="s">
        <v>114</v>
      </c>
      <c r="AB75" s="10" t="s">
        <v>279</v>
      </c>
      <c r="AC75" s="26" t="s">
        <v>114</v>
      </c>
      <c r="AD75" s="10" t="s">
        <v>279</v>
      </c>
      <c r="AE75" s="26" t="s">
        <v>114</v>
      </c>
      <c r="AF75" s="71" t="str">
        <f t="shared" si="4"/>
        <v>NC</v>
      </c>
      <c r="AG75" s="21" t="str">
        <f t="shared" si="3"/>
        <v>NÃO UTILIZOU O PDA</v>
      </c>
      <c r="AH75" s="42"/>
      <c r="AI75" s="29" t="str">
        <f t="shared" si="5"/>
        <v>GUARULHOS</v>
      </c>
      <c r="AJ75" s="29" t="s">
        <v>1</v>
      </c>
    </row>
    <row r="76" spans="1:36" ht="30" customHeight="1" x14ac:dyDescent="0.2">
      <c r="A76" s="83" t="s">
        <v>101</v>
      </c>
      <c r="B76" s="83">
        <v>2614436718</v>
      </c>
      <c r="C76" s="83" t="s">
        <v>68</v>
      </c>
      <c r="D76" s="83" t="s">
        <v>20</v>
      </c>
      <c r="E76" s="83" t="s">
        <v>102</v>
      </c>
      <c r="F76" s="83" t="s">
        <v>935</v>
      </c>
      <c r="G76" s="83">
        <v>1235</v>
      </c>
      <c r="H76" s="83" t="s">
        <v>1703</v>
      </c>
      <c r="I76" s="83" t="s">
        <v>459</v>
      </c>
      <c r="J76" s="83" t="s">
        <v>2588</v>
      </c>
      <c r="K76" s="83"/>
      <c r="L76" s="84" t="s">
        <v>422</v>
      </c>
      <c r="M76" s="84">
        <v>46207.426388888889</v>
      </c>
      <c r="N76" s="83" t="s">
        <v>2596</v>
      </c>
      <c r="O76" s="26" t="s">
        <v>108</v>
      </c>
      <c r="P76" s="42"/>
      <c r="Q76" s="26" t="s">
        <v>108</v>
      </c>
      <c r="R76" s="10"/>
      <c r="S76" s="26" t="s">
        <v>108</v>
      </c>
      <c r="T76" s="10"/>
      <c r="U76" s="26" t="s">
        <v>108</v>
      </c>
      <c r="V76" s="10"/>
      <c r="W76" s="26" t="s">
        <v>108</v>
      </c>
      <c r="X76" s="10"/>
      <c r="Y76" s="26" t="s">
        <v>108</v>
      </c>
      <c r="Z76" s="10"/>
      <c r="AA76" s="26" t="s">
        <v>108</v>
      </c>
      <c r="AB76" s="10"/>
      <c r="AC76" s="26" t="s">
        <v>108</v>
      </c>
      <c r="AD76" s="10"/>
      <c r="AE76" s="26" t="s">
        <v>108</v>
      </c>
      <c r="AF76" s="71" t="str">
        <f t="shared" si="4"/>
        <v>C</v>
      </c>
      <c r="AG76" s="21" t="str">
        <f t="shared" si="3"/>
        <v>UTILIZOU O PDA CORRETAMENTE</v>
      </c>
      <c r="AH76" s="42" t="s">
        <v>13</v>
      </c>
      <c r="AI76" s="29" t="str">
        <f t="shared" si="5"/>
        <v>GUARULHOS</v>
      </c>
      <c r="AJ76" s="29" t="s">
        <v>1</v>
      </c>
    </row>
    <row r="77" spans="1:36" ht="30" customHeight="1" x14ac:dyDescent="0.2">
      <c r="A77" s="83" t="s">
        <v>101</v>
      </c>
      <c r="B77" s="83">
        <v>2689585267</v>
      </c>
      <c r="C77" s="83" t="s">
        <v>71</v>
      </c>
      <c r="D77" s="83" t="s">
        <v>20</v>
      </c>
      <c r="E77" s="83" t="s">
        <v>102</v>
      </c>
      <c r="F77" s="83" t="s">
        <v>338</v>
      </c>
      <c r="G77" s="83">
        <v>10</v>
      </c>
      <c r="H77" s="83" t="s">
        <v>339</v>
      </c>
      <c r="I77" s="83" t="s">
        <v>340</v>
      </c>
      <c r="J77" s="83" t="s">
        <v>2586</v>
      </c>
      <c r="K77" s="83" t="s">
        <v>117</v>
      </c>
      <c r="L77" s="84" t="s">
        <v>422</v>
      </c>
      <c r="M77" s="84">
        <v>46207.396527777775</v>
      </c>
      <c r="N77" s="83" t="s">
        <v>2596</v>
      </c>
      <c r="O77" s="26" t="s">
        <v>108</v>
      </c>
      <c r="P77" s="42"/>
      <c r="Q77" s="26" t="s">
        <v>108</v>
      </c>
      <c r="R77" s="10"/>
      <c r="S77" s="26" t="s">
        <v>108</v>
      </c>
      <c r="T77" s="10"/>
      <c r="U77" s="26" t="s">
        <v>108</v>
      </c>
      <c r="V77" s="10"/>
      <c r="W77" s="26" t="s">
        <v>108</v>
      </c>
      <c r="X77" s="10"/>
      <c r="Y77" s="26" t="s">
        <v>108</v>
      </c>
      <c r="Z77" s="10"/>
      <c r="AA77" s="26" t="s">
        <v>108</v>
      </c>
      <c r="AB77" s="10"/>
      <c r="AC77" s="26" t="s">
        <v>108</v>
      </c>
      <c r="AD77" s="10"/>
      <c r="AE77" s="26" t="s">
        <v>108</v>
      </c>
      <c r="AF77" s="71" t="str">
        <f t="shared" si="4"/>
        <v>C</v>
      </c>
      <c r="AG77" s="21" t="str">
        <f t="shared" si="3"/>
        <v>UTILIZOU O PDA CORRETAMENTE</v>
      </c>
      <c r="AH77" s="42" t="s">
        <v>4</v>
      </c>
      <c r="AI77" s="29" t="str">
        <f t="shared" si="5"/>
        <v>GUARULHOS</v>
      </c>
      <c r="AJ77" s="29" t="s">
        <v>1</v>
      </c>
    </row>
    <row r="78" spans="1:36" ht="30" customHeight="1" x14ac:dyDescent="0.2">
      <c r="A78" s="83" t="s">
        <v>101</v>
      </c>
      <c r="B78" s="83">
        <v>2613685207</v>
      </c>
      <c r="C78" s="83" t="s">
        <v>71</v>
      </c>
      <c r="D78" s="83" t="s">
        <v>20</v>
      </c>
      <c r="E78" s="83" t="s">
        <v>102</v>
      </c>
      <c r="F78" s="83" t="s">
        <v>133</v>
      </c>
      <c r="G78" s="83">
        <v>11</v>
      </c>
      <c r="H78" s="83"/>
      <c r="I78" s="83" t="s">
        <v>134</v>
      </c>
      <c r="J78" s="83" t="s">
        <v>2586</v>
      </c>
      <c r="K78" s="83"/>
      <c r="L78" s="84" t="s">
        <v>422</v>
      </c>
      <c r="M78" s="84">
        <v>46207.393750000003</v>
      </c>
      <c r="N78" s="83" t="s">
        <v>2596</v>
      </c>
      <c r="O78" s="26" t="s">
        <v>108</v>
      </c>
      <c r="P78" s="42"/>
      <c r="Q78" s="26" t="s">
        <v>108</v>
      </c>
      <c r="R78" s="10"/>
      <c r="S78" s="26" t="s">
        <v>108</v>
      </c>
      <c r="T78" s="10"/>
      <c r="U78" s="26" t="s">
        <v>108</v>
      </c>
      <c r="V78" s="10"/>
      <c r="W78" s="26" t="s">
        <v>108</v>
      </c>
      <c r="X78" s="10"/>
      <c r="Y78" s="26" t="s">
        <v>108</v>
      </c>
      <c r="Z78" s="10"/>
      <c r="AA78" s="26" t="s">
        <v>108</v>
      </c>
      <c r="AB78" s="10"/>
      <c r="AC78" s="26" t="s">
        <v>108</v>
      </c>
      <c r="AD78" s="10"/>
      <c r="AE78" s="26" t="s">
        <v>108</v>
      </c>
      <c r="AF78" s="71" t="str">
        <f t="shared" si="4"/>
        <v>C</v>
      </c>
      <c r="AG78" s="21" t="str">
        <f t="shared" si="3"/>
        <v>UTILIZOU O PDA CORRETAMENTE</v>
      </c>
      <c r="AH78" s="42" t="s">
        <v>13</v>
      </c>
      <c r="AI78" s="29" t="str">
        <f t="shared" si="5"/>
        <v>GUARULHOS</v>
      </c>
      <c r="AJ78" s="29" t="s">
        <v>1</v>
      </c>
    </row>
    <row r="79" spans="1:36" ht="30" customHeight="1" x14ac:dyDescent="0.2">
      <c r="A79" s="83" t="s">
        <v>101</v>
      </c>
      <c r="B79" s="83">
        <v>2614451587</v>
      </c>
      <c r="C79" s="83" t="s">
        <v>71</v>
      </c>
      <c r="D79" s="83" t="s">
        <v>20</v>
      </c>
      <c r="E79" s="83" t="s">
        <v>102</v>
      </c>
      <c r="F79" s="83" t="s">
        <v>2627</v>
      </c>
      <c r="G79" s="83">
        <v>132</v>
      </c>
      <c r="H79" s="83" t="s">
        <v>138</v>
      </c>
      <c r="I79" s="83" t="s">
        <v>1679</v>
      </c>
      <c r="J79" s="83" t="s">
        <v>2586</v>
      </c>
      <c r="K79" s="83" t="s">
        <v>117</v>
      </c>
      <c r="L79" s="84" t="s">
        <v>422</v>
      </c>
      <c r="M79" s="84">
        <v>46207.372916666667</v>
      </c>
      <c r="N79" s="83" t="s">
        <v>2596</v>
      </c>
      <c r="O79" s="26" t="s">
        <v>108</v>
      </c>
      <c r="P79" s="42"/>
      <c r="Q79" s="26" t="s">
        <v>108</v>
      </c>
      <c r="R79" s="10"/>
      <c r="S79" s="26" t="s">
        <v>108</v>
      </c>
      <c r="T79" s="10"/>
      <c r="U79" s="26" t="s">
        <v>114</v>
      </c>
      <c r="V79" s="10">
        <v>117</v>
      </c>
      <c r="W79" s="26" t="s">
        <v>108</v>
      </c>
      <c r="X79" s="10"/>
      <c r="Y79" s="26" t="s">
        <v>108</v>
      </c>
      <c r="Z79" s="10"/>
      <c r="AA79" s="26" t="s">
        <v>108</v>
      </c>
      <c r="AB79" s="10"/>
      <c r="AC79" s="26" t="s">
        <v>108</v>
      </c>
      <c r="AD79" s="10"/>
      <c r="AE79" s="26" t="s">
        <v>108</v>
      </c>
      <c r="AF79" s="71" t="str">
        <f t="shared" si="4"/>
        <v>NC</v>
      </c>
      <c r="AG79" s="21" t="str">
        <f t="shared" si="3"/>
        <v>UTILIZOU O PDA CORRETAMENTE. NÃO HÁ FOTOS DE TODAS AS ETAPAS</v>
      </c>
      <c r="AH79" s="16" t="s">
        <v>4</v>
      </c>
      <c r="AI79" s="29" t="str">
        <f t="shared" si="5"/>
        <v>GUARULHOS</v>
      </c>
      <c r="AJ79" s="29" t="s">
        <v>1</v>
      </c>
    </row>
    <row r="80" spans="1:36" ht="30" customHeight="1" x14ac:dyDescent="0.2">
      <c r="A80" s="83" t="s">
        <v>101</v>
      </c>
      <c r="B80" s="83">
        <v>2614194668</v>
      </c>
      <c r="C80" s="83" t="s">
        <v>68</v>
      </c>
      <c r="D80" s="83" t="s">
        <v>20</v>
      </c>
      <c r="E80" s="83" t="s">
        <v>102</v>
      </c>
      <c r="F80" s="83" t="s">
        <v>1732</v>
      </c>
      <c r="G80" s="83">
        <v>234</v>
      </c>
      <c r="H80" s="83"/>
      <c r="I80" s="83" t="s">
        <v>531</v>
      </c>
      <c r="J80" s="83" t="s">
        <v>2588</v>
      </c>
      <c r="K80" s="83" t="s">
        <v>2628</v>
      </c>
      <c r="L80" s="84" t="s">
        <v>422</v>
      </c>
      <c r="M80" s="84">
        <v>46207.417361111111</v>
      </c>
      <c r="N80" s="83" t="s">
        <v>2603</v>
      </c>
      <c r="O80" s="26" t="s">
        <v>114</v>
      </c>
      <c r="P80" s="42" t="s">
        <v>279</v>
      </c>
      <c r="Q80" s="26" t="s">
        <v>114</v>
      </c>
      <c r="R80" s="10" t="s">
        <v>279</v>
      </c>
      <c r="S80" s="26" t="s">
        <v>114</v>
      </c>
      <c r="T80" s="10" t="s">
        <v>279</v>
      </c>
      <c r="U80" s="26" t="s">
        <v>114</v>
      </c>
      <c r="V80" s="10" t="s">
        <v>279</v>
      </c>
      <c r="W80" s="26" t="s">
        <v>114</v>
      </c>
      <c r="X80" s="10" t="s">
        <v>279</v>
      </c>
      <c r="Y80" s="26" t="s">
        <v>114</v>
      </c>
      <c r="Z80" s="10" t="s">
        <v>279</v>
      </c>
      <c r="AA80" s="26" t="s">
        <v>114</v>
      </c>
      <c r="AB80" s="10" t="s">
        <v>279</v>
      </c>
      <c r="AC80" s="26" t="s">
        <v>114</v>
      </c>
      <c r="AD80" s="10" t="s">
        <v>279</v>
      </c>
      <c r="AE80" s="26" t="s">
        <v>114</v>
      </c>
      <c r="AF80" s="71" t="str">
        <f t="shared" si="4"/>
        <v>NC</v>
      </c>
      <c r="AG80" s="21" t="str">
        <f t="shared" si="3"/>
        <v>NÃO UTILIZOU O PDA</v>
      </c>
      <c r="AH80" s="42" t="s">
        <v>13</v>
      </c>
      <c r="AI80" s="29" t="str">
        <f t="shared" si="5"/>
        <v>GUARULHOS</v>
      </c>
      <c r="AJ80" s="29" t="s">
        <v>1</v>
      </c>
    </row>
    <row r="81" spans="1:36" ht="30" customHeight="1" x14ac:dyDescent="0.2">
      <c r="A81" s="83" t="s">
        <v>101</v>
      </c>
      <c r="B81" s="83">
        <v>2614308730</v>
      </c>
      <c r="C81" s="83" t="s">
        <v>69</v>
      </c>
      <c r="D81" s="83" t="s">
        <v>20</v>
      </c>
      <c r="E81" s="83" t="s">
        <v>102</v>
      </c>
      <c r="F81" s="83" t="s">
        <v>347</v>
      </c>
      <c r="G81" s="83">
        <v>140</v>
      </c>
      <c r="H81" s="83" t="s">
        <v>348</v>
      </c>
      <c r="I81" s="83" t="s">
        <v>349</v>
      </c>
      <c r="J81" s="83" t="s">
        <v>2586</v>
      </c>
      <c r="K81" s="83" t="s">
        <v>117</v>
      </c>
      <c r="L81" s="84" t="s">
        <v>422</v>
      </c>
      <c r="M81" s="84">
        <v>46207.40347222222</v>
      </c>
      <c r="N81" s="83" t="s">
        <v>2603</v>
      </c>
      <c r="O81" s="26" t="s">
        <v>114</v>
      </c>
      <c r="P81" s="16" t="s">
        <v>279</v>
      </c>
      <c r="Q81" s="26" t="s">
        <v>114</v>
      </c>
      <c r="R81" s="13" t="s">
        <v>279</v>
      </c>
      <c r="S81" s="26" t="s">
        <v>114</v>
      </c>
      <c r="T81" s="13" t="s">
        <v>279</v>
      </c>
      <c r="U81" s="26" t="s">
        <v>114</v>
      </c>
      <c r="V81" s="13" t="s">
        <v>279</v>
      </c>
      <c r="W81" s="26" t="s">
        <v>114</v>
      </c>
      <c r="X81" s="13" t="s">
        <v>279</v>
      </c>
      <c r="Y81" s="26" t="s">
        <v>114</v>
      </c>
      <c r="Z81" s="13" t="s">
        <v>279</v>
      </c>
      <c r="AA81" s="26" t="s">
        <v>114</v>
      </c>
      <c r="AB81" s="13" t="s">
        <v>279</v>
      </c>
      <c r="AC81" s="26" t="s">
        <v>114</v>
      </c>
      <c r="AD81" s="13" t="s">
        <v>279</v>
      </c>
      <c r="AE81" s="26" t="s">
        <v>114</v>
      </c>
      <c r="AF81" s="71" t="str">
        <f t="shared" si="4"/>
        <v>NC</v>
      </c>
      <c r="AG81" s="21" t="str">
        <f t="shared" si="3"/>
        <v>NÃO UTILIZOU O PDA</v>
      </c>
      <c r="AH81" s="16" t="s">
        <v>4</v>
      </c>
      <c r="AI81" s="29" t="str">
        <f t="shared" si="5"/>
        <v>GUARULHOS</v>
      </c>
      <c r="AJ81" s="29" t="s">
        <v>1</v>
      </c>
    </row>
    <row r="82" spans="1:36" ht="30" customHeight="1" x14ac:dyDescent="0.2">
      <c r="A82" s="83" t="s">
        <v>101</v>
      </c>
      <c r="B82" s="83">
        <v>2689633352</v>
      </c>
      <c r="C82" s="83" t="s">
        <v>68</v>
      </c>
      <c r="D82" s="83" t="s">
        <v>20</v>
      </c>
      <c r="E82" s="83" t="s">
        <v>102</v>
      </c>
      <c r="F82" s="83" t="s">
        <v>353</v>
      </c>
      <c r="G82" s="83">
        <v>200</v>
      </c>
      <c r="H82" s="83" t="s">
        <v>401</v>
      </c>
      <c r="I82" s="83" t="s">
        <v>247</v>
      </c>
      <c r="J82" s="83" t="s">
        <v>2588</v>
      </c>
      <c r="K82" s="83"/>
      <c r="L82" s="84" t="s">
        <v>422</v>
      </c>
      <c r="M82" s="84">
        <v>46207.431944444441</v>
      </c>
      <c r="N82" s="83" t="s">
        <v>2603</v>
      </c>
      <c r="O82" s="26" t="s">
        <v>114</v>
      </c>
      <c r="P82" s="1" t="s">
        <v>279</v>
      </c>
      <c r="Q82" s="28" t="s">
        <v>114</v>
      </c>
      <c r="R82" s="18" t="s">
        <v>279</v>
      </c>
      <c r="S82" s="28" t="s">
        <v>114</v>
      </c>
      <c r="T82" s="18" t="s">
        <v>279</v>
      </c>
      <c r="U82" s="28" t="s">
        <v>114</v>
      </c>
      <c r="V82" s="18" t="s">
        <v>279</v>
      </c>
      <c r="W82" s="28" t="s">
        <v>114</v>
      </c>
      <c r="X82" s="18" t="s">
        <v>279</v>
      </c>
      <c r="Y82" s="28" t="s">
        <v>114</v>
      </c>
      <c r="Z82" s="18" t="s">
        <v>279</v>
      </c>
      <c r="AA82" s="28" t="s">
        <v>114</v>
      </c>
      <c r="AB82" s="17" t="s">
        <v>279</v>
      </c>
      <c r="AC82" s="28" t="s">
        <v>114</v>
      </c>
      <c r="AD82" s="17" t="s">
        <v>279</v>
      </c>
      <c r="AE82" s="28" t="s">
        <v>114</v>
      </c>
      <c r="AF82" s="71" t="str">
        <f t="shared" si="4"/>
        <v>NC</v>
      </c>
      <c r="AG82" s="21" t="str">
        <f t="shared" si="3"/>
        <v>NÃO UTILIZOU O PDA</v>
      </c>
      <c r="AH82" s="1" t="s">
        <v>4</v>
      </c>
      <c r="AI82" s="29" t="str">
        <f t="shared" si="5"/>
        <v>GUARULHOS</v>
      </c>
      <c r="AJ82" s="32" t="s">
        <v>1</v>
      </c>
    </row>
    <row r="83" spans="1:36" ht="30" customHeight="1" x14ac:dyDescent="0.2">
      <c r="A83" s="83" t="s">
        <v>101</v>
      </c>
      <c r="B83" s="83">
        <v>2614168094</v>
      </c>
      <c r="C83" s="83" t="s">
        <v>68</v>
      </c>
      <c r="D83" s="83" t="s">
        <v>20</v>
      </c>
      <c r="E83" s="83" t="s">
        <v>102</v>
      </c>
      <c r="F83" s="83" t="s">
        <v>1729</v>
      </c>
      <c r="G83" s="83">
        <v>138</v>
      </c>
      <c r="H83" s="83" t="s">
        <v>1730</v>
      </c>
      <c r="I83" s="83" t="s">
        <v>1731</v>
      </c>
      <c r="J83" s="83" t="s">
        <v>2588</v>
      </c>
      <c r="K83" s="83" t="s">
        <v>2629</v>
      </c>
      <c r="L83" s="84" t="s">
        <v>422</v>
      </c>
      <c r="M83" s="84">
        <v>46207.493750000001</v>
      </c>
      <c r="N83" s="83" t="s">
        <v>2603</v>
      </c>
      <c r="O83" s="26" t="s">
        <v>114</v>
      </c>
      <c r="P83" s="1" t="s">
        <v>279</v>
      </c>
      <c r="Q83" s="28" t="s">
        <v>114</v>
      </c>
      <c r="R83" s="18" t="s">
        <v>279</v>
      </c>
      <c r="S83" s="28" t="s">
        <v>114</v>
      </c>
      <c r="T83" s="18" t="s">
        <v>279</v>
      </c>
      <c r="U83" s="28" t="s">
        <v>114</v>
      </c>
      <c r="V83" s="18" t="s">
        <v>279</v>
      </c>
      <c r="W83" s="28" t="s">
        <v>114</v>
      </c>
      <c r="X83" s="18" t="s">
        <v>279</v>
      </c>
      <c r="Y83" s="28" t="s">
        <v>114</v>
      </c>
      <c r="Z83" s="18" t="s">
        <v>279</v>
      </c>
      <c r="AA83" s="28" t="s">
        <v>114</v>
      </c>
      <c r="AB83" s="17" t="s">
        <v>279</v>
      </c>
      <c r="AC83" s="28" t="s">
        <v>114</v>
      </c>
      <c r="AD83" s="17" t="s">
        <v>279</v>
      </c>
      <c r="AE83" s="28" t="s">
        <v>114</v>
      </c>
      <c r="AF83" s="71" t="str">
        <f t="shared" si="4"/>
        <v>NC</v>
      </c>
      <c r="AG83" s="21" t="str">
        <f t="shared" si="3"/>
        <v>NÃO UTILIZOU O PDA</v>
      </c>
      <c r="AH83" s="1" t="s">
        <v>13</v>
      </c>
      <c r="AI83" s="29" t="str">
        <f t="shared" si="5"/>
        <v>GUARULHOS</v>
      </c>
      <c r="AJ83" s="32" t="s">
        <v>1</v>
      </c>
    </row>
    <row r="84" spans="1:36" ht="30" customHeight="1" x14ac:dyDescent="0.2">
      <c r="A84" s="83" t="s">
        <v>101</v>
      </c>
      <c r="B84" s="83">
        <v>2689639070</v>
      </c>
      <c r="C84" s="83" t="s">
        <v>70</v>
      </c>
      <c r="D84" s="83" t="s">
        <v>20</v>
      </c>
      <c r="E84" s="83" t="s">
        <v>102</v>
      </c>
      <c r="F84" s="83" t="s">
        <v>380</v>
      </c>
      <c r="G84" s="83">
        <v>263</v>
      </c>
      <c r="H84" s="83" t="s">
        <v>381</v>
      </c>
      <c r="I84" s="83" t="s">
        <v>382</v>
      </c>
      <c r="J84" s="83" t="s">
        <v>2588</v>
      </c>
      <c r="K84" s="83"/>
      <c r="L84" s="84" t="s">
        <v>422</v>
      </c>
      <c r="M84" s="84">
        <v>46207.386805555558</v>
      </c>
      <c r="N84" s="83" t="s">
        <v>2603</v>
      </c>
      <c r="O84" s="26" t="s">
        <v>114</v>
      </c>
      <c r="P84" s="1" t="s">
        <v>279</v>
      </c>
      <c r="Q84" s="28" t="s">
        <v>114</v>
      </c>
      <c r="R84" s="18" t="s">
        <v>279</v>
      </c>
      <c r="S84" s="28" t="s">
        <v>114</v>
      </c>
      <c r="T84" s="18" t="s">
        <v>279</v>
      </c>
      <c r="U84" s="28" t="s">
        <v>114</v>
      </c>
      <c r="V84" s="18" t="s">
        <v>279</v>
      </c>
      <c r="W84" s="28" t="s">
        <v>114</v>
      </c>
      <c r="X84" s="18" t="s">
        <v>279</v>
      </c>
      <c r="Y84" s="28" t="s">
        <v>114</v>
      </c>
      <c r="Z84" s="18" t="s">
        <v>279</v>
      </c>
      <c r="AA84" s="28" t="s">
        <v>114</v>
      </c>
      <c r="AB84" s="17" t="s">
        <v>279</v>
      </c>
      <c r="AC84" s="28" t="s">
        <v>114</v>
      </c>
      <c r="AD84" s="17" t="s">
        <v>279</v>
      </c>
      <c r="AE84" s="28" t="s">
        <v>114</v>
      </c>
      <c r="AF84" s="71" t="str">
        <f t="shared" si="4"/>
        <v>NC</v>
      </c>
      <c r="AG84" s="21" t="str">
        <f t="shared" si="3"/>
        <v>NÃO UTILIZOU O PDA</v>
      </c>
      <c r="AH84" s="1" t="s">
        <v>4</v>
      </c>
      <c r="AI84" s="29" t="str">
        <f t="shared" si="5"/>
        <v>GUARULHOS</v>
      </c>
      <c r="AJ84" s="32" t="s">
        <v>1</v>
      </c>
    </row>
    <row r="85" spans="1:36" ht="30" customHeight="1" x14ac:dyDescent="0.2">
      <c r="A85" s="83" t="s">
        <v>101</v>
      </c>
      <c r="B85" s="83">
        <v>2614318818</v>
      </c>
      <c r="C85" s="83" t="s">
        <v>68</v>
      </c>
      <c r="D85" s="83" t="s">
        <v>20</v>
      </c>
      <c r="E85" s="83" t="s">
        <v>102</v>
      </c>
      <c r="F85" s="83" t="s">
        <v>1713</v>
      </c>
      <c r="G85" s="83">
        <v>623</v>
      </c>
      <c r="H85" s="83" t="s">
        <v>110</v>
      </c>
      <c r="I85" s="83" t="s">
        <v>327</v>
      </c>
      <c r="J85" s="83" t="s">
        <v>2588</v>
      </c>
      <c r="K85" s="83" t="s">
        <v>2593</v>
      </c>
      <c r="L85" s="84" t="s">
        <v>480</v>
      </c>
      <c r="M85" s="84">
        <v>46238.40625</v>
      </c>
      <c r="N85" s="83" t="s">
        <v>2587</v>
      </c>
      <c r="O85" s="26" t="s">
        <v>114</v>
      </c>
      <c r="P85" s="1" t="s">
        <v>279</v>
      </c>
      <c r="Q85" s="28" t="s">
        <v>114</v>
      </c>
      <c r="R85" s="18" t="s">
        <v>279</v>
      </c>
      <c r="S85" s="28" t="s">
        <v>114</v>
      </c>
      <c r="T85" s="18" t="s">
        <v>279</v>
      </c>
      <c r="U85" s="28" t="s">
        <v>114</v>
      </c>
      <c r="V85" s="18" t="s">
        <v>279</v>
      </c>
      <c r="W85" s="28" t="s">
        <v>114</v>
      </c>
      <c r="X85" s="18" t="s">
        <v>279</v>
      </c>
      <c r="Y85" s="28" t="s">
        <v>114</v>
      </c>
      <c r="Z85" s="18" t="s">
        <v>279</v>
      </c>
      <c r="AA85" s="28" t="s">
        <v>114</v>
      </c>
      <c r="AB85" s="17" t="s">
        <v>279</v>
      </c>
      <c r="AC85" s="28" t="s">
        <v>114</v>
      </c>
      <c r="AD85" s="17" t="s">
        <v>279</v>
      </c>
      <c r="AE85" s="28" t="s">
        <v>114</v>
      </c>
      <c r="AF85" s="71" t="s">
        <v>114</v>
      </c>
      <c r="AG85" s="21" t="str">
        <f t="shared" si="3"/>
        <v>NÃO UTILIZOU O PDA</v>
      </c>
      <c r="AH85" s="1" t="s">
        <v>13</v>
      </c>
      <c r="AI85" s="29" t="str">
        <f t="shared" si="5"/>
        <v>GUARULHOS</v>
      </c>
      <c r="AJ85" s="32" t="s">
        <v>1</v>
      </c>
    </row>
    <row r="86" spans="1:36" ht="30" customHeight="1" x14ac:dyDescent="0.2">
      <c r="A86" s="83" t="s">
        <v>101</v>
      </c>
      <c r="B86" s="83">
        <v>2689677695</v>
      </c>
      <c r="C86" s="83" t="s">
        <v>68</v>
      </c>
      <c r="D86" s="83" t="s">
        <v>20</v>
      </c>
      <c r="E86" s="83" t="s">
        <v>102</v>
      </c>
      <c r="F86" s="83" t="s">
        <v>405</v>
      </c>
      <c r="G86" s="83">
        <v>195</v>
      </c>
      <c r="H86" s="83" t="s">
        <v>117</v>
      </c>
      <c r="I86" s="83" t="s">
        <v>406</v>
      </c>
      <c r="J86" s="83" t="s">
        <v>2588</v>
      </c>
      <c r="K86" s="83" t="s">
        <v>117</v>
      </c>
      <c r="L86" s="84" t="s">
        <v>480</v>
      </c>
      <c r="M86" s="84">
        <v>46238.527083333334</v>
      </c>
      <c r="N86" s="83" t="s">
        <v>2587</v>
      </c>
      <c r="O86" s="80" t="s">
        <v>114</v>
      </c>
      <c r="P86" s="1" t="s">
        <v>279</v>
      </c>
      <c r="Q86" s="28" t="s">
        <v>114</v>
      </c>
      <c r="R86" s="18" t="s">
        <v>279</v>
      </c>
      <c r="S86" s="28" t="s">
        <v>114</v>
      </c>
      <c r="T86" s="18" t="s">
        <v>279</v>
      </c>
      <c r="U86" s="28" t="s">
        <v>114</v>
      </c>
      <c r="V86" s="18" t="s">
        <v>279</v>
      </c>
      <c r="W86" s="28" t="s">
        <v>114</v>
      </c>
      <c r="X86" s="18" t="s">
        <v>279</v>
      </c>
      <c r="Y86" s="28" t="s">
        <v>114</v>
      </c>
      <c r="Z86" s="18" t="s">
        <v>279</v>
      </c>
      <c r="AA86" s="28" t="s">
        <v>114</v>
      </c>
      <c r="AB86" s="17" t="s">
        <v>279</v>
      </c>
      <c r="AC86" s="28" t="s">
        <v>114</v>
      </c>
      <c r="AD86" s="17" t="s">
        <v>279</v>
      </c>
      <c r="AE86" s="28" t="s">
        <v>114</v>
      </c>
      <c r="AF86" s="71" t="str">
        <f t="shared" si="4"/>
        <v>NC</v>
      </c>
      <c r="AG86" s="21" t="str">
        <f t="shared" si="3"/>
        <v>NÃO UTILIZOU O PDA</v>
      </c>
      <c r="AH86" s="1" t="s">
        <v>4</v>
      </c>
      <c r="AI86" s="29" t="str">
        <f t="shared" si="5"/>
        <v>GUARULHOS</v>
      </c>
      <c r="AJ86" s="32" t="s">
        <v>1</v>
      </c>
    </row>
    <row r="87" spans="1:36" ht="30" customHeight="1" x14ac:dyDescent="0.2">
      <c r="A87" s="83" t="s">
        <v>101</v>
      </c>
      <c r="B87" s="83">
        <v>2614395879</v>
      </c>
      <c r="C87" s="83" t="s">
        <v>68</v>
      </c>
      <c r="D87" s="83" t="s">
        <v>20</v>
      </c>
      <c r="E87" s="83" t="s">
        <v>102</v>
      </c>
      <c r="F87" s="83" t="s">
        <v>378</v>
      </c>
      <c r="G87" s="83">
        <v>167</v>
      </c>
      <c r="H87" s="83" t="s">
        <v>379</v>
      </c>
      <c r="I87" s="83" t="s">
        <v>216</v>
      </c>
      <c r="J87" s="83" t="s">
        <v>2588</v>
      </c>
      <c r="K87" s="83"/>
      <c r="L87" s="84" t="s">
        <v>480</v>
      </c>
      <c r="M87" s="84">
        <v>46238.455555555556</v>
      </c>
      <c r="N87" s="83" t="s">
        <v>2587</v>
      </c>
      <c r="O87" s="80" t="s">
        <v>108</v>
      </c>
      <c r="P87" s="1"/>
      <c r="Q87" s="28" t="s">
        <v>108</v>
      </c>
      <c r="R87" s="18"/>
      <c r="S87" s="28" t="s">
        <v>108</v>
      </c>
      <c r="T87" s="18"/>
      <c r="U87" s="28" t="s">
        <v>108</v>
      </c>
      <c r="V87" s="18"/>
      <c r="W87" s="28" t="s">
        <v>108</v>
      </c>
      <c r="X87" s="18"/>
      <c r="Y87" s="28" t="s">
        <v>108</v>
      </c>
      <c r="Z87" s="18"/>
      <c r="AA87" s="28" t="s">
        <v>108</v>
      </c>
      <c r="AB87" s="17"/>
      <c r="AC87" s="28" t="s">
        <v>108</v>
      </c>
      <c r="AD87" s="17"/>
      <c r="AE87" s="28" t="s">
        <v>108</v>
      </c>
      <c r="AF87" s="71" t="str">
        <f t="shared" si="4"/>
        <v>C</v>
      </c>
      <c r="AG87" s="21" t="str">
        <f t="shared" si="3"/>
        <v>UTILIZOU O PDA CORRETAMENTE</v>
      </c>
      <c r="AH87" s="1" t="s">
        <v>4</v>
      </c>
      <c r="AI87" s="29" t="str">
        <f t="shared" si="5"/>
        <v>GUARULHOS</v>
      </c>
      <c r="AJ87" s="32" t="s">
        <v>1</v>
      </c>
    </row>
    <row r="88" spans="1:36" ht="30" customHeight="1" x14ac:dyDescent="0.2">
      <c r="A88" s="83" t="s">
        <v>101</v>
      </c>
      <c r="B88" s="83">
        <v>2614463350</v>
      </c>
      <c r="C88" s="83" t="s">
        <v>68</v>
      </c>
      <c r="D88" s="83" t="s">
        <v>20</v>
      </c>
      <c r="E88" s="83" t="s">
        <v>102</v>
      </c>
      <c r="F88" s="83" t="s">
        <v>173</v>
      </c>
      <c r="G88" s="83">
        <v>10</v>
      </c>
      <c r="H88" s="83" t="s">
        <v>404</v>
      </c>
      <c r="I88" s="83" t="s">
        <v>175</v>
      </c>
      <c r="J88" s="83" t="s">
        <v>2588</v>
      </c>
      <c r="K88" s="83" t="s">
        <v>117</v>
      </c>
      <c r="L88" s="84" t="s">
        <v>480</v>
      </c>
      <c r="M88" s="84">
        <v>46238.504861111112</v>
      </c>
      <c r="N88" s="83" t="s">
        <v>2587</v>
      </c>
      <c r="O88" s="80" t="s">
        <v>114</v>
      </c>
      <c r="P88" s="1" t="s">
        <v>279</v>
      </c>
      <c r="Q88" s="28" t="s">
        <v>114</v>
      </c>
      <c r="R88" s="18" t="s">
        <v>279</v>
      </c>
      <c r="S88" s="28" t="s">
        <v>114</v>
      </c>
      <c r="T88" s="18" t="s">
        <v>279</v>
      </c>
      <c r="U88" s="28" t="s">
        <v>114</v>
      </c>
      <c r="V88" s="18" t="s">
        <v>279</v>
      </c>
      <c r="W88" s="28" t="s">
        <v>114</v>
      </c>
      <c r="X88" s="18" t="s">
        <v>279</v>
      </c>
      <c r="Y88" s="28" t="s">
        <v>114</v>
      </c>
      <c r="Z88" s="18" t="s">
        <v>279</v>
      </c>
      <c r="AA88" s="28" t="s">
        <v>114</v>
      </c>
      <c r="AB88" s="17" t="s">
        <v>279</v>
      </c>
      <c r="AC88" s="28" t="s">
        <v>114</v>
      </c>
      <c r="AD88" s="17" t="s">
        <v>279</v>
      </c>
      <c r="AE88" s="28" t="s">
        <v>114</v>
      </c>
      <c r="AF88" s="71" t="str">
        <f t="shared" si="4"/>
        <v>NC</v>
      </c>
      <c r="AG88" s="21" t="str">
        <f t="shared" si="3"/>
        <v>NÃO UTILIZOU O PDA</v>
      </c>
      <c r="AH88" s="1" t="s">
        <v>4</v>
      </c>
      <c r="AI88" s="29" t="str">
        <f t="shared" si="5"/>
        <v>GUARULHOS</v>
      </c>
      <c r="AJ88" s="32" t="s">
        <v>1</v>
      </c>
    </row>
    <row r="89" spans="1:36" ht="30" customHeight="1" x14ac:dyDescent="0.2">
      <c r="A89" s="83" t="s">
        <v>101</v>
      </c>
      <c r="B89" s="83">
        <v>2614318855</v>
      </c>
      <c r="C89" s="83" t="s">
        <v>68</v>
      </c>
      <c r="D89" s="83" t="s">
        <v>20</v>
      </c>
      <c r="E89" s="83" t="s">
        <v>102</v>
      </c>
      <c r="F89" s="83" t="s">
        <v>365</v>
      </c>
      <c r="G89" s="83">
        <v>14</v>
      </c>
      <c r="H89" s="83" t="s">
        <v>366</v>
      </c>
      <c r="I89" s="83" t="s">
        <v>367</v>
      </c>
      <c r="J89" s="83" t="s">
        <v>2588</v>
      </c>
      <c r="K89" s="83"/>
      <c r="L89" s="84" t="s">
        <v>480</v>
      </c>
      <c r="M89" s="84">
        <v>46238.522916666669</v>
      </c>
      <c r="N89" s="83" t="s">
        <v>2587</v>
      </c>
      <c r="O89" s="80" t="s">
        <v>114</v>
      </c>
      <c r="P89" s="1" t="s">
        <v>279</v>
      </c>
      <c r="Q89" s="28" t="s">
        <v>114</v>
      </c>
      <c r="R89" s="18" t="s">
        <v>279</v>
      </c>
      <c r="S89" s="28" t="s">
        <v>114</v>
      </c>
      <c r="T89" s="18" t="s">
        <v>279</v>
      </c>
      <c r="U89" s="28" t="s">
        <v>114</v>
      </c>
      <c r="V89" s="18" t="s">
        <v>279</v>
      </c>
      <c r="W89" s="28" t="s">
        <v>114</v>
      </c>
      <c r="X89" s="18" t="s">
        <v>279</v>
      </c>
      <c r="Y89" s="28" t="s">
        <v>114</v>
      </c>
      <c r="Z89" s="18" t="s">
        <v>279</v>
      </c>
      <c r="AA89" s="28" t="s">
        <v>114</v>
      </c>
      <c r="AB89" s="17" t="s">
        <v>279</v>
      </c>
      <c r="AC89" s="28" t="s">
        <v>114</v>
      </c>
      <c r="AD89" s="17" t="s">
        <v>279</v>
      </c>
      <c r="AE89" s="28" t="s">
        <v>114</v>
      </c>
      <c r="AF89" s="71" t="str">
        <f t="shared" si="4"/>
        <v>NC</v>
      </c>
      <c r="AG89" s="21" t="str">
        <f t="shared" si="3"/>
        <v>NÃO UTILIZOU O PDA</v>
      </c>
      <c r="AH89" s="1" t="s">
        <v>4</v>
      </c>
      <c r="AI89" s="29" t="str">
        <f t="shared" si="5"/>
        <v>GUARULHOS</v>
      </c>
      <c r="AJ89" s="32" t="s">
        <v>1</v>
      </c>
    </row>
    <row r="90" spans="1:36" ht="30" customHeight="1" x14ac:dyDescent="0.2">
      <c r="A90" s="83" t="s">
        <v>101</v>
      </c>
      <c r="B90" s="83">
        <v>2614498395</v>
      </c>
      <c r="C90" s="83" t="s">
        <v>70</v>
      </c>
      <c r="D90" s="83" t="s">
        <v>20</v>
      </c>
      <c r="E90" s="83" t="s">
        <v>102</v>
      </c>
      <c r="F90" s="83" t="s">
        <v>410</v>
      </c>
      <c r="G90" s="83">
        <v>82</v>
      </c>
      <c r="H90" s="83" t="s">
        <v>411</v>
      </c>
      <c r="I90" s="83" t="s">
        <v>412</v>
      </c>
      <c r="J90" s="83" t="s">
        <v>2588</v>
      </c>
      <c r="K90" s="83" t="s">
        <v>117</v>
      </c>
      <c r="L90" s="84" t="s">
        <v>480</v>
      </c>
      <c r="M90" s="84">
        <v>46238.368055555555</v>
      </c>
      <c r="N90" s="83" t="s">
        <v>2587</v>
      </c>
      <c r="O90" s="80" t="s">
        <v>108</v>
      </c>
      <c r="P90" s="1"/>
      <c r="Q90" s="28" t="s">
        <v>108</v>
      </c>
      <c r="R90" s="18"/>
      <c r="S90" s="28" t="s">
        <v>108</v>
      </c>
      <c r="T90" s="18"/>
      <c r="U90" s="28" t="s">
        <v>108</v>
      </c>
      <c r="V90" s="18"/>
      <c r="W90" s="28" t="s">
        <v>108</v>
      </c>
      <c r="X90" s="18"/>
      <c r="Y90" s="28" t="s">
        <v>108</v>
      </c>
      <c r="Z90" s="18"/>
      <c r="AA90" s="28" t="s">
        <v>108</v>
      </c>
      <c r="AB90" s="17"/>
      <c r="AC90" s="28" t="s">
        <v>108</v>
      </c>
      <c r="AD90" s="17"/>
      <c r="AE90" s="28" t="s">
        <v>108</v>
      </c>
      <c r="AF90" s="71" t="str">
        <f t="shared" si="4"/>
        <v>C</v>
      </c>
      <c r="AG90" s="21" t="str">
        <f t="shared" si="3"/>
        <v>UTILIZOU O PDA CORRETAMENTE</v>
      </c>
      <c r="AH90" s="1" t="s">
        <v>4</v>
      </c>
      <c r="AI90" s="29" t="str">
        <f t="shared" si="5"/>
        <v>GUARULHOS</v>
      </c>
      <c r="AJ90" s="32" t="s">
        <v>1</v>
      </c>
    </row>
    <row r="91" spans="1:36" ht="30" customHeight="1" x14ac:dyDescent="0.2">
      <c r="A91" s="83" t="s">
        <v>101</v>
      </c>
      <c r="B91" s="83">
        <v>2614397494</v>
      </c>
      <c r="C91" s="83" t="s">
        <v>70</v>
      </c>
      <c r="D91" s="83" t="s">
        <v>20</v>
      </c>
      <c r="E91" s="83" t="s">
        <v>102</v>
      </c>
      <c r="F91" s="83" t="s">
        <v>387</v>
      </c>
      <c r="G91" s="83">
        <v>412</v>
      </c>
      <c r="H91" s="83" t="s">
        <v>388</v>
      </c>
      <c r="I91" s="83" t="s">
        <v>389</v>
      </c>
      <c r="J91" s="83" t="s">
        <v>2588</v>
      </c>
      <c r="K91" s="83"/>
      <c r="L91" s="84" t="s">
        <v>480</v>
      </c>
      <c r="M91" s="84">
        <v>46238.378472222219</v>
      </c>
      <c r="N91" s="83" t="s">
        <v>2603</v>
      </c>
      <c r="O91" s="80" t="s">
        <v>114</v>
      </c>
      <c r="P91" s="1" t="s">
        <v>279</v>
      </c>
      <c r="Q91" s="28" t="s">
        <v>114</v>
      </c>
      <c r="R91" s="18" t="s">
        <v>279</v>
      </c>
      <c r="S91" s="28" t="s">
        <v>114</v>
      </c>
      <c r="T91" s="18" t="s">
        <v>279</v>
      </c>
      <c r="U91" s="28" t="s">
        <v>114</v>
      </c>
      <c r="V91" s="18" t="s">
        <v>279</v>
      </c>
      <c r="W91" s="28" t="s">
        <v>114</v>
      </c>
      <c r="X91" s="18" t="s">
        <v>279</v>
      </c>
      <c r="Y91" s="28" t="s">
        <v>114</v>
      </c>
      <c r="Z91" s="18" t="s">
        <v>279</v>
      </c>
      <c r="AA91" s="28" t="s">
        <v>114</v>
      </c>
      <c r="AB91" s="17" t="s">
        <v>279</v>
      </c>
      <c r="AC91" s="28" t="s">
        <v>114</v>
      </c>
      <c r="AD91" s="17" t="s">
        <v>279</v>
      </c>
      <c r="AE91" s="28" t="s">
        <v>114</v>
      </c>
      <c r="AF91" s="71" t="str">
        <f t="shared" si="4"/>
        <v>NC</v>
      </c>
      <c r="AG91" s="21" t="str">
        <f t="shared" si="3"/>
        <v>NÃO UTILIZOU O PDA</v>
      </c>
      <c r="AH91" s="1" t="s">
        <v>4</v>
      </c>
      <c r="AI91" s="29" t="str">
        <f t="shared" si="5"/>
        <v>GUARULHOS</v>
      </c>
      <c r="AJ91" s="32" t="s">
        <v>1</v>
      </c>
    </row>
    <row r="92" spans="1:36" ht="30" customHeight="1" x14ac:dyDescent="0.2">
      <c r="A92" s="83" t="s">
        <v>101</v>
      </c>
      <c r="B92" s="83">
        <v>2614456848</v>
      </c>
      <c r="C92" s="83" t="s">
        <v>71</v>
      </c>
      <c r="D92" s="83" t="s">
        <v>20</v>
      </c>
      <c r="E92" s="83" t="s">
        <v>102</v>
      </c>
      <c r="F92" s="83" t="s">
        <v>350</v>
      </c>
      <c r="G92" s="83">
        <v>676</v>
      </c>
      <c r="H92" s="83" t="s">
        <v>2630</v>
      </c>
      <c r="I92" s="83" t="s">
        <v>352</v>
      </c>
      <c r="J92" s="83" t="s">
        <v>2586</v>
      </c>
      <c r="K92" s="83" t="s">
        <v>117</v>
      </c>
      <c r="L92" s="84" t="s">
        <v>480</v>
      </c>
      <c r="M92" s="84">
        <v>46238.400000000001</v>
      </c>
      <c r="N92" s="83" t="s">
        <v>2603</v>
      </c>
      <c r="O92" s="80" t="s">
        <v>114</v>
      </c>
      <c r="P92" s="1" t="s">
        <v>279</v>
      </c>
      <c r="Q92" s="28" t="s">
        <v>114</v>
      </c>
      <c r="R92" s="18" t="s">
        <v>279</v>
      </c>
      <c r="S92" s="28" t="s">
        <v>114</v>
      </c>
      <c r="T92" s="18" t="s">
        <v>279</v>
      </c>
      <c r="U92" s="28" t="s">
        <v>114</v>
      </c>
      <c r="V92" s="18" t="s">
        <v>279</v>
      </c>
      <c r="W92" s="28" t="s">
        <v>114</v>
      </c>
      <c r="X92" s="18" t="s">
        <v>279</v>
      </c>
      <c r="Y92" s="28" t="s">
        <v>114</v>
      </c>
      <c r="Z92" s="18" t="s">
        <v>279</v>
      </c>
      <c r="AA92" s="28" t="s">
        <v>114</v>
      </c>
      <c r="AB92" s="17" t="s">
        <v>279</v>
      </c>
      <c r="AC92" s="28" t="s">
        <v>114</v>
      </c>
      <c r="AD92" s="17" t="s">
        <v>279</v>
      </c>
      <c r="AE92" s="28" t="s">
        <v>114</v>
      </c>
      <c r="AF92" s="71" t="str">
        <f t="shared" si="4"/>
        <v>NC</v>
      </c>
      <c r="AG92" s="21" t="str">
        <f t="shared" si="3"/>
        <v>NÃO UTILIZOU O PDA</v>
      </c>
      <c r="AH92" s="1" t="s">
        <v>4</v>
      </c>
      <c r="AI92" s="29" t="str">
        <f t="shared" si="5"/>
        <v>GUARULHOS</v>
      </c>
      <c r="AJ92" s="32" t="s">
        <v>1</v>
      </c>
    </row>
    <row r="93" spans="1:36" ht="30" customHeight="1" x14ac:dyDescent="0.2">
      <c r="A93" s="83" t="s">
        <v>101</v>
      </c>
      <c r="B93" s="83">
        <v>2614436406</v>
      </c>
      <c r="C93" s="83" t="s">
        <v>69</v>
      </c>
      <c r="D93" s="83" t="s">
        <v>20</v>
      </c>
      <c r="E93" s="83" t="s">
        <v>102</v>
      </c>
      <c r="F93" s="83" t="s">
        <v>1688</v>
      </c>
      <c r="G93" s="83">
        <v>293</v>
      </c>
      <c r="H93" s="83"/>
      <c r="I93" s="83" t="s">
        <v>969</v>
      </c>
      <c r="J93" s="83" t="s">
        <v>2586</v>
      </c>
      <c r="K93" s="83"/>
      <c r="L93" s="84" t="s">
        <v>480</v>
      </c>
      <c r="M93" s="84">
        <v>46238.443055555559</v>
      </c>
      <c r="N93" s="83" t="s">
        <v>2603</v>
      </c>
      <c r="O93" s="80" t="s">
        <v>114</v>
      </c>
      <c r="P93" s="1" t="s">
        <v>279</v>
      </c>
      <c r="Q93" s="28" t="s">
        <v>114</v>
      </c>
      <c r="R93" s="18" t="s">
        <v>279</v>
      </c>
      <c r="S93" s="28" t="s">
        <v>114</v>
      </c>
      <c r="T93" s="18" t="s">
        <v>279</v>
      </c>
      <c r="U93" s="28" t="s">
        <v>114</v>
      </c>
      <c r="V93" s="18" t="s">
        <v>279</v>
      </c>
      <c r="W93" s="28" t="s">
        <v>114</v>
      </c>
      <c r="X93" s="18" t="s">
        <v>279</v>
      </c>
      <c r="Y93" s="28" t="s">
        <v>114</v>
      </c>
      <c r="Z93" s="18" t="s">
        <v>279</v>
      </c>
      <c r="AA93" s="28" t="s">
        <v>114</v>
      </c>
      <c r="AB93" s="17" t="s">
        <v>279</v>
      </c>
      <c r="AC93" s="28" t="s">
        <v>114</v>
      </c>
      <c r="AD93" s="17" t="s">
        <v>279</v>
      </c>
      <c r="AE93" s="28" t="s">
        <v>114</v>
      </c>
      <c r="AF93" s="71" t="str">
        <f t="shared" si="4"/>
        <v>NC</v>
      </c>
      <c r="AG93" s="21" t="str">
        <f t="shared" si="3"/>
        <v>NÃO UTILIZOU O PDA</v>
      </c>
      <c r="AH93" s="1" t="s">
        <v>13</v>
      </c>
      <c r="AI93" s="29" t="str">
        <f t="shared" si="5"/>
        <v>GUARULHOS</v>
      </c>
      <c r="AJ93" s="32" t="s">
        <v>1</v>
      </c>
    </row>
    <row r="94" spans="1:36" ht="30" customHeight="1" x14ac:dyDescent="0.2">
      <c r="A94" s="83" t="s">
        <v>101</v>
      </c>
      <c r="B94" s="83">
        <v>2614624407</v>
      </c>
      <c r="C94" s="83" t="s">
        <v>71</v>
      </c>
      <c r="D94" s="83" t="s">
        <v>20</v>
      </c>
      <c r="E94" s="83" t="s">
        <v>102</v>
      </c>
      <c r="F94" s="83" t="s">
        <v>197</v>
      </c>
      <c r="G94" s="83">
        <v>426</v>
      </c>
      <c r="H94" s="83" t="s">
        <v>198</v>
      </c>
      <c r="I94" s="83" t="s">
        <v>162</v>
      </c>
      <c r="J94" s="83" t="s">
        <v>2586</v>
      </c>
      <c r="K94" s="83" t="s">
        <v>117</v>
      </c>
      <c r="L94" s="84" t="s">
        <v>480</v>
      </c>
      <c r="M94" s="84">
        <v>46238.356944444444</v>
      </c>
      <c r="N94" s="83" t="s">
        <v>2603</v>
      </c>
      <c r="O94" s="80" t="s">
        <v>114</v>
      </c>
      <c r="P94" s="1" t="s">
        <v>279</v>
      </c>
      <c r="Q94" s="28" t="s">
        <v>114</v>
      </c>
      <c r="R94" s="18" t="s">
        <v>279</v>
      </c>
      <c r="S94" s="28" t="s">
        <v>114</v>
      </c>
      <c r="T94" s="18" t="s">
        <v>279</v>
      </c>
      <c r="U94" s="28" t="s">
        <v>114</v>
      </c>
      <c r="V94" s="18" t="s">
        <v>279</v>
      </c>
      <c r="W94" s="28" t="s">
        <v>114</v>
      </c>
      <c r="X94" s="18" t="s">
        <v>279</v>
      </c>
      <c r="Y94" s="28" t="s">
        <v>114</v>
      </c>
      <c r="Z94" s="18" t="s">
        <v>279</v>
      </c>
      <c r="AA94" s="28" t="s">
        <v>114</v>
      </c>
      <c r="AB94" s="17" t="s">
        <v>279</v>
      </c>
      <c r="AC94" s="28" t="s">
        <v>114</v>
      </c>
      <c r="AD94" s="17" t="s">
        <v>279</v>
      </c>
      <c r="AE94" s="28" t="s">
        <v>114</v>
      </c>
      <c r="AF94" s="71" t="str">
        <f t="shared" si="4"/>
        <v>NC</v>
      </c>
      <c r="AG94" s="21" t="str">
        <f t="shared" si="3"/>
        <v>NÃO UTILIZOU O PDA</v>
      </c>
      <c r="AH94" s="1" t="s">
        <v>13</v>
      </c>
      <c r="AI94" s="29" t="str">
        <f t="shared" si="5"/>
        <v>GUARULHOS</v>
      </c>
      <c r="AJ94" s="32" t="s">
        <v>1</v>
      </c>
    </row>
    <row r="95" spans="1:36" ht="30" customHeight="1" x14ac:dyDescent="0.2">
      <c r="A95" s="83" t="s">
        <v>101</v>
      </c>
      <c r="B95" s="83">
        <v>2614166839</v>
      </c>
      <c r="C95" s="83" t="s">
        <v>69</v>
      </c>
      <c r="D95" s="83" t="s">
        <v>20</v>
      </c>
      <c r="E95" s="83" t="s">
        <v>102</v>
      </c>
      <c r="F95" s="83" t="s">
        <v>161</v>
      </c>
      <c r="G95" s="83">
        <v>200</v>
      </c>
      <c r="H95" s="83" t="s">
        <v>392</v>
      </c>
      <c r="I95" s="83" t="s">
        <v>162</v>
      </c>
      <c r="J95" s="83" t="s">
        <v>2586</v>
      </c>
      <c r="K95" s="83"/>
      <c r="L95" s="84" t="s">
        <v>480</v>
      </c>
      <c r="M95" s="84">
        <v>46238.366666666669</v>
      </c>
      <c r="N95" s="83" t="s">
        <v>2603</v>
      </c>
      <c r="O95" s="80" t="s">
        <v>114</v>
      </c>
      <c r="P95" s="1" t="s">
        <v>279</v>
      </c>
      <c r="Q95" s="28" t="s">
        <v>114</v>
      </c>
      <c r="R95" s="18" t="s">
        <v>279</v>
      </c>
      <c r="S95" s="28" t="s">
        <v>114</v>
      </c>
      <c r="T95" s="18" t="s">
        <v>279</v>
      </c>
      <c r="U95" s="28" t="s">
        <v>114</v>
      </c>
      <c r="V95" s="18" t="s">
        <v>279</v>
      </c>
      <c r="W95" s="28" t="s">
        <v>114</v>
      </c>
      <c r="X95" s="18" t="s">
        <v>279</v>
      </c>
      <c r="Y95" s="28" t="s">
        <v>114</v>
      </c>
      <c r="Z95" s="18" t="s">
        <v>279</v>
      </c>
      <c r="AA95" s="28" t="s">
        <v>114</v>
      </c>
      <c r="AB95" s="17" t="s">
        <v>279</v>
      </c>
      <c r="AC95" s="28" t="s">
        <v>114</v>
      </c>
      <c r="AD95" s="17" t="s">
        <v>279</v>
      </c>
      <c r="AE95" s="28" t="s">
        <v>114</v>
      </c>
      <c r="AF95" s="71" t="str">
        <f t="shared" si="4"/>
        <v>NC</v>
      </c>
      <c r="AG95" s="21" t="str">
        <f t="shared" si="3"/>
        <v>NÃO UTILIZOU O PDA</v>
      </c>
      <c r="AH95" s="1" t="s">
        <v>4</v>
      </c>
      <c r="AI95" s="29" t="str">
        <f t="shared" si="5"/>
        <v>GUARULHOS</v>
      </c>
      <c r="AJ95" s="32" t="s">
        <v>1</v>
      </c>
    </row>
    <row r="96" spans="1:36" ht="30" customHeight="1" x14ac:dyDescent="0.2">
      <c r="A96" s="83" t="s">
        <v>101</v>
      </c>
      <c r="B96" s="83">
        <v>2613829768</v>
      </c>
      <c r="C96" s="83" t="s">
        <v>71</v>
      </c>
      <c r="D96" s="83" t="s">
        <v>20</v>
      </c>
      <c r="E96" s="83" t="s">
        <v>102</v>
      </c>
      <c r="F96" s="83" t="s">
        <v>432</v>
      </c>
      <c r="G96" s="83">
        <v>42</v>
      </c>
      <c r="H96" s="83" t="s">
        <v>110</v>
      </c>
      <c r="I96" s="83" t="s">
        <v>433</v>
      </c>
      <c r="J96" s="83" t="s">
        <v>2586</v>
      </c>
      <c r="K96" s="83" t="s">
        <v>117</v>
      </c>
      <c r="L96" s="84" t="s">
        <v>480</v>
      </c>
      <c r="M96" s="84">
        <v>46238.340277777781</v>
      </c>
      <c r="N96" s="83" t="s">
        <v>2603</v>
      </c>
      <c r="O96" s="80" t="s">
        <v>114</v>
      </c>
      <c r="P96" s="1" t="s">
        <v>279</v>
      </c>
      <c r="Q96" s="28" t="s">
        <v>114</v>
      </c>
      <c r="R96" s="18" t="s">
        <v>279</v>
      </c>
      <c r="S96" s="28" t="s">
        <v>114</v>
      </c>
      <c r="T96" s="18" t="s">
        <v>279</v>
      </c>
      <c r="U96" s="28" t="s">
        <v>114</v>
      </c>
      <c r="V96" s="18" t="s">
        <v>279</v>
      </c>
      <c r="W96" s="28" t="s">
        <v>114</v>
      </c>
      <c r="X96" s="18" t="s">
        <v>279</v>
      </c>
      <c r="Y96" s="28" t="s">
        <v>114</v>
      </c>
      <c r="Z96" s="18" t="s">
        <v>279</v>
      </c>
      <c r="AA96" s="28" t="s">
        <v>114</v>
      </c>
      <c r="AB96" s="17" t="s">
        <v>279</v>
      </c>
      <c r="AC96" s="28" t="s">
        <v>114</v>
      </c>
      <c r="AD96" s="17" t="s">
        <v>279</v>
      </c>
      <c r="AE96" s="28" t="s">
        <v>114</v>
      </c>
      <c r="AF96" s="71" t="str">
        <f t="shared" si="4"/>
        <v>NC</v>
      </c>
      <c r="AG96" s="21" t="str">
        <f t="shared" si="3"/>
        <v>NÃO UTILIZOU O PDA</v>
      </c>
      <c r="AH96" s="1" t="s">
        <v>4</v>
      </c>
      <c r="AI96" s="29" t="str">
        <f t="shared" si="5"/>
        <v>GUARULHOS</v>
      </c>
      <c r="AJ96" s="32" t="s">
        <v>1</v>
      </c>
    </row>
    <row r="97" spans="1:36" ht="30" customHeight="1" x14ac:dyDescent="0.2">
      <c r="A97" s="83" t="s">
        <v>101</v>
      </c>
      <c r="B97" s="83">
        <v>2614604608</v>
      </c>
      <c r="C97" s="83" t="s">
        <v>71</v>
      </c>
      <c r="D97" s="83" t="s">
        <v>20</v>
      </c>
      <c r="E97" s="83" t="s">
        <v>102</v>
      </c>
      <c r="F97" s="83" t="s">
        <v>460</v>
      </c>
      <c r="G97" s="83">
        <v>7</v>
      </c>
      <c r="H97" s="83" t="s">
        <v>461</v>
      </c>
      <c r="I97" s="83" t="s">
        <v>104</v>
      </c>
      <c r="J97" s="83" t="s">
        <v>2586</v>
      </c>
      <c r="K97" s="83" t="s">
        <v>117</v>
      </c>
      <c r="L97" s="84" t="s">
        <v>480</v>
      </c>
      <c r="M97" s="84">
        <v>46238.376388888886</v>
      </c>
      <c r="N97" s="83" t="s">
        <v>2596</v>
      </c>
      <c r="O97" s="80" t="s">
        <v>114</v>
      </c>
      <c r="P97" s="1" t="s">
        <v>279</v>
      </c>
      <c r="Q97" s="28" t="s">
        <v>114</v>
      </c>
      <c r="R97" s="18" t="s">
        <v>279</v>
      </c>
      <c r="S97" s="28" t="s">
        <v>114</v>
      </c>
      <c r="T97" s="18" t="s">
        <v>279</v>
      </c>
      <c r="U97" s="28" t="s">
        <v>114</v>
      </c>
      <c r="V97" s="18" t="s">
        <v>279</v>
      </c>
      <c r="W97" s="28" t="s">
        <v>114</v>
      </c>
      <c r="X97" s="18" t="s">
        <v>279</v>
      </c>
      <c r="Y97" s="28" t="s">
        <v>114</v>
      </c>
      <c r="Z97" s="18" t="s">
        <v>279</v>
      </c>
      <c r="AA97" s="28" t="s">
        <v>114</v>
      </c>
      <c r="AB97" s="17" t="s">
        <v>279</v>
      </c>
      <c r="AC97" s="28" t="s">
        <v>114</v>
      </c>
      <c r="AD97" s="17" t="s">
        <v>279</v>
      </c>
      <c r="AE97" s="28" t="s">
        <v>114</v>
      </c>
      <c r="AF97" s="71" t="str">
        <f t="shared" si="4"/>
        <v>NC</v>
      </c>
      <c r="AG97" s="21" t="str">
        <f t="shared" si="3"/>
        <v>NÃO UTILIZOU O PDA</v>
      </c>
      <c r="AH97" s="1" t="s">
        <v>4</v>
      </c>
      <c r="AI97" s="29" t="str">
        <f t="shared" si="5"/>
        <v>GUARULHOS</v>
      </c>
      <c r="AJ97" s="32" t="s">
        <v>1</v>
      </c>
    </row>
    <row r="98" spans="1:36" ht="30" customHeight="1" x14ac:dyDescent="0.2">
      <c r="A98" s="83" t="s">
        <v>101</v>
      </c>
      <c r="B98" s="83">
        <v>2613740858</v>
      </c>
      <c r="C98" s="83" t="s">
        <v>71</v>
      </c>
      <c r="D98" s="83" t="s">
        <v>20</v>
      </c>
      <c r="E98" s="83" t="s">
        <v>102</v>
      </c>
      <c r="F98" s="83" t="s">
        <v>435</v>
      </c>
      <c r="G98" s="83">
        <v>1212</v>
      </c>
      <c r="H98" s="83"/>
      <c r="I98" s="83" t="s">
        <v>154</v>
      </c>
      <c r="J98" s="83" t="s">
        <v>2586</v>
      </c>
      <c r="K98" s="83"/>
      <c r="L98" s="84" t="s">
        <v>480</v>
      </c>
      <c r="M98" s="84">
        <v>46238.352777777778</v>
      </c>
      <c r="N98" s="83" t="s">
        <v>2596</v>
      </c>
      <c r="O98" s="80" t="s">
        <v>108</v>
      </c>
      <c r="P98" s="1"/>
      <c r="Q98" s="28" t="s">
        <v>108</v>
      </c>
      <c r="R98" s="18"/>
      <c r="S98" s="28" t="s">
        <v>108</v>
      </c>
      <c r="T98" s="18"/>
      <c r="U98" s="28" t="s">
        <v>108</v>
      </c>
      <c r="V98" s="18"/>
      <c r="W98" s="28" t="s">
        <v>108</v>
      </c>
      <c r="X98" s="18"/>
      <c r="Y98" s="28" t="s">
        <v>108</v>
      </c>
      <c r="Z98" s="18"/>
      <c r="AA98" s="28" t="s">
        <v>108</v>
      </c>
      <c r="AB98" s="17"/>
      <c r="AC98" s="28" t="s">
        <v>108</v>
      </c>
      <c r="AD98" s="17"/>
      <c r="AE98" s="28" t="s">
        <v>108</v>
      </c>
      <c r="AF98" s="71" t="str">
        <f t="shared" si="4"/>
        <v>C</v>
      </c>
      <c r="AG98" s="21" t="str">
        <f t="shared" si="3"/>
        <v>UTILIZOU O PDA CORRETAMENTE</v>
      </c>
      <c r="AH98" s="1" t="s">
        <v>4</v>
      </c>
      <c r="AI98" s="29" t="str">
        <f t="shared" si="5"/>
        <v>GUARULHOS</v>
      </c>
      <c r="AJ98" s="32" t="s">
        <v>1</v>
      </c>
    </row>
    <row r="99" spans="1:36" ht="30" customHeight="1" x14ac:dyDescent="0.2">
      <c r="A99" s="83" t="s">
        <v>101</v>
      </c>
      <c r="B99" s="83">
        <v>2613688151</v>
      </c>
      <c r="C99" s="83" t="s">
        <v>71</v>
      </c>
      <c r="D99" s="83" t="s">
        <v>20</v>
      </c>
      <c r="E99" s="83" t="s">
        <v>102</v>
      </c>
      <c r="F99" s="83" t="s">
        <v>393</v>
      </c>
      <c r="G99" s="83">
        <v>34</v>
      </c>
      <c r="H99" s="83" t="s">
        <v>117</v>
      </c>
      <c r="I99" s="83" t="s">
        <v>220</v>
      </c>
      <c r="J99" s="83" t="s">
        <v>2586</v>
      </c>
      <c r="K99" s="83" t="s">
        <v>117</v>
      </c>
      <c r="L99" s="84" t="s">
        <v>480</v>
      </c>
      <c r="M99" s="84">
        <v>46238.336111111108</v>
      </c>
      <c r="N99" s="83" t="s">
        <v>2596</v>
      </c>
      <c r="O99" s="80" t="s">
        <v>108</v>
      </c>
      <c r="P99" s="1"/>
      <c r="Q99" s="28" t="s">
        <v>108</v>
      </c>
      <c r="R99" s="18"/>
      <c r="S99" s="28" t="s">
        <v>108</v>
      </c>
      <c r="T99" s="18"/>
      <c r="U99" s="28" t="s">
        <v>108</v>
      </c>
      <c r="V99" s="18"/>
      <c r="W99" s="28" t="s">
        <v>108</v>
      </c>
      <c r="X99" s="18"/>
      <c r="Y99" s="28" t="s">
        <v>108</v>
      </c>
      <c r="Z99" s="18"/>
      <c r="AA99" s="28" t="s">
        <v>108</v>
      </c>
      <c r="AB99" s="17"/>
      <c r="AC99" s="28" t="s">
        <v>108</v>
      </c>
      <c r="AD99" s="17"/>
      <c r="AE99" s="28" t="s">
        <v>108</v>
      </c>
      <c r="AF99" s="71" t="str">
        <f t="shared" si="4"/>
        <v>C</v>
      </c>
      <c r="AG99" s="21" t="str">
        <f t="shared" si="3"/>
        <v>UTILIZOU O PDA CORRETAMENTE</v>
      </c>
      <c r="AH99" s="1" t="s">
        <v>4</v>
      </c>
      <c r="AI99" s="29" t="str">
        <f t="shared" si="5"/>
        <v>GUARULHOS</v>
      </c>
      <c r="AJ99" s="32" t="s">
        <v>1</v>
      </c>
    </row>
    <row r="100" spans="1:36" ht="30" customHeight="1" x14ac:dyDescent="0.2">
      <c r="A100" s="83" t="s">
        <v>101</v>
      </c>
      <c r="B100" s="83">
        <v>2614823397</v>
      </c>
      <c r="C100" s="83" t="s">
        <v>71</v>
      </c>
      <c r="D100" s="83" t="s">
        <v>20</v>
      </c>
      <c r="E100" s="83" t="s">
        <v>102</v>
      </c>
      <c r="F100" s="83" t="s">
        <v>387</v>
      </c>
      <c r="G100" s="83">
        <v>412</v>
      </c>
      <c r="H100" s="83" t="s">
        <v>388</v>
      </c>
      <c r="I100" s="83" t="s">
        <v>389</v>
      </c>
      <c r="J100" s="83" t="s">
        <v>2586</v>
      </c>
      <c r="K100" s="83" t="s">
        <v>2631</v>
      </c>
      <c r="L100" s="84" t="s">
        <v>480</v>
      </c>
      <c r="M100" s="84">
        <v>46238.581944444442</v>
      </c>
      <c r="N100" s="83" t="s">
        <v>2603</v>
      </c>
      <c r="O100" s="81" t="s">
        <v>108</v>
      </c>
      <c r="P100" s="1"/>
      <c r="Q100" s="40" t="s">
        <v>108</v>
      </c>
      <c r="R100" s="18"/>
      <c r="S100" s="40" t="s">
        <v>108</v>
      </c>
      <c r="T100" s="18"/>
      <c r="U100" s="40" t="s">
        <v>108</v>
      </c>
      <c r="V100" s="18"/>
      <c r="W100" s="40" t="s">
        <v>108</v>
      </c>
      <c r="X100" s="18"/>
      <c r="Y100" s="40" t="s">
        <v>108</v>
      </c>
      <c r="Z100" s="18"/>
      <c r="AA100" s="40" t="s">
        <v>108</v>
      </c>
      <c r="AB100" s="18"/>
      <c r="AC100" s="40" t="s">
        <v>108</v>
      </c>
      <c r="AD100" s="18"/>
      <c r="AE100" s="40" t="s">
        <v>108</v>
      </c>
      <c r="AF100" s="71" t="str">
        <f t="shared" si="4"/>
        <v>C</v>
      </c>
      <c r="AG100" s="21" t="str">
        <f t="shared" si="3"/>
        <v>UTILIZOU O PDA CORRETAMENTE</v>
      </c>
      <c r="AH100" s="1" t="s">
        <v>4</v>
      </c>
      <c r="AI100" s="29" t="str">
        <f t="shared" si="5"/>
        <v>GUARULHOS</v>
      </c>
      <c r="AJ100" s="32" t="s">
        <v>1</v>
      </c>
    </row>
    <row r="101" spans="1:36" ht="30" customHeight="1" x14ac:dyDescent="0.2">
      <c r="A101" s="83" t="s">
        <v>101</v>
      </c>
      <c r="B101" s="83">
        <v>2614469579</v>
      </c>
      <c r="C101" s="83" t="s">
        <v>68</v>
      </c>
      <c r="D101" s="83" t="s">
        <v>20</v>
      </c>
      <c r="E101" s="83" t="s">
        <v>102</v>
      </c>
      <c r="F101" s="83" t="s">
        <v>477</v>
      </c>
      <c r="G101" s="83">
        <v>282</v>
      </c>
      <c r="H101" s="83" t="s">
        <v>478</v>
      </c>
      <c r="I101" s="83" t="s">
        <v>479</v>
      </c>
      <c r="J101" s="83" t="s">
        <v>2588</v>
      </c>
      <c r="K101" s="83"/>
      <c r="L101" s="84" t="s">
        <v>527</v>
      </c>
      <c r="M101" s="84">
        <v>46269.368055555555</v>
      </c>
      <c r="N101" s="83" t="s">
        <v>2587</v>
      </c>
      <c r="O101" s="75" t="s">
        <v>108</v>
      </c>
      <c r="P101" s="1"/>
      <c r="Q101" s="40" t="s">
        <v>108</v>
      </c>
      <c r="R101" s="18"/>
      <c r="S101" s="40" t="s">
        <v>108</v>
      </c>
      <c r="T101" s="18"/>
      <c r="U101" s="40" t="s">
        <v>108</v>
      </c>
      <c r="V101" s="18"/>
      <c r="W101" s="40" t="s">
        <v>108</v>
      </c>
      <c r="X101" s="18"/>
      <c r="Y101" s="40" t="s">
        <v>108</v>
      </c>
      <c r="Z101" s="18"/>
      <c r="AA101" s="40" t="s">
        <v>108</v>
      </c>
      <c r="AB101" s="18"/>
      <c r="AC101" s="40" t="s">
        <v>108</v>
      </c>
      <c r="AD101" s="18"/>
      <c r="AE101" s="40" t="s">
        <v>108</v>
      </c>
      <c r="AF101" s="71" t="str">
        <f t="shared" si="4"/>
        <v>C</v>
      </c>
      <c r="AG101" s="21" t="str">
        <f t="shared" si="3"/>
        <v>UTILIZOU O PDA CORRETAMENTE</v>
      </c>
      <c r="AH101" s="1" t="s">
        <v>4</v>
      </c>
      <c r="AI101" s="29" t="str">
        <f t="shared" si="5"/>
        <v>GUARULHOS</v>
      </c>
      <c r="AJ101" s="32" t="s">
        <v>1</v>
      </c>
    </row>
    <row r="102" spans="1:36" ht="30" customHeight="1" x14ac:dyDescent="0.2">
      <c r="A102" s="83" t="s">
        <v>101</v>
      </c>
      <c r="B102" s="83">
        <v>2689800455</v>
      </c>
      <c r="C102" s="83" t="s">
        <v>68</v>
      </c>
      <c r="D102" s="83" t="s">
        <v>20</v>
      </c>
      <c r="E102" s="83" t="s">
        <v>102</v>
      </c>
      <c r="F102" s="83" t="s">
        <v>521</v>
      </c>
      <c r="G102" s="83">
        <v>33</v>
      </c>
      <c r="H102" s="83" t="s">
        <v>522</v>
      </c>
      <c r="I102" s="83" t="s">
        <v>523</v>
      </c>
      <c r="J102" s="83" t="s">
        <v>2588</v>
      </c>
      <c r="K102" s="83" t="s">
        <v>117</v>
      </c>
      <c r="L102" s="84" t="s">
        <v>527</v>
      </c>
      <c r="M102" s="84">
        <v>46269.388888888891</v>
      </c>
      <c r="N102" s="83" t="s">
        <v>2587</v>
      </c>
      <c r="O102" s="75" t="s">
        <v>108</v>
      </c>
      <c r="P102" s="1"/>
      <c r="Q102" s="40" t="s">
        <v>108</v>
      </c>
      <c r="R102" s="18"/>
      <c r="S102" s="40" t="s">
        <v>108</v>
      </c>
      <c r="T102" s="18"/>
      <c r="U102" s="40" t="s">
        <v>108</v>
      </c>
      <c r="V102" s="18"/>
      <c r="W102" s="40" t="s">
        <v>108</v>
      </c>
      <c r="X102" s="18"/>
      <c r="Y102" s="40" t="s">
        <v>108</v>
      </c>
      <c r="Z102" s="18"/>
      <c r="AA102" s="40" t="s">
        <v>108</v>
      </c>
      <c r="AB102" s="18"/>
      <c r="AC102" s="40" t="s">
        <v>108</v>
      </c>
      <c r="AD102" s="18"/>
      <c r="AE102" s="40" t="s">
        <v>108</v>
      </c>
      <c r="AF102" s="71" t="str">
        <f t="shared" si="4"/>
        <v>C</v>
      </c>
      <c r="AG102" s="21" t="str">
        <f t="shared" si="3"/>
        <v>UTILIZOU O PDA CORRETAMENTE</v>
      </c>
      <c r="AH102" s="1" t="s">
        <v>4</v>
      </c>
      <c r="AI102" s="29" t="str">
        <f t="shared" si="5"/>
        <v>GUARULHOS</v>
      </c>
      <c r="AJ102" s="32" t="s">
        <v>1</v>
      </c>
    </row>
    <row r="103" spans="1:36" ht="30" customHeight="1" x14ac:dyDescent="0.2">
      <c r="A103" s="83" t="s">
        <v>101</v>
      </c>
      <c r="B103" s="83">
        <v>2614437468</v>
      </c>
      <c r="C103" s="83" t="s">
        <v>68</v>
      </c>
      <c r="D103" s="83" t="s">
        <v>20</v>
      </c>
      <c r="E103" s="83" t="s">
        <v>102</v>
      </c>
      <c r="F103" s="83" t="s">
        <v>416</v>
      </c>
      <c r="G103" s="83">
        <v>353</v>
      </c>
      <c r="H103" s="83" t="s">
        <v>417</v>
      </c>
      <c r="I103" s="83" t="s">
        <v>418</v>
      </c>
      <c r="J103" s="83" t="s">
        <v>2588</v>
      </c>
      <c r="K103" s="83"/>
      <c r="L103" s="84" t="s">
        <v>527</v>
      </c>
      <c r="M103" s="84">
        <v>46269.455555555556</v>
      </c>
      <c r="N103" s="83" t="s">
        <v>2587</v>
      </c>
      <c r="O103" s="75" t="s">
        <v>108</v>
      </c>
      <c r="P103" s="1"/>
      <c r="Q103" s="40" t="s">
        <v>108</v>
      </c>
      <c r="R103" s="18"/>
      <c r="S103" s="40" t="s">
        <v>108</v>
      </c>
      <c r="T103" s="18"/>
      <c r="U103" s="40" t="s">
        <v>108</v>
      </c>
      <c r="V103" s="18"/>
      <c r="W103" s="40" t="s">
        <v>108</v>
      </c>
      <c r="X103" s="18"/>
      <c r="Y103" s="40" t="s">
        <v>108</v>
      </c>
      <c r="Z103" s="18"/>
      <c r="AA103" s="40" t="s">
        <v>108</v>
      </c>
      <c r="AB103" s="18"/>
      <c r="AC103" s="40" t="s">
        <v>108</v>
      </c>
      <c r="AD103" s="18"/>
      <c r="AE103" s="40" t="s">
        <v>108</v>
      </c>
      <c r="AF103" s="71" t="str">
        <f t="shared" si="4"/>
        <v>C</v>
      </c>
      <c r="AG103" s="21" t="str">
        <f t="shared" si="3"/>
        <v>UTILIZOU O PDA CORRETAMENTE</v>
      </c>
      <c r="AH103" s="1" t="s">
        <v>4</v>
      </c>
      <c r="AI103" s="29" t="str">
        <f t="shared" si="5"/>
        <v>GUARULHOS</v>
      </c>
      <c r="AJ103" s="32" t="s">
        <v>1</v>
      </c>
    </row>
    <row r="104" spans="1:36" ht="30" customHeight="1" x14ac:dyDescent="0.2">
      <c r="A104" s="83" t="s">
        <v>101</v>
      </c>
      <c r="B104" s="83">
        <v>2614626821</v>
      </c>
      <c r="C104" s="83" t="s">
        <v>71</v>
      </c>
      <c r="D104" s="83" t="s">
        <v>20</v>
      </c>
      <c r="E104" s="83" t="s">
        <v>102</v>
      </c>
      <c r="F104" s="83" t="s">
        <v>725</v>
      </c>
      <c r="G104" s="83">
        <v>113</v>
      </c>
      <c r="H104" s="83" t="s">
        <v>1193</v>
      </c>
      <c r="I104" s="83" t="s">
        <v>169</v>
      </c>
      <c r="J104" s="83" t="s">
        <v>2586</v>
      </c>
      <c r="K104" s="83" t="s">
        <v>117</v>
      </c>
      <c r="L104" s="84" t="s">
        <v>527</v>
      </c>
      <c r="M104" s="84">
        <v>46269.481249999997</v>
      </c>
      <c r="N104" s="83" t="s">
        <v>2587</v>
      </c>
      <c r="O104" s="75" t="s">
        <v>114</v>
      </c>
      <c r="P104" s="1" t="s">
        <v>279</v>
      </c>
      <c r="Q104" s="40" t="s">
        <v>114</v>
      </c>
      <c r="R104" s="1" t="s">
        <v>279</v>
      </c>
      <c r="S104" s="40" t="s">
        <v>114</v>
      </c>
      <c r="T104" s="1" t="s">
        <v>279</v>
      </c>
      <c r="U104" s="40" t="s">
        <v>114</v>
      </c>
      <c r="V104" s="1" t="s">
        <v>279</v>
      </c>
      <c r="W104" s="40" t="s">
        <v>114</v>
      </c>
      <c r="X104" s="1" t="s">
        <v>279</v>
      </c>
      <c r="Y104" s="40" t="s">
        <v>114</v>
      </c>
      <c r="Z104" s="1" t="s">
        <v>279</v>
      </c>
      <c r="AA104" s="40" t="s">
        <v>114</v>
      </c>
      <c r="AB104" s="1" t="s">
        <v>279</v>
      </c>
      <c r="AC104" s="40" t="s">
        <v>114</v>
      </c>
      <c r="AD104" s="1" t="s">
        <v>279</v>
      </c>
      <c r="AE104" s="40" t="s">
        <v>114</v>
      </c>
      <c r="AF104" s="71" t="str">
        <f t="shared" si="4"/>
        <v>NC</v>
      </c>
      <c r="AG104" s="21" t="str">
        <f t="shared" si="3"/>
        <v>NÃO UTILIZOU O PDA</v>
      </c>
      <c r="AH104" s="1" t="s">
        <v>4</v>
      </c>
      <c r="AI104" s="29" t="str">
        <f t="shared" si="5"/>
        <v>GUARULHOS</v>
      </c>
      <c r="AJ104" s="32" t="s">
        <v>1</v>
      </c>
    </row>
    <row r="105" spans="1:36" ht="30" customHeight="1" x14ac:dyDescent="0.2">
      <c r="A105" s="83" t="s">
        <v>101</v>
      </c>
      <c r="B105" s="83">
        <v>2613910307</v>
      </c>
      <c r="C105" s="83" t="s">
        <v>69</v>
      </c>
      <c r="D105" s="83" t="s">
        <v>20</v>
      </c>
      <c r="E105" s="83" t="s">
        <v>102</v>
      </c>
      <c r="F105" s="83" t="s">
        <v>495</v>
      </c>
      <c r="G105" s="83">
        <v>206</v>
      </c>
      <c r="H105" s="83"/>
      <c r="I105" s="83" t="s">
        <v>216</v>
      </c>
      <c r="J105" s="83" t="s">
        <v>2586</v>
      </c>
      <c r="K105" s="83"/>
      <c r="L105" s="84" t="s">
        <v>527</v>
      </c>
      <c r="M105" s="84">
        <v>46269.457638888889</v>
      </c>
      <c r="N105" s="83" t="s">
        <v>2587</v>
      </c>
      <c r="O105" s="75" t="s">
        <v>108</v>
      </c>
      <c r="P105" s="1"/>
      <c r="Q105" s="40" t="s">
        <v>108</v>
      </c>
      <c r="R105" s="18"/>
      <c r="S105" s="40" t="s">
        <v>108</v>
      </c>
      <c r="T105" s="18"/>
      <c r="U105" s="40" t="s">
        <v>108</v>
      </c>
      <c r="V105" s="18"/>
      <c r="W105" s="40" t="s">
        <v>108</v>
      </c>
      <c r="X105" s="18"/>
      <c r="Y105" s="40" t="s">
        <v>108</v>
      </c>
      <c r="Z105" s="18"/>
      <c r="AA105" s="40" t="s">
        <v>108</v>
      </c>
      <c r="AB105" s="18"/>
      <c r="AC105" s="40" t="s">
        <v>108</v>
      </c>
      <c r="AD105" s="18"/>
      <c r="AE105" s="40" t="s">
        <v>108</v>
      </c>
      <c r="AF105" s="71" t="str">
        <f t="shared" si="4"/>
        <v>C</v>
      </c>
      <c r="AG105" s="21" t="str">
        <f t="shared" si="3"/>
        <v>UTILIZOU O PDA CORRETAMENTE</v>
      </c>
      <c r="AH105" s="1" t="s">
        <v>4</v>
      </c>
      <c r="AI105" s="29" t="str">
        <f t="shared" si="5"/>
        <v>GUARULHOS</v>
      </c>
      <c r="AJ105" s="32" t="s">
        <v>1</v>
      </c>
    </row>
    <row r="106" spans="1:36" ht="30" customHeight="1" x14ac:dyDescent="0.2">
      <c r="A106" s="83" t="s">
        <v>101</v>
      </c>
      <c r="B106" s="83">
        <v>2614504632</v>
      </c>
      <c r="C106" s="83" t="s">
        <v>71</v>
      </c>
      <c r="D106" s="83" t="s">
        <v>20</v>
      </c>
      <c r="E106" s="83" t="s">
        <v>102</v>
      </c>
      <c r="F106" s="83" t="s">
        <v>565</v>
      </c>
      <c r="G106" s="83">
        <v>512</v>
      </c>
      <c r="H106" s="83" t="s">
        <v>1733</v>
      </c>
      <c r="I106" s="83" t="s">
        <v>566</v>
      </c>
      <c r="J106" s="83" t="s">
        <v>2586</v>
      </c>
      <c r="K106" s="83" t="s">
        <v>117</v>
      </c>
      <c r="L106" s="84" t="s">
        <v>527</v>
      </c>
      <c r="M106" s="84">
        <v>46269.466666666667</v>
      </c>
      <c r="N106" s="83" t="s">
        <v>2587</v>
      </c>
      <c r="O106" s="75" t="s">
        <v>108</v>
      </c>
      <c r="P106" s="1"/>
      <c r="Q106" s="40" t="s">
        <v>108</v>
      </c>
      <c r="R106" s="18"/>
      <c r="S106" s="40" t="s">
        <v>108</v>
      </c>
      <c r="T106" s="18"/>
      <c r="U106" s="40" t="s">
        <v>108</v>
      </c>
      <c r="V106" s="18"/>
      <c r="W106" s="40" t="s">
        <v>108</v>
      </c>
      <c r="X106" s="18"/>
      <c r="Y106" s="40" t="s">
        <v>108</v>
      </c>
      <c r="Z106" s="18"/>
      <c r="AA106" s="40" t="s">
        <v>108</v>
      </c>
      <c r="AB106" s="18"/>
      <c r="AC106" s="40" t="s">
        <v>108</v>
      </c>
      <c r="AD106" s="18"/>
      <c r="AE106" s="40" t="s">
        <v>108</v>
      </c>
      <c r="AF106" s="71" t="str">
        <f t="shared" si="4"/>
        <v>C</v>
      </c>
      <c r="AG106" s="21" t="str">
        <f t="shared" si="3"/>
        <v>UTILIZOU O PDA CORRETAMENTE</v>
      </c>
      <c r="AH106" s="1" t="s">
        <v>4</v>
      </c>
      <c r="AI106" s="29" t="str">
        <f t="shared" si="5"/>
        <v>GUARULHOS</v>
      </c>
      <c r="AJ106" s="32" t="s">
        <v>1</v>
      </c>
    </row>
    <row r="107" spans="1:36" ht="30" customHeight="1" x14ac:dyDescent="0.2">
      <c r="A107" s="83" t="s">
        <v>101</v>
      </c>
      <c r="B107" s="83">
        <v>2689647737</v>
      </c>
      <c r="C107" s="83" t="s">
        <v>68</v>
      </c>
      <c r="D107" s="83" t="s">
        <v>20</v>
      </c>
      <c r="E107" s="83" t="s">
        <v>102</v>
      </c>
      <c r="F107" s="83" t="s">
        <v>399</v>
      </c>
      <c r="G107" s="83">
        <v>892</v>
      </c>
      <c r="H107" s="83" t="s">
        <v>400</v>
      </c>
      <c r="I107" s="83" t="s">
        <v>247</v>
      </c>
      <c r="J107" s="83" t="s">
        <v>2588</v>
      </c>
      <c r="K107" s="83"/>
      <c r="L107" s="84" t="s">
        <v>527</v>
      </c>
      <c r="M107" s="84">
        <v>46269.45208333333</v>
      </c>
      <c r="N107" s="83" t="s">
        <v>2587</v>
      </c>
      <c r="O107" s="75" t="s">
        <v>108</v>
      </c>
      <c r="P107" s="18"/>
      <c r="Q107" s="75" t="s">
        <v>108</v>
      </c>
      <c r="R107" s="18"/>
      <c r="S107" s="75" t="s">
        <v>108</v>
      </c>
      <c r="T107" s="18"/>
      <c r="U107" s="75" t="s">
        <v>108</v>
      </c>
      <c r="V107" s="18"/>
      <c r="W107" s="75" t="s">
        <v>108</v>
      </c>
      <c r="X107" s="18"/>
      <c r="Y107" s="75" t="s">
        <v>108</v>
      </c>
      <c r="Z107" s="18"/>
      <c r="AA107" s="75" t="s">
        <v>108</v>
      </c>
      <c r="AB107" s="18"/>
      <c r="AC107" s="75" t="s">
        <v>108</v>
      </c>
      <c r="AD107" s="18"/>
      <c r="AE107" s="75" t="s">
        <v>108</v>
      </c>
      <c r="AF107" s="71" t="str">
        <f t="shared" si="4"/>
        <v>C</v>
      </c>
      <c r="AG107" s="21" t="str">
        <f t="shared" si="3"/>
        <v>UTILIZOU O PDA CORRETAMENTE</v>
      </c>
      <c r="AH107" s="1" t="s">
        <v>4</v>
      </c>
      <c r="AI107" s="29" t="str">
        <f t="shared" si="5"/>
        <v>GUARULHOS</v>
      </c>
      <c r="AJ107" s="32" t="s">
        <v>1</v>
      </c>
    </row>
    <row r="108" spans="1:36" ht="30" customHeight="1" x14ac:dyDescent="0.2">
      <c r="A108" s="83" t="s">
        <v>101</v>
      </c>
      <c r="B108" s="83">
        <v>2689829983</v>
      </c>
      <c r="C108" s="83" t="s">
        <v>70</v>
      </c>
      <c r="D108" s="83" t="s">
        <v>20</v>
      </c>
      <c r="E108" s="83" t="s">
        <v>102</v>
      </c>
      <c r="F108" s="83" t="s">
        <v>484</v>
      </c>
      <c r="G108" s="83">
        <v>944</v>
      </c>
      <c r="H108" s="83" t="s">
        <v>485</v>
      </c>
      <c r="I108" s="83" t="s">
        <v>486</v>
      </c>
      <c r="J108" s="83" t="s">
        <v>2588</v>
      </c>
      <c r="K108" s="83" t="s">
        <v>117</v>
      </c>
      <c r="L108" s="84" t="s">
        <v>527</v>
      </c>
      <c r="M108" s="84">
        <v>46269.503472222219</v>
      </c>
      <c r="N108" s="83" t="s">
        <v>2587</v>
      </c>
      <c r="O108" s="75" t="s">
        <v>108</v>
      </c>
      <c r="P108" s="1"/>
      <c r="Q108" s="40" t="s">
        <v>108</v>
      </c>
      <c r="R108" s="18"/>
      <c r="S108" s="40" t="s">
        <v>108</v>
      </c>
      <c r="T108" s="18"/>
      <c r="U108" s="40" t="s">
        <v>108</v>
      </c>
      <c r="V108" s="18"/>
      <c r="W108" s="40" t="s">
        <v>108</v>
      </c>
      <c r="X108" s="18"/>
      <c r="Y108" s="40" t="s">
        <v>108</v>
      </c>
      <c r="Z108" s="18"/>
      <c r="AA108" s="40" t="s">
        <v>108</v>
      </c>
      <c r="AB108" s="18"/>
      <c r="AC108" s="40" t="s">
        <v>108</v>
      </c>
      <c r="AD108" s="18"/>
      <c r="AE108" s="40" t="s">
        <v>108</v>
      </c>
      <c r="AF108" s="71" t="str">
        <f t="shared" si="4"/>
        <v>C</v>
      </c>
      <c r="AG108" s="21" t="str">
        <f t="shared" si="3"/>
        <v>UTILIZOU O PDA CORRETAMENTE</v>
      </c>
      <c r="AH108" s="1" t="s">
        <v>4</v>
      </c>
      <c r="AI108" s="29" t="str">
        <f t="shared" si="5"/>
        <v>GUARULHOS</v>
      </c>
      <c r="AJ108" s="32" t="s">
        <v>1</v>
      </c>
    </row>
    <row r="109" spans="1:36" ht="30" customHeight="1" x14ac:dyDescent="0.2">
      <c r="A109" s="83" t="s">
        <v>101</v>
      </c>
      <c r="B109" s="83">
        <v>2614498794</v>
      </c>
      <c r="C109" s="83" t="s">
        <v>71</v>
      </c>
      <c r="D109" s="83" t="s">
        <v>20</v>
      </c>
      <c r="E109" s="83" t="s">
        <v>102</v>
      </c>
      <c r="F109" s="83" t="s">
        <v>1752</v>
      </c>
      <c r="G109" s="83">
        <v>10</v>
      </c>
      <c r="H109" s="83"/>
      <c r="I109" s="83" t="s">
        <v>1753</v>
      </c>
      <c r="J109" s="83" t="s">
        <v>2586</v>
      </c>
      <c r="K109" s="83"/>
      <c r="L109" s="84" t="s">
        <v>527</v>
      </c>
      <c r="M109" s="84">
        <v>46269.407638888886</v>
      </c>
      <c r="N109" s="83" t="s">
        <v>2596</v>
      </c>
      <c r="O109" s="75" t="s">
        <v>108</v>
      </c>
      <c r="P109" s="1"/>
      <c r="Q109" s="40" t="s">
        <v>108</v>
      </c>
      <c r="R109" s="18"/>
      <c r="S109" s="40" t="s">
        <v>108</v>
      </c>
      <c r="T109" s="18"/>
      <c r="U109" s="40" t="s">
        <v>108</v>
      </c>
      <c r="V109" s="18"/>
      <c r="W109" s="40" t="s">
        <v>108</v>
      </c>
      <c r="X109" s="18"/>
      <c r="Y109" s="40" t="s">
        <v>108</v>
      </c>
      <c r="Z109" s="18"/>
      <c r="AA109" s="40" t="s">
        <v>108</v>
      </c>
      <c r="AB109" s="18"/>
      <c r="AC109" s="40" t="s">
        <v>114</v>
      </c>
      <c r="AD109" s="18" t="s">
        <v>2632</v>
      </c>
      <c r="AE109" s="40" t="s">
        <v>108</v>
      </c>
      <c r="AF109" s="71" t="str">
        <f t="shared" si="4"/>
        <v>NC</v>
      </c>
      <c r="AG109" s="21" t="str">
        <f t="shared" si="3"/>
        <v>UTILIZOU O PDA CORRETAMENTE. NÃO HÁ FOTOS DE TODAS AS ETAPAS</v>
      </c>
      <c r="AH109" s="1" t="s">
        <v>13</v>
      </c>
      <c r="AI109" s="29" t="str">
        <f t="shared" si="5"/>
        <v>GUARULHOS</v>
      </c>
      <c r="AJ109" s="32" t="s">
        <v>1</v>
      </c>
    </row>
    <row r="110" spans="1:36" ht="30" customHeight="1" x14ac:dyDescent="0.2">
      <c r="A110" s="83" t="s">
        <v>101</v>
      </c>
      <c r="B110" s="83">
        <v>2614676509</v>
      </c>
      <c r="C110" s="83" t="s">
        <v>68</v>
      </c>
      <c r="D110" s="83" t="s">
        <v>20</v>
      </c>
      <c r="E110" s="83" t="s">
        <v>102</v>
      </c>
      <c r="F110" s="83" t="s">
        <v>513</v>
      </c>
      <c r="G110" s="83">
        <v>615</v>
      </c>
      <c r="H110" s="83" t="s">
        <v>117</v>
      </c>
      <c r="I110" s="83" t="s">
        <v>301</v>
      </c>
      <c r="J110" s="83" t="s">
        <v>2588</v>
      </c>
      <c r="K110" s="83" t="s">
        <v>117</v>
      </c>
      <c r="L110" s="84" t="s">
        <v>527</v>
      </c>
      <c r="M110" s="84">
        <v>46269.34375</v>
      </c>
      <c r="N110" s="83" t="s">
        <v>2596</v>
      </c>
      <c r="O110" s="75" t="s">
        <v>108</v>
      </c>
      <c r="P110" s="1"/>
      <c r="Q110" s="40" t="s">
        <v>108</v>
      </c>
      <c r="R110" s="18"/>
      <c r="S110" s="40" t="s">
        <v>108</v>
      </c>
      <c r="T110" s="18"/>
      <c r="U110" s="40" t="s">
        <v>108</v>
      </c>
      <c r="V110" s="18"/>
      <c r="W110" s="40" t="s">
        <v>108</v>
      </c>
      <c r="X110" s="18"/>
      <c r="Y110" s="40" t="s">
        <v>108</v>
      </c>
      <c r="Z110" s="18"/>
      <c r="AA110" s="40" t="s">
        <v>108</v>
      </c>
      <c r="AB110" s="18"/>
      <c r="AC110" s="40" t="s">
        <v>108</v>
      </c>
      <c r="AD110" s="18"/>
      <c r="AE110" s="40" t="s">
        <v>108</v>
      </c>
      <c r="AF110" s="71" t="str">
        <f t="shared" si="4"/>
        <v>C</v>
      </c>
      <c r="AG110" s="21" t="str">
        <f t="shared" si="3"/>
        <v>UTILIZOU O PDA CORRETAMENTE</v>
      </c>
      <c r="AH110" s="1" t="s">
        <v>4</v>
      </c>
      <c r="AI110" s="29" t="str">
        <f t="shared" si="5"/>
        <v>GUARULHOS</v>
      </c>
      <c r="AJ110" s="32" t="s">
        <v>1</v>
      </c>
    </row>
    <row r="111" spans="1:36" ht="30" customHeight="1" x14ac:dyDescent="0.2">
      <c r="A111" s="83" t="s">
        <v>101</v>
      </c>
      <c r="B111" s="83">
        <v>2689811597</v>
      </c>
      <c r="C111" s="83" t="s">
        <v>68</v>
      </c>
      <c r="D111" s="83" t="s">
        <v>20</v>
      </c>
      <c r="E111" s="83" t="s">
        <v>102</v>
      </c>
      <c r="F111" s="83" t="s">
        <v>466</v>
      </c>
      <c r="G111" s="83">
        <v>153</v>
      </c>
      <c r="H111" s="83" t="s">
        <v>467</v>
      </c>
      <c r="I111" s="83" t="s">
        <v>468</v>
      </c>
      <c r="J111" s="83" t="s">
        <v>2588</v>
      </c>
      <c r="K111" s="83"/>
      <c r="L111" s="84" t="s">
        <v>527</v>
      </c>
      <c r="M111" s="84">
        <v>46269.42083333333</v>
      </c>
      <c r="N111" s="83" t="s">
        <v>2596</v>
      </c>
      <c r="O111" s="75" t="s">
        <v>108</v>
      </c>
      <c r="P111" s="1"/>
      <c r="Q111" s="40" t="s">
        <v>108</v>
      </c>
      <c r="R111" s="18"/>
      <c r="S111" s="40" t="s">
        <v>108</v>
      </c>
      <c r="T111" s="18"/>
      <c r="U111" s="40" t="s">
        <v>108</v>
      </c>
      <c r="V111" s="18"/>
      <c r="W111" s="40" t="s">
        <v>108</v>
      </c>
      <c r="X111" s="18"/>
      <c r="Y111" s="40" t="s">
        <v>108</v>
      </c>
      <c r="Z111" s="18"/>
      <c r="AA111" s="40" t="s">
        <v>108</v>
      </c>
      <c r="AB111" s="18"/>
      <c r="AC111" s="40" t="s">
        <v>108</v>
      </c>
      <c r="AD111" s="18"/>
      <c r="AE111" s="40" t="s">
        <v>108</v>
      </c>
      <c r="AF111" s="71" t="str">
        <f t="shared" si="4"/>
        <v>C</v>
      </c>
      <c r="AG111" s="21" t="str">
        <f t="shared" si="3"/>
        <v>UTILIZOU O PDA CORRETAMENTE</v>
      </c>
      <c r="AH111" s="1" t="s">
        <v>4</v>
      </c>
      <c r="AI111" s="29" t="str">
        <f t="shared" si="5"/>
        <v>GUARULHOS</v>
      </c>
      <c r="AJ111" s="32" t="s">
        <v>1</v>
      </c>
    </row>
    <row r="112" spans="1:36" ht="30" customHeight="1" x14ac:dyDescent="0.2">
      <c r="A112" s="83" t="s">
        <v>101</v>
      </c>
      <c r="B112" s="83">
        <v>2614662067</v>
      </c>
      <c r="C112" s="83" t="s">
        <v>70</v>
      </c>
      <c r="D112" s="83" t="s">
        <v>20</v>
      </c>
      <c r="E112" s="83" t="s">
        <v>102</v>
      </c>
      <c r="F112" s="83" t="s">
        <v>1752</v>
      </c>
      <c r="G112" s="83">
        <v>10</v>
      </c>
      <c r="H112" s="83" t="s">
        <v>117</v>
      </c>
      <c r="I112" s="83" t="s">
        <v>1753</v>
      </c>
      <c r="J112" s="83" t="s">
        <v>2588</v>
      </c>
      <c r="K112" s="83" t="s">
        <v>2633</v>
      </c>
      <c r="L112" s="84" t="s">
        <v>527</v>
      </c>
      <c r="M112" s="84">
        <v>46269.40902777778</v>
      </c>
      <c r="N112" s="83" t="s">
        <v>2596</v>
      </c>
      <c r="O112" s="75" t="s">
        <v>108</v>
      </c>
      <c r="P112" s="1"/>
      <c r="Q112" s="40" t="s">
        <v>108</v>
      </c>
      <c r="R112" s="18"/>
      <c r="S112" s="40" t="s">
        <v>108</v>
      </c>
      <c r="T112" s="18"/>
      <c r="U112" s="40" t="s">
        <v>108</v>
      </c>
      <c r="V112" s="18"/>
      <c r="W112" s="40" t="s">
        <v>108</v>
      </c>
      <c r="X112" s="18"/>
      <c r="Y112" s="40" t="s">
        <v>108</v>
      </c>
      <c r="Z112" s="18"/>
      <c r="AA112" s="40" t="s">
        <v>214</v>
      </c>
      <c r="AB112" s="18"/>
      <c r="AC112" s="40" t="s">
        <v>108</v>
      </c>
      <c r="AD112" s="18"/>
      <c r="AE112" s="40" t="s">
        <v>108</v>
      </c>
      <c r="AF112" s="71" t="str">
        <f t="shared" si="4"/>
        <v>NC</v>
      </c>
      <c r="AG112" s="21" t="str">
        <f t="shared" si="3"/>
        <v>UTILIZOU O PDA CORRETAMENTE. NÃO HÁ FOTOS DE TODAS AS ETAPAS</v>
      </c>
      <c r="AH112" s="1" t="s">
        <v>13</v>
      </c>
      <c r="AI112" s="29" t="str">
        <f t="shared" si="5"/>
        <v>GUARULHOS</v>
      </c>
      <c r="AJ112" s="32" t="s">
        <v>1</v>
      </c>
    </row>
    <row r="113" spans="1:36" ht="30" customHeight="1" x14ac:dyDescent="0.2">
      <c r="A113" s="83" t="s">
        <v>101</v>
      </c>
      <c r="B113" s="83">
        <v>2614521982</v>
      </c>
      <c r="C113" s="83" t="s">
        <v>68</v>
      </c>
      <c r="D113" s="83" t="s">
        <v>20</v>
      </c>
      <c r="E113" s="83" t="s">
        <v>102</v>
      </c>
      <c r="F113" s="83" t="s">
        <v>448</v>
      </c>
      <c r="G113" s="83">
        <v>227</v>
      </c>
      <c r="H113" s="83" t="s">
        <v>449</v>
      </c>
      <c r="I113" s="83" t="s">
        <v>450</v>
      </c>
      <c r="J113" s="83" t="s">
        <v>2588</v>
      </c>
      <c r="K113" s="83"/>
      <c r="L113" s="84" t="s">
        <v>527</v>
      </c>
      <c r="M113" s="84">
        <v>46269.364583333336</v>
      </c>
      <c r="N113" s="83" t="s">
        <v>2596</v>
      </c>
      <c r="O113" s="75" t="s">
        <v>108</v>
      </c>
      <c r="P113" s="1"/>
      <c r="Q113" s="40" t="s">
        <v>108</v>
      </c>
      <c r="R113" s="18"/>
      <c r="S113" s="40" t="s">
        <v>214</v>
      </c>
      <c r="T113" s="18"/>
      <c r="U113" s="40" t="s">
        <v>214</v>
      </c>
      <c r="V113" s="18"/>
      <c r="W113" s="40" t="s">
        <v>108</v>
      </c>
      <c r="X113" s="18"/>
      <c r="Y113" s="40" t="s">
        <v>108</v>
      </c>
      <c r="Z113" s="18"/>
      <c r="AA113" s="40" t="s">
        <v>214</v>
      </c>
      <c r="AB113" s="18"/>
      <c r="AC113" s="40" t="s">
        <v>108</v>
      </c>
      <c r="AD113" s="18"/>
      <c r="AE113" s="40" t="s">
        <v>108</v>
      </c>
      <c r="AF113" s="71" t="str">
        <f t="shared" si="4"/>
        <v>NC</v>
      </c>
      <c r="AG113" s="21" t="str">
        <f t="shared" si="3"/>
        <v>UTILIZOU O PDA CORRETAMENTE. NÃO HÁ FOTOS DE TODAS AS ETAPAS</v>
      </c>
      <c r="AH113" s="1" t="s">
        <v>13</v>
      </c>
      <c r="AI113" s="29" t="str">
        <f t="shared" si="5"/>
        <v>GUARULHOS</v>
      </c>
      <c r="AJ113" s="32" t="s">
        <v>1</v>
      </c>
    </row>
    <row r="114" spans="1:36" ht="30" customHeight="1" x14ac:dyDescent="0.2">
      <c r="A114" s="83" t="s">
        <v>101</v>
      </c>
      <c r="B114" s="83">
        <v>2614485002</v>
      </c>
      <c r="C114" s="83" t="s">
        <v>70</v>
      </c>
      <c r="D114" s="83" t="s">
        <v>20</v>
      </c>
      <c r="E114" s="83" t="s">
        <v>102</v>
      </c>
      <c r="F114" s="83" t="s">
        <v>408</v>
      </c>
      <c r="G114" s="83">
        <v>308</v>
      </c>
      <c r="H114" s="83" t="s">
        <v>409</v>
      </c>
      <c r="I114" s="83" t="s">
        <v>345</v>
      </c>
      <c r="J114" s="83" t="s">
        <v>2588</v>
      </c>
      <c r="K114" s="83" t="s">
        <v>117</v>
      </c>
      <c r="L114" s="84" t="s">
        <v>527</v>
      </c>
      <c r="M114" s="84">
        <v>46269.379166666666</v>
      </c>
      <c r="N114" s="83" t="s">
        <v>2596</v>
      </c>
      <c r="O114" s="75" t="s">
        <v>108</v>
      </c>
      <c r="P114" s="1"/>
      <c r="Q114" s="40" t="s">
        <v>108</v>
      </c>
      <c r="R114" s="18"/>
      <c r="S114" s="40" t="s">
        <v>108</v>
      </c>
      <c r="T114" s="18"/>
      <c r="U114" s="40" t="s">
        <v>108</v>
      </c>
      <c r="V114" s="18"/>
      <c r="W114" s="40" t="s">
        <v>108</v>
      </c>
      <c r="X114" s="18"/>
      <c r="Y114" s="40" t="s">
        <v>108</v>
      </c>
      <c r="Z114" s="18"/>
      <c r="AA114" s="40" t="s">
        <v>108</v>
      </c>
      <c r="AB114" s="18"/>
      <c r="AC114" s="40" t="s">
        <v>108</v>
      </c>
      <c r="AD114" s="18"/>
      <c r="AE114" s="40" t="s">
        <v>108</v>
      </c>
      <c r="AF114" s="71" t="str">
        <f t="shared" si="4"/>
        <v>C</v>
      </c>
      <c r="AG114" s="21" t="str">
        <f t="shared" si="3"/>
        <v>UTILIZOU O PDA CORRETAMENTE</v>
      </c>
      <c r="AH114" s="1" t="s">
        <v>4</v>
      </c>
      <c r="AI114" s="29" t="str">
        <f t="shared" si="5"/>
        <v>GUARULHOS</v>
      </c>
      <c r="AJ114" s="32" t="s">
        <v>1</v>
      </c>
    </row>
    <row r="115" spans="1:36" ht="30" customHeight="1" x14ac:dyDescent="0.2">
      <c r="A115" s="83" t="s">
        <v>101</v>
      </c>
      <c r="B115" s="83">
        <v>2614605142</v>
      </c>
      <c r="C115" s="83" t="s">
        <v>71</v>
      </c>
      <c r="D115" s="83" t="s">
        <v>20</v>
      </c>
      <c r="E115" s="83" t="s">
        <v>102</v>
      </c>
      <c r="F115" s="83" t="s">
        <v>228</v>
      </c>
      <c r="G115" s="83">
        <v>438</v>
      </c>
      <c r="H115" s="83" t="s">
        <v>110</v>
      </c>
      <c r="I115" s="83" t="s">
        <v>229</v>
      </c>
      <c r="J115" s="83" t="s">
        <v>2586</v>
      </c>
      <c r="K115" s="83" t="s">
        <v>2634</v>
      </c>
      <c r="L115" s="84" t="s">
        <v>527</v>
      </c>
      <c r="M115" s="84">
        <v>46269.588194444441</v>
      </c>
      <c r="N115" s="83" t="s">
        <v>2635</v>
      </c>
      <c r="O115" s="26" t="s">
        <v>14</v>
      </c>
      <c r="P115" s="1"/>
      <c r="Q115" s="28" t="s">
        <v>14</v>
      </c>
      <c r="R115" s="18"/>
      <c r="S115" s="28" t="s">
        <v>14</v>
      </c>
      <c r="T115" s="18"/>
      <c r="U115" s="28" t="s">
        <v>14</v>
      </c>
      <c r="V115" s="18"/>
      <c r="W115" s="28" t="s">
        <v>14</v>
      </c>
      <c r="X115" s="18"/>
      <c r="Y115" s="28" t="s">
        <v>14</v>
      </c>
      <c r="Z115" s="18"/>
      <c r="AA115" s="28" t="s">
        <v>14</v>
      </c>
      <c r="AB115" s="17"/>
      <c r="AC115" s="28" t="s">
        <v>14</v>
      </c>
      <c r="AD115" s="17"/>
      <c r="AE115" s="28" t="s">
        <v>14</v>
      </c>
      <c r="AF115" s="71" t="str">
        <f t="shared" si="4"/>
        <v>NA</v>
      </c>
      <c r="AG115" s="21" t="str">
        <f t="shared" si="3"/>
        <v>NÃO AVALIADO POR FALHA DE SINCRONISMO</v>
      </c>
      <c r="AH115" s="1" t="s">
        <v>4</v>
      </c>
      <c r="AI115" s="29" t="str">
        <f t="shared" si="5"/>
        <v>GUARULHOS</v>
      </c>
      <c r="AJ115" s="32" t="s">
        <v>1</v>
      </c>
    </row>
    <row r="116" spans="1:36" ht="30" customHeight="1" x14ac:dyDescent="0.2">
      <c r="A116" s="83" t="s">
        <v>101</v>
      </c>
      <c r="B116" s="83">
        <v>2614512142</v>
      </c>
      <c r="C116" s="83" t="s">
        <v>71</v>
      </c>
      <c r="D116" s="83" t="s">
        <v>20</v>
      </c>
      <c r="E116" s="83" t="s">
        <v>102</v>
      </c>
      <c r="F116" s="83" t="s">
        <v>228</v>
      </c>
      <c r="G116" s="83">
        <v>559</v>
      </c>
      <c r="H116" s="83" t="s">
        <v>232</v>
      </c>
      <c r="I116" s="83" t="s">
        <v>229</v>
      </c>
      <c r="J116" s="83" t="s">
        <v>2586</v>
      </c>
      <c r="K116" s="83" t="s">
        <v>2634</v>
      </c>
      <c r="L116" s="84" t="s">
        <v>527</v>
      </c>
      <c r="M116" s="84">
        <v>46269.584027777775</v>
      </c>
      <c r="N116" s="83" t="s">
        <v>2635</v>
      </c>
      <c r="O116" s="26" t="s">
        <v>14</v>
      </c>
      <c r="P116" s="1"/>
      <c r="Q116" s="28" t="s">
        <v>14</v>
      </c>
      <c r="R116" s="18"/>
      <c r="S116" s="28" t="s">
        <v>14</v>
      </c>
      <c r="T116" s="18"/>
      <c r="U116" s="28" t="s">
        <v>14</v>
      </c>
      <c r="V116" s="18"/>
      <c r="W116" s="28" t="s">
        <v>14</v>
      </c>
      <c r="X116" s="18"/>
      <c r="Y116" s="28" t="s">
        <v>14</v>
      </c>
      <c r="Z116" s="18"/>
      <c r="AA116" s="28" t="s">
        <v>14</v>
      </c>
      <c r="AB116" s="17"/>
      <c r="AC116" s="28" t="s">
        <v>14</v>
      </c>
      <c r="AD116" s="17"/>
      <c r="AE116" s="28" t="s">
        <v>14</v>
      </c>
      <c r="AF116" s="71" t="str">
        <f t="shared" si="4"/>
        <v>NA</v>
      </c>
      <c r="AG116" s="21" t="str">
        <f t="shared" si="3"/>
        <v>NÃO AVALIADO POR FALHA DE SINCRONISMO</v>
      </c>
      <c r="AH116" s="1" t="s">
        <v>4</v>
      </c>
      <c r="AI116" s="29" t="str">
        <f t="shared" si="5"/>
        <v>GUARULHOS</v>
      </c>
      <c r="AJ116" s="32" t="s">
        <v>1</v>
      </c>
    </row>
    <row r="117" spans="1:36" ht="30" customHeight="1" x14ac:dyDescent="0.2">
      <c r="A117" s="83" t="s">
        <v>101</v>
      </c>
      <c r="B117" s="83">
        <v>2614459866</v>
      </c>
      <c r="C117" s="83" t="s">
        <v>70</v>
      </c>
      <c r="D117" s="83" t="s">
        <v>20</v>
      </c>
      <c r="E117" s="83" t="s">
        <v>102</v>
      </c>
      <c r="F117" s="83" t="s">
        <v>440</v>
      </c>
      <c r="G117" s="83">
        <v>86</v>
      </c>
      <c r="H117" s="83" t="s">
        <v>117</v>
      </c>
      <c r="I117" s="83" t="s">
        <v>179</v>
      </c>
      <c r="J117" s="83" t="s">
        <v>2588</v>
      </c>
      <c r="K117" s="83" t="s">
        <v>2636</v>
      </c>
      <c r="L117" s="84" t="s">
        <v>527</v>
      </c>
      <c r="M117" s="84">
        <v>46269.463194444441</v>
      </c>
      <c r="N117" s="83" t="s">
        <v>2596</v>
      </c>
      <c r="O117" s="26" t="s">
        <v>14</v>
      </c>
      <c r="P117" s="1"/>
      <c r="Q117" s="28" t="s">
        <v>14</v>
      </c>
      <c r="R117" s="18"/>
      <c r="S117" s="28" t="s">
        <v>14</v>
      </c>
      <c r="T117" s="18"/>
      <c r="U117" s="28" t="s">
        <v>14</v>
      </c>
      <c r="V117" s="18"/>
      <c r="W117" s="28" t="s">
        <v>14</v>
      </c>
      <c r="X117" s="18"/>
      <c r="Y117" s="28" t="s">
        <v>14</v>
      </c>
      <c r="Z117" s="18"/>
      <c r="AA117" s="28" t="s">
        <v>14</v>
      </c>
      <c r="AB117" s="17"/>
      <c r="AC117" s="28" t="s">
        <v>14</v>
      </c>
      <c r="AD117" s="17"/>
      <c r="AE117" s="28" t="s">
        <v>14</v>
      </c>
      <c r="AF117" s="71" t="str">
        <f t="shared" si="4"/>
        <v>NA</v>
      </c>
      <c r="AG117" s="21" t="str">
        <f t="shared" si="3"/>
        <v>NÃO AVALIADO POR FALHA DE SINCRONISMO</v>
      </c>
      <c r="AH117" s="1" t="s">
        <v>4</v>
      </c>
      <c r="AI117" s="29" t="str">
        <f t="shared" si="5"/>
        <v>GUARULHOS</v>
      </c>
      <c r="AJ117" s="32" t="s">
        <v>1</v>
      </c>
    </row>
    <row r="118" spans="1:36" ht="30" customHeight="1" x14ac:dyDescent="0.2">
      <c r="A118" s="83" t="s">
        <v>101</v>
      </c>
      <c r="B118" s="83">
        <v>2614670261</v>
      </c>
      <c r="C118" s="83" t="s">
        <v>69</v>
      </c>
      <c r="D118" s="83" t="s">
        <v>20</v>
      </c>
      <c r="E118" s="83" t="s">
        <v>102</v>
      </c>
      <c r="F118" s="83" t="s">
        <v>1755</v>
      </c>
      <c r="G118" s="83">
        <v>294</v>
      </c>
      <c r="H118" s="83" t="s">
        <v>115</v>
      </c>
      <c r="I118" s="83" t="s">
        <v>111</v>
      </c>
      <c r="J118" s="83" t="s">
        <v>2586</v>
      </c>
      <c r="K118" s="83"/>
      <c r="L118" s="84" t="s">
        <v>577</v>
      </c>
      <c r="M118" s="84">
        <v>46299.409722222219</v>
      </c>
      <c r="N118" s="83" t="s">
        <v>2587</v>
      </c>
      <c r="O118" s="26" t="s">
        <v>114</v>
      </c>
      <c r="P118" s="1" t="s">
        <v>279</v>
      </c>
      <c r="Q118" s="26" t="s">
        <v>114</v>
      </c>
      <c r="R118" s="1" t="s">
        <v>279</v>
      </c>
      <c r="S118" s="26" t="s">
        <v>114</v>
      </c>
      <c r="T118" s="1" t="s">
        <v>279</v>
      </c>
      <c r="U118" s="26" t="s">
        <v>114</v>
      </c>
      <c r="V118" s="1" t="s">
        <v>279</v>
      </c>
      <c r="W118" s="26" t="s">
        <v>114</v>
      </c>
      <c r="X118" s="1" t="s">
        <v>279</v>
      </c>
      <c r="Y118" s="26" t="s">
        <v>114</v>
      </c>
      <c r="Z118" s="1" t="s">
        <v>279</v>
      </c>
      <c r="AA118" s="26" t="s">
        <v>114</v>
      </c>
      <c r="AB118" s="1" t="s">
        <v>279</v>
      </c>
      <c r="AC118" s="26" t="s">
        <v>114</v>
      </c>
      <c r="AD118" s="1" t="s">
        <v>279</v>
      </c>
      <c r="AE118" s="26" t="s">
        <v>114</v>
      </c>
      <c r="AF118" s="71" t="str">
        <f t="shared" si="4"/>
        <v>NC</v>
      </c>
      <c r="AG118" s="21" t="str">
        <f t="shared" si="3"/>
        <v>NÃO UTILIZOU O PDA</v>
      </c>
      <c r="AH118" s="1" t="s">
        <v>13</v>
      </c>
      <c r="AI118" s="29" t="str">
        <f t="shared" si="5"/>
        <v>GUARULHOS</v>
      </c>
      <c r="AJ118" s="32" t="s">
        <v>1</v>
      </c>
    </row>
    <row r="119" spans="1:36" ht="30" customHeight="1" x14ac:dyDescent="0.2">
      <c r="A119" s="83" t="s">
        <v>101</v>
      </c>
      <c r="B119" s="83">
        <v>2614686675</v>
      </c>
      <c r="C119" s="83" t="s">
        <v>69</v>
      </c>
      <c r="D119" s="83" t="s">
        <v>20</v>
      </c>
      <c r="E119" s="83" t="s">
        <v>102</v>
      </c>
      <c r="F119" s="83" t="s">
        <v>503</v>
      </c>
      <c r="G119" s="83">
        <v>184</v>
      </c>
      <c r="H119" s="83" t="s">
        <v>110</v>
      </c>
      <c r="I119" s="83" t="s">
        <v>237</v>
      </c>
      <c r="J119" s="83" t="s">
        <v>2586</v>
      </c>
      <c r="K119" s="83" t="s">
        <v>117</v>
      </c>
      <c r="L119" s="84" t="s">
        <v>577</v>
      </c>
      <c r="M119" s="84">
        <v>46299.375694444447</v>
      </c>
      <c r="N119" s="83" t="s">
        <v>2587</v>
      </c>
      <c r="O119" s="26" t="s">
        <v>114</v>
      </c>
      <c r="P119" s="17" t="s">
        <v>279</v>
      </c>
      <c r="Q119" s="28" t="s">
        <v>114</v>
      </c>
      <c r="R119" s="17" t="s">
        <v>279</v>
      </c>
      <c r="S119" s="28" t="s">
        <v>114</v>
      </c>
      <c r="T119" s="17" t="s">
        <v>279</v>
      </c>
      <c r="U119" s="28" t="s">
        <v>114</v>
      </c>
      <c r="V119" s="17" t="s">
        <v>279</v>
      </c>
      <c r="W119" s="28" t="s">
        <v>114</v>
      </c>
      <c r="X119" s="17" t="s">
        <v>279</v>
      </c>
      <c r="Y119" s="28" t="s">
        <v>114</v>
      </c>
      <c r="Z119" s="17" t="s">
        <v>279</v>
      </c>
      <c r="AA119" s="28" t="s">
        <v>114</v>
      </c>
      <c r="AB119" s="17" t="s">
        <v>279</v>
      </c>
      <c r="AC119" s="28" t="s">
        <v>114</v>
      </c>
      <c r="AD119" s="17" t="s">
        <v>279</v>
      </c>
      <c r="AE119" s="28" t="s">
        <v>114</v>
      </c>
      <c r="AF119" s="71" t="str">
        <f t="shared" si="4"/>
        <v>NC</v>
      </c>
      <c r="AG119" s="21" t="str">
        <f t="shared" si="3"/>
        <v>NÃO UTILIZOU O PDA</v>
      </c>
      <c r="AH119" s="1" t="s">
        <v>4</v>
      </c>
      <c r="AI119" s="29" t="str">
        <f t="shared" si="5"/>
        <v>GUARULHOS</v>
      </c>
      <c r="AJ119" s="32" t="s">
        <v>1</v>
      </c>
    </row>
    <row r="120" spans="1:36" ht="30" customHeight="1" x14ac:dyDescent="0.2">
      <c r="A120" s="83" t="s">
        <v>101</v>
      </c>
      <c r="B120" s="83">
        <v>2614803311</v>
      </c>
      <c r="C120" s="83" t="s">
        <v>69</v>
      </c>
      <c r="D120" s="83" t="s">
        <v>20</v>
      </c>
      <c r="E120" s="83" t="s">
        <v>102</v>
      </c>
      <c r="F120" s="83" t="s">
        <v>503</v>
      </c>
      <c r="G120" s="83">
        <v>277</v>
      </c>
      <c r="H120" s="83" t="s">
        <v>512</v>
      </c>
      <c r="I120" s="83" t="s">
        <v>237</v>
      </c>
      <c r="J120" s="83" t="s">
        <v>2586</v>
      </c>
      <c r="K120" s="83"/>
      <c r="L120" s="84" t="s">
        <v>577</v>
      </c>
      <c r="M120" s="84">
        <v>46299.387499999997</v>
      </c>
      <c r="N120" s="83" t="s">
        <v>2587</v>
      </c>
      <c r="O120" s="26" t="s">
        <v>114</v>
      </c>
      <c r="P120" s="1" t="s">
        <v>279</v>
      </c>
      <c r="Q120" s="28" t="s">
        <v>114</v>
      </c>
      <c r="R120" s="1" t="s">
        <v>279</v>
      </c>
      <c r="S120" s="28" t="s">
        <v>114</v>
      </c>
      <c r="T120" s="1" t="s">
        <v>279</v>
      </c>
      <c r="U120" s="28" t="s">
        <v>114</v>
      </c>
      <c r="V120" s="1" t="s">
        <v>279</v>
      </c>
      <c r="W120" s="28" t="s">
        <v>114</v>
      </c>
      <c r="X120" s="1" t="s">
        <v>279</v>
      </c>
      <c r="Y120" s="28" t="s">
        <v>114</v>
      </c>
      <c r="Z120" s="1" t="s">
        <v>279</v>
      </c>
      <c r="AA120" s="28" t="s">
        <v>114</v>
      </c>
      <c r="AB120" s="1" t="s">
        <v>279</v>
      </c>
      <c r="AC120" s="28" t="s">
        <v>114</v>
      </c>
      <c r="AD120" s="1" t="s">
        <v>279</v>
      </c>
      <c r="AE120" s="28" t="s">
        <v>114</v>
      </c>
      <c r="AF120" s="71" t="str">
        <f t="shared" si="4"/>
        <v>NC</v>
      </c>
      <c r="AG120" s="21" t="str">
        <f t="shared" si="3"/>
        <v>NÃO UTILIZOU O PDA</v>
      </c>
      <c r="AH120" s="1" t="s">
        <v>4</v>
      </c>
      <c r="AI120" s="29" t="str">
        <f t="shared" ref="AI120:AI151" si="6">E120</f>
        <v>GUARULHOS</v>
      </c>
      <c r="AJ120" s="32" t="s">
        <v>1</v>
      </c>
    </row>
    <row r="121" spans="1:36" ht="30" customHeight="1" x14ac:dyDescent="0.2">
      <c r="A121" s="83" t="s">
        <v>101</v>
      </c>
      <c r="B121" s="83">
        <v>2614689141</v>
      </c>
      <c r="C121" s="83" t="s">
        <v>68</v>
      </c>
      <c r="D121" s="83" t="s">
        <v>20</v>
      </c>
      <c r="E121" s="83" t="s">
        <v>102</v>
      </c>
      <c r="F121" s="83" t="s">
        <v>1027</v>
      </c>
      <c r="G121" s="83">
        <v>108</v>
      </c>
      <c r="H121" s="83" t="s">
        <v>1756</v>
      </c>
      <c r="I121" s="83" t="s">
        <v>576</v>
      </c>
      <c r="J121" s="83" t="s">
        <v>2588</v>
      </c>
      <c r="K121" s="83" t="s">
        <v>117</v>
      </c>
      <c r="L121" s="84" t="s">
        <v>577</v>
      </c>
      <c r="M121" s="84">
        <v>46299.462500000001</v>
      </c>
      <c r="N121" s="83" t="s">
        <v>2587</v>
      </c>
      <c r="O121" s="26" t="s">
        <v>114</v>
      </c>
      <c r="P121" s="1" t="s">
        <v>279</v>
      </c>
      <c r="Q121" s="28" t="s">
        <v>114</v>
      </c>
      <c r="R121" s="1" t="s">
        <v>279</v>
      </c>
      <c r="S121" s="28" t="s">
        <v>114</v>
      </c>
      <c r="T121" s="1" t="s">
        <v>279</v>
      </c>
      <c r="U121" s="28" t="s">
        <v>114</v>
      </c>
      <c r="V121" s="1" t="s">
        <v>279</v>
      </c>
      <c r="W121" s="28" t="s">
        <v>114</v>
      </c>
      <c r="X121" s="1" t="s">
        <v>279</v>
      </c>
      <c r="Y121" s="28" t="s">
        <v>114</v>
      </c>
      <c r="Z121" s="1" t="s">
        <v>279</v>
      </c>
      <c r="AA121" s="28" t="s">
        <v>114</v>
      </c>
      <c r="AB121" s="1" t="s">
        <v>279</v>
      </c>
      <c r="AC121" s="28" t="s">
        <v>114</v>
      </c>
      <c r="AD121" s="1" t="s">
        <v>279</v>
      </c>
      <c r="AE121" s="28" t="s">
        <v>114</v>
      </c>
      <c r="AF121" s="71" t="str">
        <f t="shared" si="4"/>
        <v>NC</v>
      </c>
      <c r="AG121" s="21" t="str">
        <f t="shared" si="3"/>
        <v>NÃO UTILIZOU O PDA</v>
      </c>
      <c r="AH121" s="1" t="s">
        <v>13</v>
      </c>
      <c r="AI121" s="29" t="str">
        <f t="shared" si="6"/>
        <v>GUARULHOS</v>
      </c>
      <c r="AJ121" s="32" t="s">
        <v>1</v>
      </c>
    </row>
    <row r="122" spans="1:36" ht="30" customHeight="1" x14ac:dyDescent="0.2">
      <c r="A122" s="83" t="s">
        <v>101</v>
      </c>
      <c r="B122" s="83">
        <v>2615141161</v>
      </c>
      <c r="C122" s="83" t="s">
        <v>71</v>
      </c>
      <c r="D122" s="83" t="s">
        <v>20</v>
      </c>
      <c r="E122" s="83" t="s">
        <v>102</v>
      </c>
      <c r="F122" s="83" t="s">
        <v>477</v>
      </c>
      <c r="G122" s="83">
        <v>105</v>
      </c>
      <c r="H122" s="83" t="s">
        <v>148</v>
      </c>
      <c r="I122" s="83" t="s">
        <v>479</v>
      </c>
      <c r="J122" s="83" t="s">
        <v>2586</v>
      </c>
      <c r="K122" s="83"/>
      <c r="L122" s="84" t="s">
        <v>577</v>
      </c>
      <c r="M122" s="84">
        <v>46299.519444444442</v>
      </c>
      <c r="N122" s="83" t="s">
        <v>2587</v>
      </c>
      <c r="O122" s="26" t="s">
        <v>108</v>
      </c>
      <c r="P122" s="1"/>
      <c r="Q122" s="28" t="s">
        <v>108</v>
      </c>
      <c r="R122" s="18"/>
      <c r="S122" s="28" t="s">
        <v>108</v>
      </c>
      <c r="T122" s="18"/>
      <c r="U122" s="28" t="s">
        <v>108</v>
      </c>
      <c r="V122" s="18"/>
      <c r="W122" s="28" t="s">
        <v>108</v>
      </c>
      <c r="X122" s="18"/>
      <c r="Y122" s="28" t="s">
        <v>108</v>
      </c>
      <c r="Z122" s="18"/>
      <c r="AA122" s="28" t="s">
        <v>108</v>
      </c>
      <c r="AB122" s="17"/>
      <c r="AC122" s="28" t="s">
        <v>108</v>
      </c>
      <c r="AD122" s="17"/>
      <c r="AE122" s="28" t="s">
        <v>108</v>
      </c>
      <c r="AF122" s="71" t="str">
        <f t="shared" si="4"/>
        <v>C</v>
      </c>
      <c r="AG122" s="21" t="str">
        <f t="shared" si="3"/>
        <v>UTILIZOU O PDA CORRETAMENTE</v>
      </c>
      <c r="AH122" s="1" t="s">
        <v>4</v>
      </c>
      <c r="AI122" s="29" t="str">
        <f t="shared" si="6"/>
        <v>GUARULHOS</v>
      </c>
      <c r="AJ122" s="32" t="s">
        <v>1</v>
      </c>
    </row>
    <row r="123" spans="1:36" ht="30" customHeight="1" x14ac:dyDescent="0.2">
      <c r="A123" s="83" t="s">
        <v>101</v>
      </c>
      <c r="B123" s="83">
        <v>2614505043</v>
      </c>
      <c r="C123" s="83" t="s">
        <v>68</v>
      </c>
      <c r="D123" s="83" t="s">
        <v>20</v>
      </c>
      <c r="E123" s="83" t="s">
        <v>102</v>
      </c>
      <c r="F123" s="83" t="s">
        <v>1754</v>
      </c>
      <c r="G123" s="83">
        <v>351</v>
      </c>
      <c r="H123" s="83" t="s">
        <v>110</v>
      </c>
      <c r="I123" s="83" t="s">
        <v>662</v>
      </c>
      <c r="J123" s="83" t="s">
        <v>2588</v>
      </c>
      <c r="K123" s="83" t="s">
        <v>117</v>
      </c>
      <c r="L123" s="84" t="s">
        <v>577</v>
      </c>
      <c r="M123" s="84">
        <v>46299.50277777778</v>
      </c>
      <c r="N123" s="83" t="s">
        <v>2587</v>
      </c>
      <c r="O123" s="26" t="s">
        <v>108</v>
      </c>
      <c r="P123" s="1"/>
      <c r="Q123" s="28" t="s">
        <v>108</v>
      </c>
      <c r="R123" s="18"/>
      <c r="S123" s="28" t="s">
        <v>108</v>
      </c>
      <c r="T123" s="18"/>
      <c r="U123" s="28" t="s">
        <v>108</v>
      </c>
      <c r="V123" s="18"/>
      <c r="W123" s="28" t="s">
        <v>108</v>
      </c>
      <c r="X123" s="18"/>
      <c r="Y123" s="28" t="s">
        <v>108</v>
      </c>
      <c r="Z123" s="18"/>
      <c r="AA123" s="28" t="s">
        <v>108</v>
      </c>
      <c r="AB123" s="17"/>
      <c r="AC123" s="28" t="s">
        <v>108</v>
      </c>
      <c r="AD123" s="17"/>
      <c r="AE123" s="28" t="s">
        <v>108</v>
      </c>
      <c r="AF123" s="71" t="str">
        <f t="shared" si="4"/>
        <v>C</v>
      </c>
      <c r="AG123" s="21" t="str">
        <f t="shared" si="3"/>
        <v>UTILIZOU O PDA CORRETAMENTE</v>
      </c>
      <c r="AH123" s="1" t="s">
        <v>13</v>
      </c>
      <c r="AI123" s="29" t="str">
        <f t="shared" si="6"/>
        <v>GUARULHOS</v>
      </c>
      <c r="AJ123" s="32" t="s">
        <v>1</v>
      </c>
    </row>
    <row r="124" spans="1:36" ht="30" customHeight="1" x14ac:dyDescent="0.2">
      <c r="A124" s="83" t="s">
        <v>101</v>
      </c>
      <c r="B124" s="83">
        <v>2614687859</v>
      </c>
      <c r="C124" s="83" t="s">
        <v>69</v>
      </c>
      <c r="D124" s="83" t="s">
        <v>20</v>
      </c>
      <c r="E124" s="83" t="s">
        <v>102</v>
      </c>
      <c r="F124" s="83" t="s">
        <v>503</v>
      </c>
      <c r="G124" s="83">
        <v>218</v>
      </c>
      <c r="H124" s="83" t="s">
        <v>504</v>
      </c>
      <c r="I124" s="83" t="s">
        <v>237</v>
      </c>
      <c r="J124" s="83" t="s">
        <v>2586</v>
      </c>
      <c r="K124" s="83"/>
      <c r="L124" s="84" t="s">
        <v>577</v>
      </c>
      <c r="M124" s="84">
        <v>46299.365972222222</v>
      </c>
      <c r="N124" s="83" t="s">
        <v>2587</v>
      </c>
      <c r="O124" s="26" t="s">
        <v>108</v>
      </c>
      <c r="P124" s="1"/>
      <c r="Q124" s="28" t="s">
        <v>108</v>
      </c>
      <c r="R124" s="18"/>
      <c r="S124" s="28" t="s">
        <v>108</v>
      </c>
      <c r="T124" s="18"/>
      <c r="U124" s="28" t="s">
        <v>108</v>
      </c>
      <c r="V124" s="18"/>
      <c r="W124" s="28" t="s">
        <v>108</v>
      </c>
      <c r="X124" s="18"/>
      <c r="Y124" s="28" t="s">
        <v>108</v>
      </c>
      <c r="Z124" s="18"/>
      <c r="AA124" s="28" t="s">
        <v>108</v>
      </c>
      <c r="AB124" s="17"/>
      <c r="AC124" s="28" t="s">
        <v>108</v>
      </c>
      <c r="AD124" s="17"/>
      <c r="AE124" s="28" t="s">
        <v>108</v>
      </c>
      <c r="AF124" s="71" t="str">
        <f t="shared" si="4"/>
        <v>C</v>
      </c>
      <c r="AG124" s="21" t="str">
        <f t="shared" si="3"/>
        <v>UTILIZOU O PDA CORRETAMENTE</v>
      </c>
      <c r="AH124" s="1" t="s">
        <v>4</v>
      </c>
      <c r="AI124" s="29" t="str">
        <f t="shared" si="6"/>
        <v>GUARULHOS</v>
      </c>
      <c r="AJ124" s="32" t="s">
        <v>1</v>
      </c>
    </row>
    <row r="125" spans="1:36" ht="30" customHeight="1" x14ac:dyDescent="0.2">
      <c r="A125" s="83" t="s">
        <v>101</v>
      </c>
      <c r="B125" s="83">
        <v>2614835616</v>
      </c>
      <c r="C125" s="83" t="s">
        <v>69</v>
      </c>
      <c r="D125" s="83" t="s">
        <v>20</v>
      </c>
      <c r="E125" s="83" t="s">
        <v>102</v>
      </c>
      <c r="F125" s="83" t="s">
        <v>206</v>
      </c>
      <c r="G125" s="83">
        <v>212</v>
      </c>
      <c r="H125" s="83" t="s">
        <v>117</v>
      </c>
      <c r="I125" s="83" t="s">
        <v>177</v>
      </c>
      <c r="J125" s="83" t="s">
        <v>2586</v>
      </c>
      <c r="K125" s="83" t="s">
        <v>117</v>
      </c>
      <c r="L125" s="84" t="s">
        <v>577</v>
      </c>
      <c r="M125" s="84">
        <v>46299.435416666667</v>
      </c>
      <c r="N125" s="83" t="s">
        <v>2587</v>
      </c>
      <c r="O125" s="26" t="s">
        <v>108</v>
      </c>
      <c r="P125" s="1"/>
      <c r="Q125" s="28" t="s">
        <v>108</v>
      </c>
      <c r="R125" s="18"/>
      <c r="S125" s="28" t="s">
        <v>108</v>
      </c>
      <c r="T125" s="18"/>
      <c r="U125" s="28" t="s">
        <v>108</v>
      </c>
      <c r="V125" s="18"/>
      <c r="W125" s="28" t="s">
        <v>108</v>
      </c>
      <c r="X125" s="18"/>
      <c r="Y125" s="28" t="s">
        <v>108</v>
      </c>
      <c r="Z125" s="18"/>
      <c r="AA125" s="28" t="s">
        <v>108</v>
      </c>
      <c r="AB125" s="17"/>
      <c r="AC125" s="28" t="s">
        <v>108</v>
      </c>
      <c r="AD125" s="17"/>
      <c r="AE125" s="28" t="s">
        <v>108</v>
      </c>
      <c r="AF125" s="71" t="str">
        <f t="shared" si="4"/>
        <v>C</v>
      </c>
      <c r="AG125" s="21" t="str">
        <f t="shared" si="3"/>
        <v>UTILIZOU O PDA CORRETAMENTE</v>
      </c>
      <c r="AH125" s="1" t="s">
        <v>13</v>
      </c>
      <c r="AI125" s="29" t="str">
        <f t="shared" si="6"/>
        <v>GUARULHOS</v>
      </c>
      <c r="AJ125" s="32" t="s">
        <v>1</v>
      </c>
    </row>
    <row r="126" spans="1:36" ht="30" customHeight="1" x14ac:dyDescent="0.2">
      <c r="A126" s="83" t="s">
        <v>101</v>
      </c>
      <c r="B126" s="83">
        <v>2615135974</v>
      </c>
      <c r="C126" s="83" t="s">
        <v>69</v>
      </c>
      <c r="D126" s="83" t="s">
        <v>20</v>
      </c>
      <c r="E126" s="83" t="s">
        <v>102</v>
      </c>
      <c r="F126" s="83" t="s">
        <v>534</v>
      </c>
      <c r="G126" s="83">
        <v>249</v>
      </c>
      <c r="H126" s="83" t="s">
        <v>1448</v>
      </c>
      <c r="I126" s="83" t="s">
        <v>154</v>
      </c>
      <c r="J126" s="83" t="s">
        <v>2586</v>
      </c>
      <c r="K126" s="83"/>
      <c r="L126" s="84" t="s">
        <v>577</v>
      </c>
      <c r="M126" s="84">
        <v>46299.486805555556</v>
      </c>
      <c r="N126" s="83" t="s">
        <v>2596</v>
      </c>
      <c r="O126" s="26" t="s">
        <v>108</v>
      </c>
      <c r="P126" s="1"/>
      <c r="Q126" s="28" t="s">
        <v>108</v>
      </c>
      <c r="R126" s="18"/>
      <c r="S126" s="28" t="s">
        <v>108</v>
      </c>
      <c r="T126" s="18"/>
      <c r="U126" s="28" t="s">
        <v>108</v>
      </c>
      <c r="V126" s="18"/>
      <c r="W126" s="28" t="s">
        <v>108</v>
      </c>
      <c r="X126" s="18"/>
      <c r="Y126" s="28" t="s">
        <v>108</v>
      </c>
      <c r="Z126" s="18"/>
      <c r="AA126" s="28" t="s">
        <v>108</v>
      </c>
      <c r="AB126" s="17"/>
      <c r="AC126" s="28" t="s">
        <v>108</v>
      </c>
      <c r="AD126" s="17"/>
      <c r="AE126" s="28" t="s">
        <v>108</v>
      </c>
      <c r="AF126" s="71" t="str">
        <f t="shared" si="4"/>
        <v>C</v>
      </c>
      <c r="AG126" s="21" t="str">
        <f t="shared" si="3"/>
        <v>UTILIZOU O PDA CORRETAMENTE</v>
      </c>
      <c r="AH126" s="1" t="s">
        <v>13</v>
      </c>
      <c r="AI126" s="29" t="str">
        <f t="shared" si="6"/>
        <v>GUARULHOS</v>
      </c>
      <c r="AJ126" s="32" t="s">
        <v>1</v>
      </c>
    </row>
    <row r="127" spans="1:36" ht="30" customHeight="1" x14ac:dyDescent="0.2">
      <c r="A127" s="83" t="s">
        <v>101</v>
      </c>
      <c r="B127" s="83">
        <v>2614824560</v>
      </c>
      <c r="C127" s="83" t="s">
        <v>69</v>
      </c>
      <c r="D127" s="83" t="s">
        <v>20</v>
      </c>
      <c r="E127" s="83" t="s">
        <v>102</v>
      </c>
      <c r="F127" s="83" t="s">
        <v>572</v>
      </c>
      <c r="G127" s="83">
        <v>133</v>
      </c>
      <c r="H127" s="83" t="s">
        <v>117</v>
      </c>
      <c r="I127" s="83" t="s">
        <v>162</v>
      </c>
      <c r="J127" s="83" t="s">
        <v>2586</v>
      </c>
      <c r="K127" s="83" t="s">
        <v>117</v>
      </c>
      <c r="L127" s="84" t="s">
        <v>577</v>
      </c>
      <c r="M127" s="84">
        <v>46299.361111111109</v>
      </c>
      <c r="N127" s="83" t="s">
        <v>2596</v>
      </c>
      <c r="O127" s="26" t="s">
        <v>108</v>
      </c>
      <c r="P127" s="1"/>
      <c r="Q127" s="28" t="s">
        <v>108</v>
      </c>
      <c r="R127" s="18"/>
      <c r="S127" s="28" t="s">
        <v>108</v>
      </c>
      <c r="T127" s="18"/>
      <c r="U127" s="28" t="s">
        <v>108</v>
      </c>
      <c r="V127" s="18"/>
      <c r="W127" s="28" t="s">
        <v>108</v>
      </c>
      <c r="X127" s="18"/>
      <c r="Y127" s="28" t="s">
        <v>108</v>
      </c>
      <c r="Z127" s="18"/>
      <c r="AA127" s="28" t="s">
        <v>108</v>
      </c>
      <c r="AB127" s="17"/>
      <c r="AC127" s="28" t="s">
        <v>108</v>
      </c>
      <c r="AD127" s="17"/>
      <c r="AE127" s="28" t="s">
        <v>108</v>
      </c>
      <c r="AF127" s="71" t="str">
        <f t="shared" si="4"/>
        <v>C</v>
      </c>
      <c r="AG127" s="21" t="str">
        <f t="shared" si="3"/>
        <v>UTILIZOU O PDA CORRETAMENTE</v>
      </c>
      <c r="AH127" s="1" t="s">
        <v>4</v>
      </c>
      <c r="AI127" s="29" t="str">
        <f t="shared" si="6"/>
        <v>GUARULHOS</v>
      </c>
      <c r="AJ127" s="32" t="s">
        <v>1</v>
      </c>
    </row>
    <row r="128" spans="1:36" ht="30" customHeight="1" x14ac:dyDescent="0.2">
      <c r="A128" s="83" t="s">
        <v>101</v>
      </c>
      <c r="B128" s="83">
        <v>2614815931</v>
      </c>
      <c r="C128" s="83" t="s">
        <v>68</v>
      </c>
      <c r="D128" s="83" t="s">
        <v>20</v>
      </c>
      <c r="E128" s="83" t="s">
        <v>102</v>
      </c>
      <c r="F128" s="83" t="s">
        <v>525</v>
      </c>
      <c r="G128" s="83">
        <v>617</v>
      </c>
      <c r="H128" s="83" t="s">
        <v>526</v>
      </c>
      <c r="I128" s="83" t="s">
        <v>204</v>
      </c>
      <c r="J128" s="83" t="s">
        <v>2588</v>
      </c>
      <c r="K128" s="83"/>
      <c r="L128" s="84" t="s">
        <v>577</v>
      </c>
      <c r="M128" s="84">
        <v>46299.509027777778</v>
      </c>
      <c r="N128" s="83" t="s">
        <v>2596</v>
      </c>
      <c r="O128" s="26" t="s">
        <v>108</v>
      </c>
      <c r="P128" s="1"/>
      <c r="Q128" s="28" t="s">
        <v>108</v>
      </c>
      <c r="R128" s="18"/>
      <c r="S128" s="28" t="s">
        <v>108</v>
      </c>
      <c r="T128" s="18"/>
      <c r="U128" s="28" t="s">
        <v>108</v>
      </c>
      <c r="V128" s="18"/>
      <c r="W128" s="28" t="s">
        <v>108</v>
      </c>
      <c r="X128" s="18"/>
      <c r="Y128" s="28" t="s">
        <v>108</v>
      </c>
      <c r="Z128" s="18"/>
      <c r="AA128" s="28" t="s">
        <v>108</v>
      </c>
      <c r="AB128" s="17"/>
      <c r="AC128" s="28" t="s">
        <v>108</v>
      </c>
      <c r="AD128" s="17"/>
      <c r="AE128" s="28" t="s">
        <v>108</v>
      </c>
      <c r="AF128" s="71" t="str">
        <f t="shared" si="4"/>
        <v>C</v>
      </c>
      <c r="AG128" s="21" t="str">
        <f t="shared" si="3"/>
        <v>UTILIZOU O PDA CORRETAMENTE</v>
      </c>
      <c r="AH128" s="1" t="s">
        <v>4</v>
      </c>
      <c r="AI128" s="29" t="str">
        <f t="shared" si="6"/>
        <v>GUARULHOS</v>
      </c>
      <c r="AJ128" s="32" t="s">
        <v>1</v>
      </c>
    </row>
    <row r="129" spans="1:36" ht="30" customHeight="1" x14ac:dyDescent="0.2">
      <c r="A129" s="83" t="s">
        <v>101</v>
      </c>
      <c r="B129" s="83">
        <v>2614843548</v>
      </c>
      <c r="C129" s="83" t="s">
        <v>68</v>
      </c>
      <c r="D129" s="83" t="s">
        <v>20</v>
      </c>
      <c r="E129" s="83" t="s">
        <v>102</v>
      </c>
      <c r="F129" s="83" t="s">
        <v>535</v>
      </c>
      <c r="G129" s="83">
        <v>124</v>
      </c>
      <c r="H129" s="83" t="s">
        <v>174</v>
      </c>
      <c r="I129" s="83" t="s">
        <v>536</v>
      </c>
      <c r="J129" s="83" t="s">
        <v>2588</v>
      </c>
      <c r="K129" s="83" t="s">
        <v>117</v>
      </c>
      <c r="L129" s="84" t="s">
        <v>577</v>
      </c>
      <c r="M129" s="84">
        <v>46299.379166666666</v>
      </c>
      <c r="N129" s="83" t="s">
        <v>2596</v>
      </c>
      <c r="O129" s="26" t="s">
        <v>108</v>
      </c>
      <c r="P129" s="1"/>
      <c r="Q129" s="28" t="s">
        <v>108</v>
      </c>
      <c r="R129" s="18"/>
      <c r="S129" s="28" t="s">
        <v>108</v>
      </c>
      <c r="T129" s="18"/>
      <c r="U129" s="28" t="s">
        <v>108</v>
      </c>
      <c r="V129" s="18"/>
      <c r="W129" s="28" t="s">
        <v>108</v>
      </c>
      <c r="X129" s="18"/>
      <c r="Y129" s="28" t="s">
        <v>108</v>
      </c>
      <c r="Z129" s="18"/>
      <c r="AA129" s="28" t="s">
        <v>108</v>
      </c>
      <c r="AB129" s="17"/>
      <c r="AC129" s="28" t="s">
        <v>108</v>
      </c>
      <c r="AD129" s="17"/>
      <c r="AE129" s="28" t="s">
        <v>108</v>
      </c>
      <c r="AF129" s="71" t="str">
        <f t="shared" si="4"/>
        <v>C</v>
      </c>
      <c r="AG129" s="21" t="str">
        <f t="shared" si="3"/>
        <v>UTILIZOU O PDA CORRETAMENTE</v>
      </c>
      <c r="AH129" s="1" t="s">
        <v>4</v>
      </c>
      <c r="AI129" s="29" t="str">
        <f t="shared" si="6"/>
        <v>GUARULHOS</v>
      </c>
      <c r="AJ129" s="32" t="s">
        <v>1</v>
      </c>
    </row>
    <row r="130" spans="1:36" ht="30" customHeight="1" x14ac:dyDescent="0.2">
      <c r="A130" s="83" t="s">
        <v>101</v>
      </c>
      <c r="B130" s="83">
        <v>2614802195</v>
      </c>
      <c r="C130" s="83" t="s">
        <v>70</v>
      </c>
      <c r="D130" s="83" t="s">
        <v>20</v>
      </c>
      <c r="E130" s="83" t="s">
        <v>102</v>
      </c>
      <c r="F130" s="83" t="s">
        <v>125</v>
      </c>
      <c r="G130" s="83">
        <v>221</v>
      </c>
      <c r="H130" s="83"/>
      <c r="I130" s="83" t="s">
        <v>127</v>
      </c>
      <c r="J130" s="83" t="s">
        <v>2588</v>
      </c>
      <c r="K130" s="83"/>
      <c r="L130" s="84" t="s">
        <v>577</v>
      </c>
      <c r="M130" s="84">
        <v>46299.410416666666</v>
      </c>
      <c r="N130" s="83" t="s">
        <v>2596</v>
      </c>
      <c r="O130" s="26" t="s">
        <v>108</v>
      </c>
      <c r="P130" s="1"/>
      <c r="Q130" s="28" t="s">
        <v>108</v>
      </c>
      <c r="R130" s="18"/>
      <c r="S130" s="28" t="s">
        <v>108</v>
      </c>
      <c r="T130" s="18"/>
      <c r="U130" s="28" t="s">
        <v>108</v>
      </c>
      <c r="V130" s="18"/>
      <c r="W130" s="28" t="s">
        <v>108</v>
      </c>
      <c r="X130" s="18"/>
      <c r="Y130" s="28" t="s">
        <v>108</v>
      </c>
      <c r="Z130" s="18"/>
      <c r="AA130" s="28" t="s">
        <v>108</v>
      </c>
      <c r="AB130" s="17"/>
      <c r="AC130" s="28" t="s">
        <v>108</v>
      </c>
      <c r="AD130" s="17"/>
      <c r="AE130" s="28" t="s">
        <v>108</v>
      </c>
      <c r="AF130" s="71" t="str">
        <f t="shared" si="4"/>
        <v>C</v>
      </c>
      <c r="AG130" s="21" t="str">
        <f t="shared" ref="AG130:AG152" si="7">IF(AND(AE130="C",AF130="C"),"UTILIZOU O PDA CORRETAMENTE",IF(AND(AE130="C",AF130="NC"),"UTILIZOU O PDA CORRETAMENTE. NÃO HÁ FOTOS DE TODAS AS ETAPAS",IF(AND(AE130="NC",AF130="NC"),"NÃO UTILIZOU O PDA",IF(AND(AE130="NA",AF130="NA"),"NÃO AVALIADO POR FALHA DE SINCRONISMO"))))</f>
        <v>UTILIZOU O PDA CORRETAMENTE</v>
      </c>
      <c r="AH130" s="1" t="s">
        <v>4</v>
      </c>
      <c r="AI130" s="29" t="str">
        <f t="shared" si="6"/>
        <v>GUARULHOS</v>
      </c>
      <c r="AJ130" s="32" t="s">
        <v>1</v>
      </c>
    </row>
    <row r="131" spans="1:36" ht="30" customHeight="1" x14ac:dyDescent="0.2">
      <c r="A131" s="83" t="s">
        <v>101</v>
      </c>
      <c r="B131" s="83">
        <v>2614659764</v>
      </c>
      <c r="C131" s="83" t="s">
        <v>68</v>
      </c>
      <c r="D131" s="83" t="s">
        <v>20</v>
      </c>
      <c r="E131" s="83" t="s">
        <v>102</v>
      </c>
      <c r="F131" s="83" t="s">
        <v>487</v>
      </c>
      <c r="G131" s="83">
        <v>48</v>
      </c>
      <c r="H131" s="83" t="s">
        <v>488</v>
      </c>
      <c r="I131" s="83" t="s">
        <v>345</v>
      </c>
      <c r="J131" s="83" t="s">
        <v>2588</v>
      </c>
      <c r="K131" s="83" t="s">
        <v>117</v>
      </c>
      <c r="L131" s="84" t="s">
        <v>577</v>
      </c>
      <c r="M131" s="84">
        <v>46299.393055555556</v>
      </c>
      <c r="N131" s="83" t="s">
        <v>2596</v>
      </c>
      <c r="O131" s="26" t="s">
        <v>108</v>
      </c>
      <c r="P131" s="1"/>
      <c r="Q131" s="28" t="s">
        <v>108</v>
      </c>
      <c r="R131" s="18"/>
      <c r="S131" s="28" t="s">
        <v>108</v>
      </c>
      <c r="T131" s="18"/>
      <c r="U131" s="28" t="s">
        <v>108</v>
      </c>
      <c r="V131" s="18"/>
      <c r="W131" s="28" t="s">
        <v>108</v>
      </c>
      <c r="X131" s="18"/>
      <c r="Y131" s="28" t="s">
        <v>108</v>
      </c>
      <c r="Z131" s="18"/>
      <c r="AA131" s="28" t="s">
        <v>108</v>
      </c>
      <c r="AB131" s="17"/>
      <c r="AC131" s="28" t="s">
        <v>108</v>
      </c>
      <c r="AD131" s="17"/>
      <c r="AE131" s="28" t="s">
        <v>108</v>
      </c>
      <c r="AF131" s="71" t="str">
        <f t="shared" ref="AF131:AF152" si="8">IF(AND(O131="",Q131="",S131="",U131="",W131="",Y131="",AA131="",AC131=""),"",
IF(OR(    AND(O131&lt;&gt;"NA",O131&lt;&gt;"C",O131&lt;&gt;"NC",O131&lt;&gt;"SF",O131&lt;&gt;""),
    AND(Q131&lt;&gt;"NA",Q131&lt;&gt;"C",Q131&lt;&gt;"NC",Q131&lt;&gt;"SF",Q131&lt;&gt;""),
    AND(S131&lt;&gt;"NA",S131&lt;&gt;"C",S131&lt;&gt;"NC",S131&lt;&gt;"SF",S131&lt;&gt;""),
    AND(U131&lt;&gt;"NA",U131&lt;&gt;"C",U131&lt;&gt;"NC",U131&lt;&gt;"SF",U131&lt;&gt;""),
    AND(W131&lt;&gt;"NA",W131&lt;&gt;"C",W131&lt;&gt;"NC",W131&lt;&gt;"SF",W131&lt;&gt;""),
    AND(Y131&lt;&gt;"NA",Y131&lt;&gt;"C",Y131&lt;&gt;"NC",Y131&lt;&gt;"SF",Y131&lt;&gt;""),
    AND(AA131&lt;&gt;"NA",AA131&lt;&gt;"C",AA131&lt;&gt;"NC",AA131&lt;&gt;"SF",AA131&lt;&gt;""),
    AND(AC131&lt;&gt;"NA",AC131&lt;&gt;"C",AC131&lt;&gt;"NC",AC131&lt;&gt;"SF",AC131&lt;&gt;"")
),"FALSO",
IF(AND(O131="NA",Q131="NA",S131="NA",U131="NA",W131="NA",Y131="NA",AA131="NA",AC131="NA"),"NA",
IF(OR(O131="NC",Q131="NC",S131="NC",U131="NC",W131="NC",Y131="NC",AA131="NC",AC131="NC",
       O131="SF",Q131="SF",S131="SF",U131="SF",W131="SF",Y131="SF",AA131="SF",AC131="SF"),"NC",
IF(SUM(IF(O131="C",1,0),IF(Q131="C",1,0),IF(S131="C",1,0),IF(U131="C",1,0),IF(W131="C",1,0),IF(Y131="C",1,0),IF(AA131="C",1,0),IF(AC131="C",1,0))=1,"C","C")))))</f>
        <v>C</v>
      </c>
      <c r="AG131" s="21" t="str">
        <f t="shared" si="7"/>
        <v>UTILIZOU O PDA CORRETAMENTE</v>
      </c>
      <c r="AH131" s="1" t="s">
        <v>4</v>
      </c>
      <c r="AI131" s="29" t="str">
        <f t="shared" si="6"/>
        <v>GUARULHOS</v>
      </c>
      <c r="AJ131" s="32" t="s">
        <v>1</v>
      </c>
    </row>
    <row r="132" spans="1:36" ht="30" customHeight="1" x14ac:dyDescent="0.2">
      <c r="A132" s="83" t="s">
        <v>101</v>
      </c>
      <c r="B132" s="83">
        <v>2615092098</v>
      </c>
      <c r="C132" s="83" t="s">
        <v>71</v>
      </c>
      <c r="D132" s="83" t="s">
        <v>20</v>
      </c>
      <c r="E132" s="83" t="s">
        <v>102</v>
      </c>
      <c r="F132" s="83" t="s">
        <v>501</v>
      </c>
      <c r="G132" s="83">
        <v>14</v>
      </c>
      <c r="H132" s="83" t="s">
        <v>366</v>
      </c>
      <c r="I132" s="83" t="s">
        <v>340</v>
      </c>
      <c r="J132" s="83" t="s">
        <v>2586</v>
      </c>
      <c r="K132" s="83"/>
      <c r="L132" s="84" t="s">
        <v>577</v>
      </c>
      <c r="M132" s="84">
        <v>46299.341666666667</v>
      </c>
      <c r="N132" s="83" t="s">
        <v>2596</v>
      </c>
      <c r="O132" s="26" t="s">
        <v>108</v>
      </c>
      <c r="P132" s="1"/>
      <c r="Q132" s="28" t="s">
        <v>108</v>
      </c>
      <c r="R132" s="18"/>
      <c r="S132" s="28" t="s">
        <v>108</v>
      </c>
      <c r="T132" s="18"/>
      <c r="U132" s="28" t="s">
        <v>108</v>
      </c>
      <c r="V132" s="18"/>
      <c r="W132" s="28" t="s">
        <v>108</v>
      </c>
      <c r="X132" s="18"/>
      <c r="Y132" s="28" t="s">
        <v>108</v>
      </c>
      <c r="Z132" s="18"/>
      <c r="AA132" s="28" t="s">
        <v>108</v>
      </c>
      <c r="AB132" s="17"/>
      <c r="AC132" s="28" t="s">
        <v>108</v>
      </c>
      <c r="AD132" s="17"/>
      <c r="AE132" s="28" t="s">
        <v>108</v>
      </c>
      <c r="AF132" s="71" t="str">
        <f t="shared" si="8"/>
        <v>C</v>
      </c>
      <c r="AG132" s="21" t="str">
        <f t="shared" si="7"/>
        <v>UTILIZOU O PDA CORRETAMENTE</v>
      </c>
      <c r="AH132" s="1" t="s">
        <v>13</v>
      </c>
      <c r="AI132" s="29" t="str">
        <f t="shared" si="6"/>
        <v>GUARULHOS</v>
      </c>
      <c r="AJ132" s="32" t="s">
        <v>1</v>
      </c>
    </row>
    <row r="133" spans="1:36" ht="30" customHeight="1" x14ac:dyDescent="0.2">
      <c r="A133" s="83" t="s">
        <v>101</v>
      </c>
      <c r="B133" s="83">
        <v>2614623992</v>
      </c>
      <c r="C133" s="83" t="s">
        <v>68</v>
      </c>
      <c r="D133" s="83" t="s">
        <v>20</v>
      </c>
      <c r="E133" s="83" t="s">
        <v>102</v>
      </c>
      <c r="F133" s="83" t="s">
        <v>465</v>
      </c>
      <c r="G133" s="83">
        <v>46</v>
      </c>
      <c r="H133" s="83" t="s">
        <v>117</v>
      </c>
      <c r="I133" s="83" t="s">
        <v>459</v>
      </c>
      <c r="J133" s="83" t="s">
        <v>2588</v>
      </c>
      <c r="K133" s="83" t="s">
        <v>117</v>
      </c>
      <c r="L133" s="84" t="s">
        <v>577</v>
      </c>
      <c r="M133" s="84">
        <v>46299.459027777775</v>
      </c>
      <c r="N133" s="83" t="s">
        <v>2596</v>
      </c>
      <c r="O133" s="26" t="s">
        <v>108</v>
      </c>
      <c r="P133" s="1"/>
      <c r="Q133" s="28" t="s">
        <v>108</v>
      </c>
      <c r="R133" s="18"/>
      <c r="S133" s="28" t="s">
        <v>108</v>
      </c>
      <c r="T133" s="18"/>
      <c r="U133" s="28" t="s">
        <v>108</v>
      </c>
      <c r="V133" s="18"/>
      <c r="W133" s="28" t="s">
        <v>108</v>
      </c>
      <c r="X133" s="18"/>
      <c r="Y133" s="28" t="s">
        <v>108</v>
      </c>
      <c r="Z133" s="18"/>
      <c r="AA133" s="28" t="s">
        <v>108</v>
      </c>
      <c r="AB133" s="17"/>
      <c r="AC133" s="28" t="s">
        <v>108</v>
      </c>
      <c r="AD133" s="17"/>
      <c r="AE133" s="28" t="s">
        <v>108</v>
      </c>
      <c r="AF133" s="71" t="str">
        <f t="shared" si="8"/>
        <v>C</v>
      </c>
      <c r="AG133" s="21" t="str">
        <f t="shared" si="7"/>
        <v>UTILIZOU O PDA CORRETAMENTE</v>
      </c>
      <c r="AH133" s="1" t="s">
        <v>4</v>
      </c>
      <c r="AI133" s="29" t="str">
        <f t="shared" si="6"/>
        <v>GUARULHOS</v>
      </c>
      <c r="AJ133" s="32" t="s">
        <v>1</v>
      </c>
    </row>
    <row r="134" spans="1:36" ht="30" customHeight="1" x14ac:dyDescent="0.2">
      <c r="A134" s="83" t="s">
        <v>101</v>
      </c>
      <c r="B134" s="83">
        <v>2614604735</v>
      </c>
      <c r="C134" s="83" t="s">
        <v>70</v>
      </c>
      <c r="D134" s="83" t="s">
        <v>20</v>
      </c>
      <c r="E134" s="83" t="s">
        <v>102</v>
      </c>
      <c r="F134" s="83" t="s">
        <v>458</v>
      </c>
      <c r="G134" s="83">
        <v>64</v>
      </c>
      <c r="H134" s="83" t="s">
        <v>110</v>
      </c>
      <c r="I134" s="83" t="s">
        <v>459</v>
      </c>
      <c r="J134" s="83" t="s">
        <v>2588</v>
      </c>
      <c r="K134" s="83"/>
      <c r="L134" s="84" t="s">
        <v>577</v>
      </c>
      <c r="M134" s="84">
        <v>46299.493750000001</v>
      </c>
      <c r="N134" s="83" t="s">
        <v>2596</v>
      </c>
      <c r="O134" s="26" t="s">
        <v>108</v>
      </c>
      <c r="P134" s="1"/>
      <c r="Q134" s="28" t="s">
        <v>108</v>
      </c>
      <c r="R134" s="18"/>
      <c r="S134" s="28" t="s">
        <v>108</v>
      </c>
      <c r="T134" s="18"/>
      <c r="U134" s="28" t="s">
        <v>108</v>
      </c>
      <c r="V134" s="18"/>
      <c r="W134" s="28" t="s">
        <v>108</v>
      </c>
      <c r="X134" s="18"/>
      <c r="Y134" s="28" t="s">
        <v>108</v>
      </c>
      <c r="Z134" s="18"/>
      <c r="AA134" s="28" t="s">
        <v>108</v>
      </c>
      <c r="AB134" s="17"/>
      <c r="AC134" s="28" t="s">
        <v>108</v>
      </c>
      <c r="AD134" s="17"/>
      <c r="AE134" s="28" t="s">
        <v>108</v>
      </c>
      <c r="AF134" s="71" t="str">
        <f t="shared" si="8"/>
        <v>C</v>
      </c>
      <c r="AG134" s="21" t="str">
        <f t="shared" si="7"/>
        <v>UTILIZOU O PDA CORRETAMENTE</v>
      </c>
      <c r="AH134" s="1" t="s">
        <v>4</v>
      </c>
      <c r="AI134" s="29" t="str">
        <f t="shared" si="6"/>
        <v>GUARULHOS</v>
      </c>
      <c r="AJ134" s="32" t="s">
        <v>1</v>
      </c>
    </row>
    <row r="135" spans="1:36" ht="30" customHeight="1" x14ac:dyDescent="0.2">
      <c r="A135" s="83" t="s">
        <v>101</v>
      </c>
      <c r="B135" s="83">
        <v>2614645951</v>
      </c>
      <c r="C135" s="83" t="s">
        <v>69</v>
      </c>
      <c r="D135" s="83" t="s">
        <v>20</v>
      </c>
      <c r="E135" s="83" t="s">
        <v>102</v>
      </c>
      <c r="F135" s="83" t="s">
        <v>465</v>
      </c>
      <c r="G135" s="83">
        <v>46</v>
      </c>
      <c r="H135" s="83" t="s">
        <v>117</v>
      </c>
      <c r="I135" s="83" t="s">
        <v>459</v>
      </c>
      <c r="J135" s="83" t="s">
        <v>2586</v>
      </c>
      <c r="K135" s="83" t="s">
        <v>117</v>
      </c>
      <c r="L135" s="84" t="s">
        <v>577</v>
      </c>
      <c r="M135" s="84">
        <v>46299.495138888888</v>
      </c>
      <c r="N135" s="83" t="s">
        <v>2596</v>
      </c>
      <c r="O135" s="26" t="s">
        <v>108</v>
      </c>
      <c r="P135" s="1"/>
      <c r="Q135" s="28" t="s">
        <v>108</v>
      </c>
      <c r="R135" s="18"/>
      <c r="S135" s="28" t="s">
        <v>108</v>
      </c>
      <c r="T135" s="18"/>
      <c r="U135" s="28" t="s">
        <v>108</v>
      </c>
      <c r="V135" s="18"/>
      <c r="W135" s="28" t="s">
        <v>108</v>
      </c>
      <c r="X135" s="18"/>
      <c r="Y135" s="28" t="s">
        <v>108</v>
      </c>
      <c r="Z135" s="18"/>
      <c r="AA135" s="28" t="s">
        <v>108</v>
      </c>
      <c r="AB135" s="17"/>
      <c r="AC135" s="28" t="s">
        <v>108</v>
      </c>
      <c r="AD135" s="17"/>
      <c r="AE135" s="28" t="s">
        <v>108</v>
      </c>
      <c r="AF135" s="71" t="str">
        <f t="shared" si="8"/>
        <v>C</v>
      </c>
      <c r="AG135" s="21" t="str">
        <f t="shared" si="7"/>
        <v>UTILIZOU O PDA CORRETAMENTE</v>
      </c>
      <c r="AH135" s="1" t="s">
        <v>4</v>
      </c>
      <c r="AI135" s="29" t="str">
        <f t="shared" si="6"/>
        <v>GUARULHOS</v>
      </c>
      <c r="AJ135" s="32" t="s">
        <v>1</v>
      </c>
    </row>
    <row r="136" spans="1:36" ht="30" customHeight="1" x14ac:dyDescent="0.2">
      <c r="A136" s="83" t="s">
        <v>101</v>
      </c>
      <c r="B136" s="83">
        <v>2611251030</v>
      </c>
      <c r="C136" s="83" t="s">
        <v>69</v>
      </c>
      <c r="D136" s="83" t="s">
        <v>20</v>
      </c>
      <c r="E136" s="83" t="s">
        <v>102</v>
      </c>
      <c r="F136" s="83" t="s">
        <v>543</v>
      </c>
      <c r="G136" s="83">
        <v>806</v>
      </c>
      <c r="H136" s="83" t="s">
        <v>544</v>
      </c>
      <c r="I136" s="83" t="s">
        <v>382</v>
      </c>
      <c r="J136" s="83" t="s">
        <v>2586</v>
      </c>
      <c r="K136" s="83"/>
      <c r="L136" s="84" t="s">
        <v>585</v>
      </c>
      <c r="M136" s="84">
        <v>46330.510416666664</v>
      </c>
      <c r="N136" s="83" t="s">
        <v>2603</v>
      </c>
      <c r="O136" s="26" t="s">
        <v>114</v>
      </c>
      <c r="P136" s="1" t="s">
        <v>279</v>
      </c>
      <c r="Q136" s="28" t="s">
        <v>114</v>
      </c>
      <c r="R136" s="18" t="s">
        <v>279</v>
      </c>
      <c r="S136" s="28" t="s">
        <v>114</v>
      </c>
      <c r="T136" s="18" t="s">
        <v>279</v>
      </c>
      <c r="U136" s="28" t="s">
        <v>114</v>
      </c>
      <c r="V136" s="18" t="s">
        <v>279</v>
      </c>
      <c r="W136" s="28" t="s">
        <v>114</v>
      </c>
      <c r="X136" s="18" t="s">
        <v>279</v>
      </c>
      <c r="Y136" s="28" t="s">
        <v>114</v>
      </c>
      <c r="Z136" s="18" t="s">
        <v>279</v>
      </c>
      <c r="AA136" s="28" t="s">
        <v>114</v>
      </c>
      <c r="AB136" s="17" t="s">
        <v>279</v>
      </c>
      <c r="AC136" s="28" t="s">
        <v>114</v>
      </c>
      <c r="AD136" s="17" t="s">
        <v>279</v>
      </c>
      <c r="AE136" s="28" t="s">
        <v>114</v>
      </c>
      <c r="AF136" s="71" t="str">
        <f t="shared" si="8"/>
        <v>NC</v>
      </c>
      <c r="AG136" s="21" t="str">
        <f t="shared" si="7"/>
        <v>NÃO UTILIZOU O PDA</v>
      </c>
      <c r="AH136" s="1" t="s">
        <v>4</v>
      </c>
      <c r="AI136" s="29" t="str">
        <f t="shared" si="6"/>
        <v>GUARULHOS</v>
      </c>
      <c r="AJ136" s="32" t="s">
        <v>1</v>
      </c>
    </row>
    <row r="137" spans="1:36" ht="30" customHeight="1" x14ac:dyDescent="0.2">
      <c r="A137" s="83" t="s">
        <v>101</v>
      </c>
      <c r="B137" s="83">
        <v>2615099691</v>
      </c>
      <c r="C137" s="83" t="s">
        <v>68</v>
      </c>
      <c r="D137" s="83" t="s">
        <v>20</v>
      </c>
      <c r="E137" s="83" t="s">
        <v>102</v>
      </c>
      <c r="F137" s="83" t="s">
        <v>551</v>
      </c>
      <c r="G137" s="83">
        <v>109</v>
      </c>
      <c r="H137" s="83" t="s">
        <v>552</v>
      </c>
      <c r="I137" s="83" t="s">
        <v>264</v>
      </c>
      <c r="J137" s="83" t="s">
        <v>2588</v>
      </c>
      <c r="K137" s="83" t="s">
        <v>117</v>
      </c>
      <c r="L137" s="84" t="s">
        <v>585</v>
      </c>
      <c r="M137" s="84">
        <v>46330.425000000003</v>
      </c>
      <c r="N137" s="83" t="s">
        <v>2603</v>
      </c>
      <c r="O137" s="26" t="s">
        <v>114</v>
      </c>
      <c r="P137" s="1" t="s">
        <v>279</v>
      </c>
      <c r="Q137" s="28" t="s">
        <v>114</v>
      </c>
      <c r="R137" s="18" t="s">
        <v>279</v>
      </c>
      <c r="S137" s="28" t="s">
        <v>114</v>
      </c>
      <c r="T137" s="18" t="s">
        <v>279</v>
      </c>
      <c r="U137" s="28" t="s">
        <v>114</v>
      </c>
      <c r="V137" s="18" t="s">
        <v>279</v>
      </c>
      <c r="W137" s="28" t="s">
        <v>114</v>
      </c>
      <c r="X137" s="18" t="s">
        <v>279</v>
      </c>
      <c r="Y137" s="28" t="s">
        <v>114</v>
      </c>
      <c r="Z137" s="18" t="s">
        <v>279</v>
      </c>
      <c r="AA137" s="28" t="s">
        <v>114</v>
      </c>
      <c r="AB137" s="17" t="s">
        <v>279</v>
      </c>
      <c r="AC137" s="28" t="s">
        <v>114</v>
      </c>
      <c r="AD137" s="17" t="s">
        <v>279</v>
      </c>
      <c r="AE137" s="28" t="s">
        <v>114</v>
      </c>
      <c r="AF137" s="71" t="str">
        <f t="shared" si="8"/>
        <v>NC</v>
      </c>
      <c r="AG137" s="21" t="str">
        <f t="shared" si="7"/>
        <v>NÃO UTILIZOU O PDA</v>
      </c>
      <c r="AH137" s="1" t="s">
        <v>4</v>
      </c>
      <c r="AI137" s="29" t="str">
        <f t="shared" si="6"/>
        <v>GUARULHOS</v>
      </c>
      <c r="AJ137" s="32" t="s">
        <v>1</v>
      </c>
    </row>
    <row r="138" spans="1:36" ht="30" customHeight="1" x14ac:dyDescent="0.2">
      <c r="A138" s="83" t="s">
        <v>101</v>
      </c>
      <c r="B138" s="83">
        <v>2615106896</v>
      </c>
      <c r="C138" s="83" t="s">
        <v>68</v>
      </c>
      <c r="D138" s="83" t="s">
        <v>20</v>
      </c>
      <c r="E138" s="83" t="s">
        <v>102</v>
      </c>
      <c r="F138" s="83" t="s">
        <v>565</v>
      </c>
      <c r="G138" s="83">
        <v>564</v>
      </c>
      <c r="H138" s="83"/>
      <c r="I138" s="83" t="s">
        <v>566</v>
      </c>
      <c r="J138" s="83" t="s">
        <v>2588</v>
      </c>
      <c r="K138" s="83"/>
      <c r="L138" s="84" t="s">
        <v>585</v>
      </c>
      <c r="M138" s="84">
        <v>46330.40902777778</v>
      </c>
      <c r="N138" s="83" t="s">
        <v>2603</v>
      </c>
      <c r="O138" s="26" t="s">
        <v>114</v>
      </c>
      <c r="P138" s="1" t="s">
        <v>279</v>
      </c>
      <c r="Q138" s="28" t="s">
        <v>114</v>
      </c>
      <c r="R138" s="18" t="s">
        <v>279</v>
      </c>
      <c r="S138" s="28" t="s">
        <v>114</v>
      </c>
      <c r="T138" s="18" t="s">
        <v>279</v>
      </c>
      <c r="U138" s="28" t="s">
        <v>114</v>
      </c>
      <c r="V138" s="18" t="s">
        <v>279</v>
      </c>
      <c r="W138" s="28" t="s">
        <v>114</v>
      </c>
      <c r="X138" s="18" t="s">
        <v>279</v>
      </c>
      <c r="Y138" s="28" t="s">
        <v>114</v>
      </c>
      <c r="Z138" s="18" t="s">
        <v>279</v>
      </c>
      <c r="AA138" s="28" t="s">
        <v>114</v>
      </c>
      <c r="AB138" s="17" t="s">
        <v>279</v>
      </c>
      <c r="AC138" s="28" t="s">
        <v>114</v>
      </c>
      <c r="AD138" s="17" t="s">
        <v>279</v>
      </c>
      <c r="AE138" s="28" t="s">
        <v>114</v>
      </c>
      <c r="AF138" s="71" t="str">
        <f t="shared" si="8"/>
        <v>NC</v>
      </c>
      <c r="AG138" s="21" t="str">
        <f t="shared" si="7"/>
        <v>NÃO UTILIZOU O PDA</v>
      </c>
      <c r="AH138" s="1" t="s">
        <v>4</v>
      </c>
      <c r="AI138" s="29" t="str">
        <f t="shared" si="6"/>
        <v>GUARULHOS</v>
      </c>
      <c r="AJ138" s="32" t="s">
        <v>1</v>
      </c>
    </row>
    <row r="139" spans="1:36" ht="30" customHeight="1" x14ac:dyDescent="0.2">
      <c r="A139" s="83" t="s">
        <v>101</v>
      </c>
      <c r="B139" s="83">
        <v>2615091032</v>
      </c>
      <c r="C139" s="83" t="s">
        <v>68</v>
      </c>
      <c r="D139" s="83" t="s">
        <v>20</v>
      </c>
      <c r="E139" s="83" t="s">
        <v>102</v>
      </c>
      <c r="F139" s="83" t="s">
        <v>573</v>
      </c>
      <c r="G139" s="83">
        <v>120</v>
      </c>
      <c r="H139" s="83" t="s">
        <v>574</v>
      </c>
      <c r="I139" s="83" t="s">
        <v>247</v>
      </c>
      <c r="J139" s="83" t="s">
        <v>2588</v>
      </c>
      <c r="K139" s="83" t="s">
        <v>117</v>
      </c>
      <c r="L139" s="84" t="s">
        <v>585</v>
      </c>
      <c r="M139" s="84">
        <v>46330.393750000003</v>
      </c>
      <c r="N139" s="83" t="s">
        <v>2603</v>
      </c>
      <c r="O139" s="26" t="s">
        <v>114</v>
      </c>
      <c r="P139" s="1" t="s">
        <v>279</v>
      </c>
      <c r="Q139" s="28" t="s">
        <v>114</v>
      </c>
      <c r="R139" s="18" t="s">
        <v>279</v>
      </c>
      <c r="S139" s="28" t="s">
        <v>114</v>
      </c>
      <c r="T139" s="18" t="s">
        <v>279</v>
      </c>
      <c r="U139" s="28" t="s">
        <v>114</v>
      </c>
      <c r="V139" s="18" t="s">
        <v>279</v>
      </c>
      <c r="W139" s="28" t="s">
        <v>114</v>
      </c>
      <c r="X139" s="18" t="s">
        <v>279</v>
      </c>
      <c r="Y139" s="28" t="s">
        <v>114</v>
      </c>
      <c r="Z139" s="18" t="s">
        <v>279</v>
      </c>
      <c r="AA139" s="28" t="s">
        <v>114</v>
      </c>
      <c r="AB139" s="17" t="s">
        <v>279</v>
      </c>
      <c r="AC139" s="28" t="s">
        <v>114</v>
      </c>
      <c r="AD139" s="17" t="s">
        <v>279</v>
      </c>
      <c r="AE139" s="28" t="s">
        <v>114</v>
      </c>
      <c r="AF139" s="71" t="str">
        <f t="shared" si="8"/>
        <v>NC</v>
      </c>
      <c r="AG139" s="21" t="str">
        <f t="shared" si="7"/>
        <v>NÃO UTILIZOU O PDA</v>
      </c>
      <c r="AH139" s="1" t="s">
        <v>4</v>
      </c>
      <c r="AI139" s="29" t="str">
        <f t="shared" si="6"/>
        <v>GUARULHOS</v>
      </c>
      <c r="AJ139" s="32" t="s">
        <v>1</v>
      </c>
    </row>
    <row r="140" spans="1:36" ht="30" customHeight="1" x14ac:dyDescent="0.2">
      <c r="A140" s="83" t="s">
        <v>101</v>
      </c>
      <c r="B140" s="83">
        <v>2614635924</v>
      </c>
      <c r="C140" s="83" t="s">
        <v>71</v>
      </c>
      <c r="D140" s="83" t="s">
        <v>20</v>
      </c>
      <c r="E140" s="83" t="s">
        <v>102</v>
      </c>
      <c r="F140" s="83" t="s">
        <v>680</v>
      </c>
      <c r="G140" s="83">
        <v>431</v>
      </c>
      <c r="H140" s="83"/>
      <c r="I140" s="83" t="s">
        <v>667</v>
      </c>
      <c r="J140" s="83" t="s">
        <v>2586</v>
      </c>
      <c r="K140" s="83"/>
      <c r="L140" s="84" t="s">
        <v>585</v>
      </c>
      <c r="M140" s="84">
        <v>46330.53402777778</v>
      </c>
      <c r="N140" s="83" t="s">
        <v>2603</v>
      </c>
      <c r="O140" s="26" t="s">
        <v>114</v>
      </c>
      <c r="P140" s="1" t="s">
        <v>279</v>
      </c>
      <c r="Q140" s="28" t="s">
        <v>114</v>
      </c>
      <c r="R140" s="18" t="s">
        <v>279</v>
      </c>
      <c r="S140" s="28" t="s">
        <v>114</v>
      </c>
      <c r="T140" s="18" t="s">
        <v>279</v>
      </c>
      <c r="U140" s="28" t="s">
        <v>114</v>
      </c>
      <c r="V140" s="18" t="s">
        <v>279</v>
      </c>
      <c r="W140" s="28" t="s">
        <v>114</v>
      </c>
      <c r="X140" s="18" t="s">
        <v>279</v>
      </c>
      <c r="Y140" s="28" t="s">
        <v>114</v>
      </c>
      <c r="Z140" s="18" t="s">
        <v>279</v>
      </c>
      <c r="AA140" s="28" t="s">
        <v>114</v>
      </c>
      <c r="AB140" s="17" t="s">
        <v>279</v>
      </c>
      <c r="AC140" s="28" t="s">
        <v>114</v>
      </c>
      <c r="AD140" s="17" t="s">
        <v>279</v>
      </c>
      <c r="AE140" s="28" t="s">
        <v>114</v>
      </c>
      <c r="AF140" s="71" t="str">
        <f t="shared" si="8"/>
        <v>NC</v>
      </c>
      <c r="AG140" s="21" t="str">
        <f t="shared" si="7"/>
        <v>NÃO UTILIZOU O PDA</v>
      </c>
      <c r="AH140" s="1" t="s">
        <v>4</v>
      </c>
      <c r="AI140" s="29" t="str">
        <f t="shared" si="6"/>
        <v>GUARULHOS</v>
      </c>
      <c r="AJ140" s="32" t="s">
        <v>1</v>
      </c>
    </row>
    <row r="141" spans="1:36" ht="30" customHeight="1" x14ac:dyDescent="0.2">
      <c r="A141" s="83" t="s">
        <v>101</v>
      </c>
      <c r="B141" s="83">
        <v>2690085338</v>
      </c>
      <c r="C141" s="83" t="s">
        <v>70</v>
      </c>
      <c r="D141" s="83" t="s">
        <v>20</v>
      </c>
      <c r="E141" s="83" t="s">
        <v>102</v>
      </c>
      <c r="F141" s="83" t="s">
        <v>553</v>
      </c>
      <c r="G141" s="83">
        <v>132</v>
      </c>
      <c r="H141" s="83" t="s">
        <v>554</v>
      </c>
      <c r="I141" s="83" t="s">
        <v>277</v>
      </c>
      <c r="J141" s="83" t="s">
        <v>2588</v>
      </c>
      <c r="K141" s="83" t="s">
        <v>117</v>
      </c>
      <c r="L141" s="84" t="s">
        <v>585</v>
      </c>
      <c r="M141" s="84">
        <v>46330.480555555558</v>
      </c>
      <c r="N141" s="83" t="s">
        <v>2603</v>
      </c>
      <c r="O141" s="26" t="s">
        <v>114</v>
      </c>
      <c r="P141" s="1" t="s">
        <v>279</v>
      </c>
      <c r="Q141" s="28" t="s">
        <v>114</v>
      </c>
      <c r="R141" s="18" t="s">
        <v>279</v>
      </c>
      <c r="S141" s="28" t="s">
        <v>114</v>
      </c>
      <c r="T141" s="18" t="s">
        <v>279</v>
      </c>
      <c r="U141" s="28" t="s">
        <v>114</v>
      </c>
      <c r="V141" s="18" t="s">
        <v>279</v>
      </c>
      <c r="W141" s="28" t="s">
        <v>114</v>
      </c>
      <c r="X141" s="18" t="s">
        <v>279</v>
      </c>
      <c r="Y141" s="28" t="s">
        <v>114</v>
      </c>
      <c r="Z141" s="18" t="s">
        <v>279</v>
      </c>
      <c r="AA141" s="28" t="s">
        <v>114</v>
      </c>
      <c r="AB141" s="17" t="s">
        <v>279</v>
      </c>
      <c r="AC141" s="28" t="s">
        <v>114</v>
      </c>
      <c r="AD141" s="17" t="s">
        <v>279</v>
      </c>
      <c r="AE141" s="28" t="s">
        <v>114</v>
      </c>
      <c r="AF141" s="71" t="str">
        <f t="shared" si="8"/>
        <v>NC</v>
      </c>
      <c r="AG141" s="21" t="str">
        <f t="shared" si="7"/>
        <v>NÃO UTILIZOU O PDA</v>
      </c>
      <c r="AH141" s="1" t="s">
        <v>4</v>
      </c>
      <c r="AI141" s="29" t="str">
        <f t="shared" si="6"/>
        <v>GUARULHOS</v>
      </c>
      <c r="AJ141" s="32" t="s">
        <v>1</v>
      </c>
    </row>
    <row r="142" spans="1:36" ht="30" customHeight="1" x14ac:dyDescent="0.2">
      <c r="A142" s="83" t="s">
        <v>101</v>
      </c>
      <c r="B142" s="83">
        <v>2689970314</v>
      </c>
      <c r="C142" s="83" t="s">
        <v>69</v>
      </c>
      <c r="D142" s="83" t="s">
        <v>20</v>
      </c>
      <c r="E142" s="83" t="s">
        <v>102</v>
      </c>
      <c r="F142" s="83" t="s">
        <v>559</v>
      </c>
      <c r="G142" s="83">
        <v>128</v>
      </c>
      <c r="H142" s="83" t="s">
        <v>560</v>
      </c>
      <c r="I142" s="83" t="s">
        <v>367</v>
      </c>
      <c r="J142" s="83" t="s">
        <v>2586</v>
      </c>
      <c r="K142" s="83"/>
      <c r="L142" s="84" t="s">
        <v>585</v>
      </c>
      <c r="M142" s="84">
        <v>46330.359027777777</v>
      </c>
      <c r="N142" s="83" t="s">
        <v>2603</v>
      </c>
      <c r="O142" s="26" t="s">
        <v>114</v>
      </c>
      <c r="P142" s="1" t="s">
        <v>279</v>
      </c>
      <c r="Q142" s="28" t="s">
        <v>114</v>
      </c>
      <c r="R142" s="18" t="s">
        <v>279</v>
      </c>
      <c r="S142" s="28" t="s">
        <v>114</v>
      </c>
      <c r="T142" s="18" t="s">
        <v>279</v>
      </c>
      <c r="U142" s="28" t="s">
        <v>114</v>
      </c>
      <c r="V142" s="18" t="s">
        <v>279</v>
      </c>
      <c r="W142" s="28" t="s">
        <v>114</v>
      </c>
      <c r="X142" s="18" t="s">
        <v>279</v>
      </c>
      <c r="Y142" s="28" t="s">
        <v>114</v>
      </c>
      <c r="Z142" s="18" t="s">
        <v>279</v>
      </c>
      <c r="AA142" s="28" t="s">
        <v>114</v>
      </c>
      <c r="AB142" s="17" t="s">
        <v>279</v>
      </c>
      <c r="AC142" s="28" t="s">
        <v>114</v>
      </c>
      <c r="AD142" s="17" t="s">
        <v>279</v>
      </c>
      <c r="AE142" s="28" t="s">
        <v>114</v>
      </c>
      <c r="AF142" s="71" t="str">
        <f t="shared" si="8"/>
        <v>NC</v>
      </c>
      <c r="AG142" s="21" t="str">
        <f t="shared" si="7"/>
        <v>NÃO UTILIZOU O PDA</v>
      </c>
      <c r="AH142" s="1" t="s">
        <v>4</v>
      </c>
      <c r="AI142" s="29" t="str">
        <f t="shared" si="6"/>
        <v>GUARULHOS</v>
      </c>
      <c r="AJ142" s="32" t="s">
        <v>1</v>
      </c>
    </row>
    <row r="143" spans="1:36" ht="30" customHeight="1" x14ac:dyDescent="0.2">
      <c r="A143" s="83" t="s">
        <v>101</v>
      </c>
      <c r="B143" s="83">
        <v>2689965527</v>
      </c>
      <c r="C143" s="83" t="s">
        <v>68</v>
      </c>
      <c r="D143" s="83" t="s">
        <v>20</v>
      </c>
      <c r="E143" s="83" t="s">
        <v>102</v>
      </c>
      <c r="F143" s="83" t="s">
        <v>378</v>
      </c>
      <c r="G143" s="83">
        <v>239</v>
      </c>
      <c r="H143" s="83" t="s">
        <v>528</v>
      </c>
      <c r="I143" s="83" t="s">
        <v>216</v>
      </c>
      <c r="J143" s="83" t="s">
        <v>2588</v>
      </c>
      <c r="K143" s="83" t="s">
        <v>117</v>
      </c>
      <c r="L143" s="84" t="s">
        <v>585</v>
      </c>
      <c r="M143" s="84">
        <v>46330.46597222222</v>
      </c>
      <c r="N143" s="83" t="s">
        <v>2603</v>
      </c>
      <c r="O143" s="26" t="s">
        <v>114</v>
      </c>
      <c r="P143" s="1" t="s">
        <v>279</v>
      </c>
      <c r="Q143" s="28" t="s">
        <v>114</v>
      </c>
      <c r="R143" s="1" t="s">
        <v>279</v>
      </c>
      <c r="S143" s="28" t="s">
        <v>114</v>
      </c>
      <c r="T143" s="1" t="s">
        <v>279</v>
      </c>
      <c r="U143" s="28" t="s">
        <v>114</v>
      </c>
      <c r="V143" s="1" t="s">
        <v>279</v>
      </c>
      <c r="W143" s="28" t="s">
        <v>114</v>
      </c>
      <c r="X143" s="1" t="s">
        <v>279</v>
      </c>
      <c r="Y143" s="28" t="s">
        <v>114</v>
      </c>
      <c r="Z143" s="1" t="s">
        <v>279</v>
      </c>
      <c r="AA143" s="28" t="s">
        <v>114</v>
      </c>
      <c r="AB143" s="1" t="s">
        <v>279</v>
      </c>
      <c r="AC143" s="28" t="s">
        <v>114</v>
      </c>
      <c r="AD143" s="1" t="s">
        <v>279</v>
      </c>
      <c r="AE143" s="28" t="s">
        <v>114</v>
      </c>
      <c r="AF143" s="71" t="str">
        <f t="shared" si="8"/>
        <v>NC</v>
      </c>
      <c r="AG143" s="21" t="str">
        <f t="shared" si="7"/>
        <v>NÃO UTILIZOU O PDA</v>
      </c>
      <c r="AH143" s="1" t="s">
        <v>4</v>
      </c>
      <c r="AI143" s="29" t="str">
        <f t="shared" si="6"/>
        <v>GUARULHOS</v>
      </c>
      <c r="AJ143" s="32" t="s">
        <v>1</v>
      </c>
    </row>
    <row r="144" spans="1:36" ht="30" customHeight="1" x14ac:dyDescent="0.2">
      <c r="A144" s="83" t="s">
        <v>101</v>
      </c>
      <c r="B144" s="83">
        <v>2615252167</v>
      </c>
      <c r="C144" s="83" t="s">
        <v>71</v>
      </c>
      <c r="D144" s="83" t="s">
        <v>20</v>
      </c>
      <c r="E144" s="83" t="s">
        <v>102</v>
      </c>
      <c r="F144" s="83" t="s">
        <v>1098</v>
      </c>
      <c r="G144" s="83">
        <v>105</v>
      </c>
      <c r="H144" s="83" t="s">
        <v>1750</v>
      </c>
      <c r="I144" s="83" t="s">
        <v>483</v>
      </c>
      <c r="J144" s="83" t="s">
        <v>2586</v>
      </c>
      <c r="K144" s="83" t="s">
        <v>2637</v>
      </c>
      <c r="L144" s="84" t="s">
        <v>585</v>
      </c>
      <c r="M144" s="84">
        <v>46330.406944444447</v>
      </c>
      <c r="N144" s="83" t="s">
        <v>2596</v>
      </c>
      <c r="O144" s="26" t="s">
        <v>14</v>
      </c>
      <c r="P144" s="1"/>
      <c r="Q144" s="28" t="s">
        <v>14</v>
      </c>
      <c r="R144" s="18"/>
      <c r="S144" s="28" t="s">
        <v>14</v>
      </c>
      <c r="T144" s="18"/>
      <c r="U144" s="28" t="s">
        <v>14</v>
      </c>
      <c r="V144" s="18"/>
      <c r="W144" s="28" t="s">
        <v>14</v>
      </c>
      <c r="X144" s="18"/>
      <c r="Y144" s="28" t="s">
        <v>14</v>
      </c>
      <c r="Z144" s="18"/>
      <c r="AA144" s="28" t="s">
        <v>14</v>
      </c>
      <c r="AB144" s="17"/>
      <c r="AC144" s="28" t="s">
        <v>14</v>
      </c>
      <c r="AD144" s="17"/>
      <c r="AE144" s="28" t="s">
        <v>14</v>
      </c>
      <c r="AF144" s="71" t="str">
        <f t="shared" si="8"/>
        <v>NA</v>
      </c>
      <c r="AG144" s="21" t="str">
        <f t="shared" si="7"/>
        <v>NÃO AVALIADO POR FALHA DE SINCRONISMO</v>
      </c>
      <c r="AH144" s="1" t="s">
        <v>4</v>
      </c>
      <c r="AI144" s="29" t="str">
        <f t="shared" si="6"/>
        <v>GUARULHOS</v>
      </c>
      <c r="AJ144" s="32" t="s">
        <v>1</v>
      </c>
    </row>
    <row r="145" spans="1:36" ht="30" customHeight="1" x14ac:dyDescent="0.2">
      <c r="A145" s="83" t="s">
        <v>101</v>
      </c>
      <c r="B145" s="83">
        <v>2614460073</v>
      </c>
      <c r="C145" s="83" t="s">
        <v>71</v>
      </c>
      <c r="D145" s="83" t="s">
        <v>20</v>
      </c>
      <c r="E145" s="83" t="s">
        <v>102</v>
      </c>
      <c r="F145" s="83" t="s">
        <v>257</v>
      </c>
      <c r="G145" s="83">
        <v>82</v>
      </c>
      <c r="H145" s="83">
        <v>126</v>
      </c>
      <c r="I145" s="83" t="s">
        <v>162</v>
      </c>
      <c r="J145" s="83" t="s">
        <v>2586</v>
      </c>
      <c r="K145" s="83" t="s">
        <v>2623</v>
      </c>
      <c r="L145" s="84" t="s">
        <v>585</v>
      </c>
      <c r="M145" s="84">
        <v>46330.459027777775</v>
      </c>
      <c r="N145" s="83" t="s">
        <v>2596</v>
      </c>
      <c r="O145" s="26" t="s">
        <v>14</v>
      </c>
      <c r="P145" s="1"/>
      <c r="Q145" s="28" t="s">
        <v>14</v>
      </c>
      <c r="R145" s="18"/>
      <c r="S145" s="28" t="s">
        <v>14</v>
      </c>
      <c r="T145" s="18"/>
      <c r="U145" s="28" t="s">
        <v>14</v>
      </c>
      <c r="V145" s="18"/>
      <c r="W145" s="28" t="s">
        <v>14</v>
      </c>
      <c r="X145" s="18"/>
      <c r="Y145" s="28" t="s">
        <v>14</v>
      </c>
      <c r="Z145" s="18"/>
      <c r="AA145" s="28" t="s">
        <v>14</v>
      </c>
      <c r="AB145" s="17"/>
      <c r="AC145" s="28" t="s">
        <v>14</v>
      </c>
      <c r="AD145" s="17"/>
      <c r="AE145" s="28" t="s">
        <v>14</v>
      </c>
      <c r="AF145" s="71" t="str">
        <f t="shared" si="8"/>
        <v>NA</v>
      </c>
      <c r="AG145" s="21" t="str">
        <f t="shared" si="7"/>
        <v>NÃO AVALIADO POR FALHA DE SINCRONISMO</v>
      </c>
      <c r="AH145" s="1" t="s">
        <v>4</v>
      </c>
      <c r="AI145" s="29" t="str">
        <f t="shared" si="6"/>
        <v>GUARULHOS</v>
      </c>
      <c r="AJ145" s="32" t="s">
        <v>1</v>
      </c>
    </row>
    <row r="146" spans="1:36" ht="30" customHeight="1" x14ac:dyDescent="0.2">
      <c r="A146" s="83" t="s">
        <v>101</v>
      </c>
      <c r="B146" s="83">
        <v>2614135529</v>
      </c>
      <c r="C146" s="83" t="s">
        <v>71</v>
      </c>
      <c r="D146" s="83" t="s">
        <v>20</v>
      </c>
      <c r="E146" s="83" t="s">
        <v>102</v>
      </c>
      <c r="F146" s="83" t="s">
        <v>490</v>
      </c>
      <c r="G146" s="83">
        <v>123</v>
      </c>
      <c r="H146" s="83" t="s">
        <v>110</v>
      </c>
      <c r="I146" s="83" t="s">
        <v>450</v>
      </c>
      <c r="J146" s="83" t="s">
        <v>2586</v>
      </c>
      <c r="K146" s="83" t="s">
        <v>2638</v>
      </c>
      <c r="L146" s="84" t="s">
        <v>585</v>
      </c>
      <c r="M146" s="84">
        <v>46330.381944444445</v>
      </c>
      <c r="N146" s="83" t="s">
        <v>2596</v>
      </c>
      <c r="O146" s="26" t="s">
        <v>14</v>
      </c>
      <c r="P146" s="1"/>
      <c r="Q146" s="28" t="s">
        <v>14</v>
      </c>
      <c r="R146" s="18"/>
      <c r="S146" s="28" t="s">
        <v>14</v>
      </c>
      <c r="T146" s="18"/>
      <c r="U146" s="28" t="s">
        <v>14</v>
      </c>
      <c r="V146" s="18"/>
      <c r="W146" s="28" t="s">
        <v>14</v>
      </c>
      <c r="X146" s="18"/>
      <c r="Y146" s="28" t="s">
        <v>14</v>
      </c>
      <c r="Z146" s="18"/>
      <c r="AA146" s="28" t="s">
        <v>14</v>
      </c>
      <c r="AB146" s="17"/>
      <c r="AC146" s="28" t="s">
        <v>14</v>
      </c>
      <c r="AD146" s="17"/>
      <c r="AE146" s="28" t="s">
        <v>14</v>
      </c>
      <c r="AF146" s="71" t="str">
        <f t="shared" si="8"/>
        <v>NA</v>
      </c>
      <c r="AG146" s="21" t="str">
        <f t="shared" si="7"/>
        <v>NÃO AVALIADO POR FALHA DE SINCRONISMO</v>
      </c>
      <c r="AH146" s="1" t="s">
        <v>4</v>
      </c>
      <c r="AI146" s="29" t="str">
        <f t="shared" si="6"/>
        <v>GUARULHOS</v>
      </c>
      <c r="AJ146" s="32" t="s">
        <v>1</v>
      </c>
    </row>
    <row r="147" spans="1:36" ht="30" customHeight="1" x14ac:dyDescent="0.2">
      <c r="A147" s="83" t="s">
        <v>101</v>
      </c>
      <c r="B147" s="83">
        <v>2614112286</v>
      </c>
      <c r="C147" s="83" t="s">
        <v>71</v>
      </c>
      <c r="D147" s="83" t="s">
        <v>20</v>
      </c>
      <c r="E147" s="83" t="s">
        <v>102</v>
      </c>
      <c r="F147" s="83" t="s">
        <v>494</v>
      </c>
      <c r="G147" s="83">
        <v>586</v>
      </c>
      <c r="H147" s="83" t="s">
        <v>117</v>
      </c>
      <c r="I147" s="83" t="s">
        <v>237</v>
      </c>
      <c r="J147" s="83" t="s">
        <v>2586</v>
      </c>
      <c r="K147" s="83" t="s">
        <v>2623</v>
      </c>
      <c r="L147" s="84" t="s">
        <v>585</v>
      </c>
      <c r="M147" s="84">
        <v>46330.368055555555</v>
      </c>
      <c r="N147" s="83" t="s">
        <v>2596</v>
      </c>
      <c r="O147" s="26" t="s">
        <v>14</v>
      </c>
      <c r="P147" s="1"/>
      <c r="Q147" s="28" t="s">
        <v>14</v>
      </c>
      <c r="R147" s="18"/>
      <c r="S147" s="28" t="s">
        <v>14</v>
      </c>
      <c r="T147" s="18"/>
      <c r="U147" s="28" t="s">
        <v>14</v>
      </c>
      <c r="V147" s="18"/>
      <c r="W147" s="28" t="s">
        <v>14</v>
      </c>
      <c r="X147" s="18"/>
      <c r="Y147" s="28" t="s">
        <v>14</v>
      </c>
      <c r="Z147" s="18"/>
      <c r="AA147" s="28" t="s">
        <v>14</v>
      </c>
      <c r="AB147" s="17"/>
      <c r="AC147" s="28" t="s">
        <v>14</v>
      </c>
      <c r="AD147" s="17"/>
      <c r="AE147" s="28" t="s">
        <v>14</v>
      </c>
      <c r="AF147" s="71" t="str">
        <f t="shared" si="8"/>
        <v>NA</v>
      </c>
      <c r="AG147" s="21" t="str">
        <f t="shared" si="7"/>
        <v>NÃO AVALIADO POR FALHA DE SINCRONISMO</v>
      </c>
      <c r="AH147" s="1" t="s">
        <v>4</v>
      </c>
      <c r="AI147" s="29" t="str">
        <f t="shared" si="6"/>
        <v>GUARULHOS</v>
      </c>
      <c r="AJ147" s="32" t="s">
        <v>1</v>
      </c>
    </row>
    <row r="148" spans="1:36" ht="30" customHeight="1" x14ac:dyDescent="0.2">
      <c r="A148" s="82" t="s">
        <v>101</v>
      </c>
      <c r="B148" s="82">
        <v>2614847500</v>
      </c>
      <c r="C148" s="82" t="s">
        <v>69</v>
      </c>
      <c r="D148" s="82" t="s">
        <v>20</v>
      </c>
      <c r="E148" s="82" t="s">
        <v>102</v>
      </c>
      <c r="F148" s="82" t="s">
        <v>572</v>
      </c>
      <c r="G148" s="82">
        <v>170</v>
      </c>
      <c r="H148" s="82"/>
      <c r="I148" s="82" t="s">
        <v>162</v>
      </c>
      <c r="J148" s="82" t="s">
        <v>2586</v>
      </c>
      <c r="K148" s="82" t="s">
        <v>2623</v>
      </c>
      <c r="L148" s="82" t="s">
        <v>653</v>
      </c>
      <c r="M148" s="82" t="s">
        <v>2640</v>
      </c>
      <c r="N148" s="82" t="s">
        <v>2596</v>
      </c>
      <c r="O148" s="26" t="s">
        <v>14</v>
      </c>
      <c r="P148" s="1"/>
      <c r="Q148" s="28" t="s">
        <v>14</v>
      </c>
      <c r="R148" s="18"/>
      <c r="S148" s="28" t="s">
        <v>14</v>
      </c>
      <c r="T148" s="18"/>
      <c r="U148" s="28" t="s">
        <v>14</v>
      </c>
      <c r="V148" s="18"/>
      <c r="W148" s="28" t="s">
        <v>14</v>
      </c>
      <c r="X148" s="18"/>
      <c r="Y148" s="28" t="s">
        <v>14</v>
      </c>
      <c r="Z148" s="18"/>
      <c r="AA148" s="28" t="s">
        <v>14</v>
      </c>
      <c r="AB148" s="17"/>
      <c r="AC148" s="28" t="s">
        <v>14</v>
      </c>
      <c r="AD148" s="17"/>
      <c r="AE148" s="28" t="s">
        <v>14</v>
      </c>
      <c r="AF148" s="71" t="str">
        <f t="shared" si="8"/>
        <v>NA</v>
      </c>
      <c r="AG148" s="21" t="str">
        <f t="shared" si="7"/>
        <v>NÃO AVALIADO POR FALHA DE SINCRONISMO</v>
      </c>
      <c r="AH148" s="42" t="s">
        <v>13</v>
      </c>
      <c r="AI148" s="29" t="str">
        <f t="shared" si="6"/>
        <v>GUARULHOS</v>
      </c>
      <c r="AJ148" s="32" t="s">
        <v>1</v>
      </c>
    </row>
    <row r="149" spans="1:36" ht="30" customHeight="1" x14ac:dyDescent="0.2">
      <c r="A149" s="82" t="s">
        <v>101</v>
      </c>
      <c r="B149" s="82">
        <v>2615494352</v>
      </c>
      <c r="C149" s="82" t="s">
        <v>71</v>
      </c>
      <c r="D149" s="82" t="s">
        <v>20</v>
      </c>
      <c r="E149" s="82" t="s">
        <v>102</v>
      </c>
      <c r="F149" s="82" t="s">
        <v>481</v>
      </c>
      <c r="G149" s="82">
        <v>539</v>
      </c>
      <c r="H149" s="82" t="s">
        <v>482</v>
      </c>
      <c r="I149" s="82" t="s">
        <v>483</v>
      </c>
      <c r="J149" s="82" t="s">
        <v>2586</v>
      </c>
      <c r="K149" s="82" t="s">
        <v>117</v>
      </c>
      <c r="L149" s="82" t="s">
        <v>653</v>
      </c>
      <c r="M149" s="82" t="s">
        <v>686</v>
      </c>
      <c r="N149" s="82" t="s">
        <v>2596</v>
      </c>
      <c r="O149" s="36" t="s">
        <v>108</v>
      </c>
      <c r="P149" s="18"/>
      <c r="Q149" s="28" t="s">
        <v>108</v>
      </c>
      <c r="R149" s="18"/>
      <c r="S149" s="28" t="s">
        <v>108</v>
      </c>
      <c r="T149" s="18"/>
      <c r="U149" s="28" t="s">
        <v>108</v>
      </c>
      <c r="V149" s="18"/>
      <c r="W149" s="28" t="s">
        <v>114</v>
      </c>
      <c r="X149" s="17" t="s">
        <v>2641</v>
      </c>
      <c r="Y149" s="28" t="s">
        <v>108</v>
      </c>
      <c r="Z149" s="18"/>
      <c r="AA149" s="28" t="s">
        <v>108</v>
      </c>
      <c r="AB149" s="17"/>
      <c r="AC149" s="28" t="s">
        <v>108</v>
      </c>
      <c r="AD149" s="17"/>
      <c r="AE149" s="28" t="s">
        <v>108</v>
      </c>
      <c r="AF149" s="71" t="str">
        <f t="shared" si="8"/>
        <v>NC</v>
      </c>
      <c r="AG149" s="21" t="str">
        <f t="shared" si="7"/>
        <v>UTILIZOU O PDA CORRETAMENTE. NÃO HÁ FOTOS DE TODAS AS ETAPAS</v>
      </c>
      <c r="AH149" s="1" t="s">
        <v>4</v>
      </c>
      <c r="AI149" s="29" t="str">
        <f t="shared" si="6"/>
        <v>GUARULHOS</v>
      </c>
      <c r="AJ149" s="32" t="s">
        <v>1</v>
      </c>
    </row>
    <row r="150" spans="1:36" ht="30" customHeight="1" x14ac:dyDescent="0.2">
      <c r="A150" s="82" t="s">
        <v>101</v>
      </c>
      <c r="B150" s="82">
        <v>2615269337</v>
      </c>
      <c r="C150" s="82" t="s">
        <v>68</v>
      </c>
      <c r="D150" s="82" t="s">
        <v>20</v>
      </c>
      <c r="E150" s="82" t="s">
        <v>102</v>
      </c>
      <c r="F150" s="82" t="s">
        <v>555</v>
      </c>
      <c r="G150" s="82">
        <v>1282</v>
      </c>
      <c r="H150" s="82" t="s">
        <v>608</v>
      </c>
      <c r="I150" s="82" t="s">
        <v>301</v>
      </c>
      <c r="J150" s="82" t="s">
        <v>2588</v>
      </c>
      <c r="K150" s="82" t="s">
        <v>2634</v>
      </c>
      <c r="L150" s="82" t="s">
        <v>653</v>
      </c>
      <c r="M150" s="82" t="s">
        <v>2642</v>
      </c>
      <c r="N150" s="82" t="s">
        <v>2635</v>
      </c>
      <c r="O150" s="26" t="s">
        <v>14</v>
      </c>
      <c r="P150" s="1"/>
      <c r="Q150" s="28" t="s">
        <v>14</v>
      </c>
      <c r="R150" s="18"/>
      <c r="S150" s="28" t="s">
        <v>14</v>
      </c>
      <c r="T150" s="18"/>
      <c r="U150" s="28" t="s">
        <v>14</v>
      </c>
      <c r="V150" s="18"/>
      <c r="W150" s="28" t="s">
        <v>14</v>
      </c>
      <c r="X150" s="18"/>
      <c r="Y150" s="28" t="s">
        <v>14</v>
      </c>
      <c r="Z150" s="18"/>
      <c r="AA150" s="28" t="s">
        <v>14</v>
      </c>
      <c r="AB150" s="17"/>
      <c r="AC150" s="28" t="s">
        <v>14</v>
      </c>
      <c r="AD150" s="17"/>
      <c r="AE150" s="28" t="s">
        <v>14</v>
      </c>
      <c r="AF150" s="71" t="str">
        <f t="shared" si="8"/>
        <v>NA</v>
      </c>
      <c r="AG150" s="21" t="str">
        <f t="shared" si="7"/>
        <v>NÃO AVALIADO POR FALHA DE SINCRONISMO</v>
      </c>
      <c r="AH150" s="1" t="s">
        <v>4</v>
      </c>
      <c r="AI150" s="29" t="str">
        <f t="shared" si="6"/>
        <v>GUARULHOS</v>
      </c>
      <c r="AJ150" s="32" t="s">
        <v>1</v>
      </c>
    </row>
    <row r="151" spans="1:36" ht="30" customHeight="1" x14ac:dyDescent="0.2">
      <c r="A151" s="82" t="s">
        <v>101</v>
      </c>
      <c r="B151" s="82">
        <v>2615420143</v>
      </c>
      <c r="C151" s="82" t="s">
        <v>71</v>
      </c>
      <c r="D151" s="82" t="s">
        <v>20</v>
      </c>
      <c r="E151" s="82" t="s">
        <v>102</v>
      </c>
      <c r="F151" s="82" t="s">
        <v>602</v>
      </c>
      <c r="G151" s="82">
        <v>320</v>
      </c>
      <c r="H151" s="82"/>
      <c r="I151" s="82" t="s">
        <v>242</v>
      </c>
      <c r="J151" s="82" t="s">
        <v>2586</v>
      </c>
      <c r="K151" s="82" t="s">
        <v>2634</v>
      </c>
      <c r="L151" s="82" t="s">
        <v>734</v>
      </c>
      <c r="M151" s="82" t="s">
        <v>1788</v>
      </c>
      <c r="N151" s="82" t="s">
        <v>2596</v>
      </c>
      <c r="O151" s="26" t="s">
        <v>14</v>
      </c>
      <c r="P151" s="1"/>
      <c r="Q151" s="28" t="s">
        <v>14</v>
      </c>
      <c r="R151" s="18"/>
      <c r="S151" s="28" t="s">
        <v>14</v>
      </c>
      <c r="T151" s="18"/>
      <c r="U151" s="28" t="s">
        <v>14</v>
      </c>
      <c r="V151" s="18"/>
      <c r="W151" s="28" t="s">
        <v>14</v>
      </c>
      <c r="X151" s="18"/>
      <c r="Y151" s="28" t="s">
        <v>14</v>
      </c>
      <c r="Z151" s="18"/>
      <c r="AA151" s="28" t="s">
        <v>14</v>
      </c>
      <c r="AB151" s="17"/>
      <c r="AC151" s="28" t="s">
        <v>14</v>
      </c>
      <c r="AD151" s="17"/>
      <c r="AE151" s="28" t="s">
        <v>14</v>
      </c>
      <c r="AF151" s="71" t="str">
        <f t="shared" si="8"/>
        <v>NA</v>
      </c>
      <c r="AG151" s="21" t="str">
        <f t="shared" si="7"/>
        <v>NÃO AVALIADO POR FALHA DE SINCRONISMO</v>
      </c>
      <c r="AH151" s="1" t="s">
        <v>4</v>
      </c>
      <c r="AI151" s="29" t="str">
        <f t="shared" si="6"/>
        <v>GUARULHOS</v>
      </c>
      <c r="AJ151" s="32" t="s">
        <v>1</v>
      </c>
    </row>
    <row r="152" spans="1:36" ht="30" customHeight="1" x14ac:dyDescent="0.2">
      <c r="A152" s="82" t="s">
        <v>101</v>
      </c>
      <c r="B152" s="82">
        <v>2614844829</v>
      </c>
      <c r="C152" s="82" t="s">
        <v>70</v>
      </c>
      <c r="D152" s="82" t="s">
        <v>20</v>
      </c>
      <c r="E152" s="82" t="s">
        <v>102</v>
      </c>
      <c r="F152" s="82" t="s">
        <v>257</v>
      </c>
      <c r="G152" s="82">
        <v>71</v>
      </c>
      <c r="H152" s="82"/>
      <c r="I152" s="82" t="s">
        <v>162</v>
      </c>
      <c r="J152" s="82" t="s">
        <v>2588</v>
      </c>
      <c r="K152" s="82" t="s">
        <v>2643</v>
      </c>
      <c r="L152" s="82" t="s">
        <v>734</v>
      </c>
      <c r="M152" s="82" t="s">
        <v>1791</v>
      </c>
      <c r="N152" s="82" t="s">
        <v>2644</v>
      </c>
      <c r="O152" s="26" t="s">
        <v>14</v>
      </c>
      <c r="P152" s="1"/>
      <c r="Q152" s="28" t="s">
        <v>14</v>
      </c>
      <c r="R152" s="18"/>
      <c r="S152" s="28" t="s">
        <v>14</v>
      </c>
      <c r="T152" s="18"/>
      <c r="U152" s="28" t="s">
        <v>14</v>
      </c>
      <c r="V152" s="18"/>
      <c r="W152" s="28" t="s">
        <v>14</v>
      </c>
      <c r="X152" s="18"/>
      <c r="Y152" s="28" t="s">
        <v>14</v>
      </c>
      <c r="Z152" s="18"/>
      <c r="AA152" s="28" t="s">
        <v>14</v>
      </c>
      <c r="AB152" s="17"/>
      <c r="AC152" s="28" t="s">
        <v>14</v>
      </c>
      <c r="AD152" s="17"/>
      <c r="AE152" s="28" t="s">
        <v>14</v>
      </c>
      <c r="AF152" s="71" t="str">
        <f t="shared" si="8"/>
        <v>NA</v>
      </c>
      <c r="AG152" s="21" t="str">
        <f t="shared" si="7"/>
        <v>NÃO AVALIADO POR FALHA DE SINCRONISMO</v>
      </c>
      <c r="AH152" s="1" t="s">
        <v>4</v>
      </c>
      <c r="AI152" s="29" t="str">
        <f t="shared" ref="AI152:AI172" si="9">E152</f>
        <v>GUARULHOS</v>
      </c>
      <c r="AJ152" s="32" t="s">
        <v>1</v>
      </c>
    </row>
    <row r="153" spans="1:36" ht="30" customHeight="1" x14ac:dyDescent="0.2">
      <c r="A153" s="82" t="s">
        <v>101</v>
      </c>
      <c r="B153" s="82">
        <v>2615264292</v>
      </c>
      <c r="C153" s="82" t="s">
        <v>71</v>
      </c>
      <c r="D153" s="82" t="s">
        <v>20</v>
      </c>
      <c r="E153" s="82" t="s">
        <v>102</v>
      </c>
      <c r="F153" s="82" t="s">
        <v>773</v>
      </c>
      <c r="G153" s="82">
        <v>64</v>
      </c>
      <c r="H153" s="82" t="s">
        <v>774</v>
      </c>
      <c r="I153" s="82" t="s">
        <v>516</v>
      </c>
      <c r="J153" s="82" t="s">
        <v>2586</v>
      </c>
      <c r="K153" s="82" t="s">
        <v>2645</v>
      </c>
      <c r="L153" s="82" t="s">
        <v>833</v>
      </c>
      <c r="M153" s="82" t="s">
        <v>2646</v>
      </c>
      <c r="N153" s="82" t="s">
        <v>2596</v>
      </c>
      <c r="O153" s="26" t="s">
        <v>14</v>
      </c>
      <c r="P153" s="1"/>
      <c r="Q153" s="28" t="s">
        <v>14</v>
      </c>
      <c r="R153" s="18"/>
      <c r="S153" s="28" t="s">
        <v>14</v>
      </c>
      <c r="T153" s="18"/>
      <c r="U153" s="28" t="s">
        <v>14</v>
      </c>
      <c r="V153" s="18"/>
      <c r="W153" s="28" t="s">
        <v>14</v>
      </c>
      <c r="X153" s="18"/>
      <c r="Y153" s="28" t="s">
        <v>14</v>
      </c>
      <c r="Z153" s="18"/>
      <c r="AA153" s="28" t="s">
        <v>14</v>
      </c>
      <c r="AB153" s="17"/>
      <c r="AC153" s="28" t="s">
        <v>14</v>
      </c>
      <c r="AD153" s="17"/>
      <c r="AE153" s="28" t="s">
        <v>14</v>
      </c>
      <c r="AF153" s="71" t="str">
        <f t="shared" ref="AF153:AF172" si="10">IF(AND(O153="",Q153="",S153="",U153="",W153="",Y153="",AA153="",AC153=""),"",
IF(OR(    AND(O153&lt;&gt;"NA",O153&lt;&gt;"C",O153&lt;&gt;"NC",O153&lt;&gt;"SF",O153&lt;&gt;""),
    AND(Q153&lt;&gt;"NA",Q153&lt;&gt;"C",Q153&lt;&gt;"NC",Q153&lt;&gt;"SF",Q153&lt;&gt;""),
    AND(S153&lt;&gt;"NA",S153&lt;&gt;"C",S153&lt;&gt;"NC",S153&lt;&gt;"SF",S153&lt;&gt;""),
    AND(U153&lt;&gt;"NA",U153&lt;&gt;"C",U153&lt;&gt;"NC",U153&lt;&gt;"SF",U153&lt;&gt;""),
    AND(W153&lt;&gt;"NA",W153&lt;&gt;"C",W153&lt;&gt;"NC",W153&lt;&gt;"SF",W153&lt;&gt;""),
    AND(Y153&lt;&gt;"NA",Y153&lt;&gt;"C",Y153&lt;&gt;"NC",Y153&lt;&gt;"SF",Y153&lt;&gt;""),
    AND(AA153&lt;&gt;"NA",AA153&lt;&gt;"C",AA153&lt;&gt;"NC",AA153&lt;&gt;"SF",AA153&lt;&gt;""),
    AND(AC153&lt;&gt;"NA",AC153&lt;&gt;"C",AC153&lt;&gt;"NC",AC153&lt;&gt;"SF",AC153&lt;&gt;"")
),"FALSO",
IF(AND(O153="NA",Q153="NA",S153="NA",U153="NA",W153="NA",Y153="NA",AA153="NA",AC153="NA"),"NA",
IF(OR(O153="NC",Q153="NC",S153="NC",U153="NC",W153="NC",Y153="NC",AA153="NC",AC153="NC",
       O153="SF",Q153="SF",S153="SF",U153="SF",W153="SF",Y153="SF",AA153="SF",AC153="SF"),"NC",
IF(SUM(IF(O153="C",1,0),IF(Q153="C",1,0),IF(S153="C",1,0),IF(U153="C",1,0),IF(W153="C",1,0),IF(Y153="C",1,0),IF(AA153="C",1,0),IF(AC153="C",1,0))=1,"C","C")))))</f>
        <v>NA</v>
      </c>
      <c r="AG153" s="21" t="str">
        <f t="shared" ref="AG153:AG170" si="11">IF(AND(AE153="C",AF153="C"),"UTILIZOU O PDA CORRETAMENTE",IF(AND(AE153="C",AF153="NC"),"UTILIZOU O PDA CORRETAMENTE. NÃO HÁ FOTOS DE TODAS AS ETAPAS",IF(AND(AE153="NC",AF153="NC"),"NÃO UTILIZOU O PDA",IF(AND(AE153="NA",AF153="NA"),"NÃO AVALIADO POR FALHA DE SINCRONISMO"))))</f>
        <v>NÃO AVALIADO POR FALHA DE SINCRONISMO</v>
      </c>
      <c r="AH153" s="1" t="s">
        <v>4</v>
      </c>
      <c r="AI153" s="29" t="str">
        <f t="shared" si="9"/>
        <v>GUARULHOS</v>
      </c>
      <c r="AJ153" s="32" t="s">
        <v>1</v>
      </c>
    </row>
    <row r="154" spans="1:36" ht="30" customHeight="1" x14ac:dyDescent="0.2">
      <c r="A154" s="82" t="s">
        <v>101</v>
      </c>
      <c r="B154" s="82">
        <v>2615264503</v>
      </c>
      <c r="C154" s="82" t="s">
        <v>69</v>
      </c>
      <c r="D154" s="82" t="s">
        <v>20</v>
      </c>
      <c r="E154" s="82" t="s">
        <v>102</v>
      </c>
      <c r="F154" s="82" t="s">
        <v>773</v>
      </c>
      <c r="G154" s="82">
        <v>52</v>
      </c>
      <c r="H154" s="82"/>
      <c r="I154" s="82" t="s">
        <v>516</v>
      </c>
      <c r="J154" s="82" t="s">
        <v>2586</v>
      </c>
      <c r="K154" s="82" t="s">
        <v>2647</v>
      </c>
      <c r="L154" s="82" t="s">
        <v>833</v>
      </c>
      <c r="M154" s="82" t="s">
        <v>2648</v>
      </c>
      <c r="N154" s="82" t="s">
        <v>2596</v>
      </c>
      <c r="O154" s="26" t="s">
        <v>14</v>
      </c>
      <c r="P154" s="1"/>
      <c r="Q154" s="28" t="s">
        <v>14</v>
      </c>
      <c r="R154" s="18"/>
      <c r="S154" s="28" t="s">
        <v>14</v>
      </c>
      <c r="T154" s="18"/>
      <c r="U154" s="28" t="s">
        <v>14</v>
      </c>
      <c r="V154" s="18"/>
      <c r="W154" s="28" t="s">
        <v>14</v>
      </c>
      <c r="X154" s="18"/>
      <c r="Y154" s="28" t="s">
        <v>14</v>
      </c>
      <c r="Z154" s="18"/>
      <c r="AA154" s="28" t="s">
        <v>14</v>
      </c>
      <c r="AB154" s="17"/>
      <c r="AC154" s="28" t="s">
        <v>14</v>
      </c>
      <c r="AD154" s="17"/>
      <c r="AE154" s="28" t="s">
        <v>14</v>
      </c>
      <c r="AF154" s="71" t="str">
        <f t="shared" si="10"/>
        <v>NA</v>
      </c>
      <c r="AG154" s="21" t="str">
        <f t="shared" si="11"/>
        <v>NÃO AVALIADO POR FALHA DE SINCRONISMO</v>
      </c>
      <c r="AH154" s="1" t="s">
        <v>4</v>
      </c>
      <c r="AI154" s="29" t="str">
        <f t="shared" si="9"/>
        <v>GUARULHOS</v>
      </c>
      <c r="AJ154" s="32" t="s">
        <v>1</v>
      </c>
    </row>
    <row r="155" spans="1:36" ht="30" customHeight="1" x14ac:dyDescent="0.2">
      <c r="A155" s="82" t="s">
        <v>101</v>
      </c>
      <c r="B155" s="82">
        <v>2615597523</v>
      </c>
      <c r="C155" s="82" t="s">
        <v>69</v>
      </c>
      <c r="D155" s="82" t="s">
        <v>20</v>
      </c>
      <c r="E155" s="82" t="s">
        <v>102</v>
      </c>
      <c r="F155" s="82" t="s">
        <v>785</v>
      </c>
      <c r="G155" s="82">
        <v>69</v>
      </c>
      <c r="H155" s="82" t="s">
        <v>786</v>
      </c>
      <c r="I155" s="82" t="s">
        <v>787</v>
      </c>
      <c r="J155" s="82" t="s">
        <v>2586</v>
      </c>
      <c r="K155" s="82" t="s">
        <v>2645</v>
      </c>
      <c r="L155" s="82" t="s">
        <v>833</v>
      </c>
      <c r="M155" s="82" t="s">
        <v>2649</v>
      </c>
      <c r="N155" s="82" t="s">
        <v>2596</v>
      </c>
      <c r="O155" s="26" t="s">
        <v>14</v>
      </c>
      <c r="P155" s="1"/>
      <c r="Q155" s="28" t="s">
        <v>14</v>
      </c>
      <c r="R155" s="18"/>
      <c r="S155" s="28" t="s">
        <v>14</v>
      </c>
      <c r="T155" s="18"/>
      <c r="U155" s="28" t="s">
        <v>14</v>
      </c>
      <c r="V155" s="18"/>
      <c r="W155" s="28" t="s">
        <v>14</v>
      </c>
      <c r="X155" s="18"/>
      <c r="Y155" s="28" t="s">
        <v>14</v>
      </c>
      <c r="Z155" s="18"/>
      <c r="AA155" s="28" t="s">
        <v>14</v>
      </c>
      <c r="AB155" s="17"/>
      <c r="AC155" s="28" t="s">
        <v>14</v>
      </c>
      <c r="AD155" s="17"/>
      <c r="AE155" s="28" t="s">
        <v>14</v>
      </c>
      <c r="AF155" s="71" t="str">
        <f t="shared" si="10"/>
        <v>NA</v>
      </c>
      <c r="AG155" s="21" t="str">
        <f t="shared" si="11"/>
        <v>NÃO AVALIADO POR FALHA DE SINCRONISMO</v>
      </c>
      <c r="AH155" s="1" t="s">
        <v>4</v>
      </c>
      <c r="AI155" s="29" t="str">
        <f t="shared" si="9"/>
        <v>GUARULHOS</v>
      </c>
      <c r="AJ155" s="32" t="s">
        <v>1</v>
      </c>
    </row>
    <row r="156" spans="1:36" ht="30" customHeight="1" x14ac:dyDescent="0.2">
      <c r="A156" s="82" t="s">
        <v>101</v>
      </c>
      <c r="B156" s="82">
        <v>2615906823</v>
      </c>
      <c r="C156" s="82" t="s">
        <v>71</v>
      </c>
      <c r="D156" s="82" t="s">
        <v>20</v>
      </c>
      <c r="E156" s="82" t="s">
        <v>102</v>
      </c>
      <c r="F156" s="82" t="s">
        <v>1699</v>
      </c>
      <c r="G156" s="82">
        <v>256</v>
      </c>
      <c r="H156" s="82" t="s">
        <v>1700</v>
      </c>
      <c r="I156" s="82" t="s">
        <v>149</v>
      </c>
      <c r="J156" s="82" t="s">
        <v>2586</v>
      </c>
      <c r="K156" s="82" t="s">
        <v>2637</v>
      </c>
      <c r="L156" s="82" t="s">
        <v>902</v>
      </c>
      <c r="M156" s="82" t="s">
        <v>2650</v>
      </c>
      <c r="N156" s="82" t="s">
        <v>2596</v>
      </c>
      <c r="O156" s="26" t="s">
        <v>14</v>
      </c>
      <c r="P156" s="1"/>
      <c r="Q156" s="28" t="s">
        <v>14</v>
      </c>
      <c r="R156" s="18"/>
      <c r="S156" s="28" t="s">
        <v>14</v>
      </c>
      <c r="T156" s="18"/>
      <c r="U156" s="28" t="s">
        <v>14</v>
      </c>
      <c r="V156" s="18"/>
      <c r="W156" s="28" t="s">
        <v>14</v>
      </c>
      <c r="X156" s="18"/>
      <c r="Y156" s="28" t="s">
        <v>14</v>
      </c>
      <c r="Z156" s="18"/>
      <c r="AA156" s="28" t="s">
        <v>14</v>
      </c>
      <c r="AB156" s="17"/>
      <c r="AC156" s="28" t="s">
        <v>14</v>
      </c>
      <c r="AD156" s="17"/>
      <c r="AE156" s="28" t="s">
        <v>14</v>
      </c>
      <c r="AF156" s="71" t="str">
        <f t="shared" si="10"/>
        <v>NA</v>
      </c>
      <c r="AG156" s="21" t="str">
        <f t="shared" si="11"/>
        <v>NÃO AVALIADO POR FALHA DE SINCRONISMO</v>
      </c>
      <c r="AH156" s="1" t="s">
        <v>4</v>
      </c>
      <c r="AI156" s="29" t="str">
        <f t="shared" si="9"/>
        <v>GUARULHOS</v>
      </c>
      <c r="AJ156" s="32" t="s">
        <v>1</v>
      </c>
    </row>
    <row r="157" spans="1:36" ht="30" customHeight="1" x14ac:dyDescent="0.2">
      <c r="A157" s="82" t="s">
        <v>101</v>
      </c>
      <c r="B157" s="82">
        <v>2615750685</v>
      </c>
      <c r="C157" s="82" t="s">
        <v>68</v>
      </c>
      <c r="D157" s="82" t="s">
        <v>20</v>
      </c>
      <c r="E157" s="82" t="s">
        <v>102</v>
      </c>
      <c r="F157" s="82" t="s">
        <v>864</v>
      </c>
      <c r="G157" s="82">
        <v>138</v>
      </c>
      <c r="H157" s="82" t="s">
        <v>865</v>
      </c>
      <c r="I157" s="82" t="s">
        <v>576</v>
      </c>
      <c r="J157" s="82" t="s">
        <v>2588</v>
      </c>
      <c r="K157" s="82" t="s">
        <v>2634</v>
      </c>
      <c r="L157" s="82" t="s">
        <v>902</v>
      </c>
      <c r="M157" s="82" t="s">
        <v>2651</v>
      </c>
      <c r="N157" s="82" t="s">
        <v>2587</v>
      </c>
      <c r="O157" s="26" t="s">
        <v>14</v>
      </c>
      <c r="P157" s="1"/>
      <c r="Q157" s="28" t="s">
        <v>14</v>
      </c>
      <c r="R157" s="18"/>
      <c r="S157" s="28" t="s">
        <v>14</v>
      </c>
      <c r="T157" s="18"/>
      <c r="U157" s="28" t="s">
        <v>14</v>
      </c>
      <c r="V157" s="18"/>
      <c r="W157" s="28" t="s">
        <v>14</v>
      </c>
      <c r="X157" s="18"/>
      <c r="Y157" s="28" t="s">
        <v>14</v>
      </c>
      <c r="Z157" s="18"/>
      <c r="AA157" s="28" t="s">
        <v>14</v>
      </c>
      <c r="AB157" s="17"/>
      <c r="AC157" s="28" t="s">
        <v>14</v>
      </c>
      <c r="AD157" s="17"/>
      <c r="AE157" s="28" t="s">
        <v>14</v>
      </c>
      <c r="AF157" s="71" t="str">
        <f t="shared" si="10"/>
        <v>NA</v>
      </c>
      <c r="AG157" s="21" t="str">
        <f t="shared" si="11"/>
        <v>NÃO AVALIADO POR FALHA DE SINCRONISMO</v>
      </c>
      <c r="AH157" s="1" t="s">
        <v>4</v>
      </c>
      <c r="AI157" s="29" t="str">
        <f t="shared" si="9"/>
        <v>GUARULHOS</v>
      </c>
      <c r="AJ157" s="32" t="s">
        <v>1</v>
      </c>
    </row>
    <row r="158" spans="1:36" ht="30" customHeight="1" x14ac:dyDescent="0.2">
      <c r="A158" s="82" t="s">
        <v>101</v>
      </c>
      <c r="B158" s="82">
        <v>2615422791</v>
      </c>
      <c r="C158" s="82" t="s">
        <v>68</v>
      </c>
      <c r="D158" s="82" t="s">
        <v>20</v>
      </c>
      <c r="E158" s="82" t="s">
        <v>102</v>
      </c>
      <c r="F158" s="82" t="s">
        <v>807</v>
      </c>
      <c r="G158" s="82">
        <v>60</v>
      </c>
      <c r="H158" s="82" t="s">
        <v>808</v>
      </c>
      <c r="I158" s="82" t="s">
        <v>809</v>
      </c>
      <c r="J158" s="82" t="s">
        <v>2588</v>
      </c>
      <c r="K158" s="82" t="s">
        <v>117</v>
      </c>
      <c r="L158" s="82" t="s">
        <v>987</v>
      </c>
      <c r="M158" s="82" t="s">
        <v>2403</v>
      </c>
      <c r="N158" s="82" t="s">
        <v>2587</v>
      </c>
      <c r="O158" s="36" t="s">
        <v>108</v>
      </c>
      <c r="P158" s="18"/>
      <c r="Q158" s="28" t="s">
        <v>108</v>
      </c>
      <c r="R158" s="18"/>
      <c r="S158" s="28" t="s">
        <v>108</v>
      </c>
      <c r="T158" s="18"/>
      <c r="U158" s="28" t="s">
        <v>108</v>
      </c>
      <c r="V158" s="18"/>
      <c r="W158" s="28" t="s">
        <v>108</v>
      </c>
      <c r="X158" s="18"/>
      <c r="Y158" s="28" t="s">
        <v>108</v>
      </c>
      <c r="Z158" s="18"/>
      <c r="AA158" s="28" t="s">
        <v>108</v>
      </c>
      <c r="AB158" s="17"/>
      <c r="AC158" s="28" t="s">
        <v>108</v>
      </c>
      <c r="AD158" s="17"/>
      <c r="AE158" s="28" t="s">
        <v>108</v>
      </c>
      <c r="AF158" s="71" t="str">
        <f t="shared" si="10"/>
        <v>C</v>
      </c>
      <c r="AG158" s="21" t="str">
        <f t="shared" si="11"/>
        <v>UTILIZOU O PDA CORRETAMENTE</v>
      </c>
      <c r="AH158" s="1" t="s">
        <v>4</v>
      </c>
      <c r="AI158" s="29" t="str">
        <f t="shared" si="9"/>
        <v>GUARULHOS</v>
      </c>
      <c r="AJ158" s="32" t="s">
        <v>1</v>
      </c>
    </row>
    <row r="159" spans="1:36" ht="30" customHeight="1" x14ac:dyDescent="0.2">
      <c r="A159" s="82" t="s">
        <v>101</v>
      </c>
      <c r="B159" s="82">
        <v>2615422751</v>
      </c>
      <c r="C159" s="82" t="s">
        <v>68</v>
      </c>
      <c r="D159" s="82" t="s">
        <v>20</v>
      </c>
      <c r="E159" s="82" t="s">
        <v>102</v>
      </c>
      <c r="F159" s="82" t="s">
        <v>830</v>
      </c>
      <c r="G159" s="82">
        <v>181</v>
      </c>
      <c r="H159" s="82"/>
      <c r="I159" s="82" t="s">
        <v>809</v>
      </c>
      <c r="J159" s="82" t="s">
        <v>2588</v>
      </c>
      <c r="K159" s="82"/>
      <c r="L159" s="82" t="s">
        <v>987</v>
      </c>
      <c r="M159" s="82" t="s">
        <v>2403</v>
      </c>
      <c r="N159" s="82" t="s">
        <v>2587</v>
      </c>
      <c r="O159" s="36" t="s">
        <v>108</v>
      </c>
      <c r="P159" s="18"/>
      <c r="Q159" s="28" t="s">
        <v>108</v>
      </c>
      <c r="R159" s="18"/>
      <c r="S159" s="28" t="s">
        <v>108</v>
      </c>
      <c r="T159" s="18"/>
      <c r="U159" s="28" t="s">
        <v>108</v>
      </c>
      <c r="V159" s="18"/>
      <c r="W159" s="28" t="s">
        <v>108</v>
      </c>
      <c r="X159" s="18"/>
      <c r="Y159" s="28" t="s">
        <v>108</v>
      </c>
      <c r="Z159" s="18"/>
      <c r="AA159" s="28" t="s">
        <v>108</v>
      </c>
      <c r="AB159" s="17"/>
      <c r="AC159" s="28" t="s">
        <v>108</v>
      </c>
      <c r="AD159" s="17"/>
      <c r="AE159" s="28" t="s">
        <v>108</v>
      </c>
      <c r="AF159" s="71" t="str">
        <f t="shared" si="10"/>
        <v>C</v>
      </c>
      <c r="AG159" s="21" t="str">
        <f t="shared" si="11"/>
        <v>UTILIZOU O PDA CORRETAMENTE</v>
      </c>
      <c r="AH159" s="1" t="s">
        <v>4</v>
      </c>
      <c r="AI159" s="29" t="str">
        <f t="shared" si="9"/>
        <v>GUARULHOS</v>
      </c>
      <c r="AJ159" s="32" t="s">
        <v>1</v>
      </c>
    </row>
    <row r="160" spans="1:36" ht="30" customHeight="1" x14ac:dyDescent="0.2">
      <c r="A160" s="82" t="s">
        <v>101</v>
      </c>
      <c r="B160" s="82">
        <v>2615593418</v>
      </c>
      <c r="C160" s="82" t="s">
        <v>68</v>
      </c>
      <c r="D160" s="82" t="s">
        <v>20</v>
      </c>
      <c r="E160" s="82" t="s">
        <v>102</v>
      </c>
      <c r="F160" s="82" t="s">
        <v>732</v>
      </c>
      <c r="G160" s="82">
        <v>1750</v>
      </c>
      <c r="H160" s="82" t="s">
        <v>117</v>
      </c>
      <c r="I160" s="82" t="s">
        <v>102</v>
      </c>
      <c r="J160" s="82" t="s">
        <v>2588</v>
      </c>
      <c r="K160" s="82" t="s">
        <v>117</v>
      </c>
      <c r="L160" s="82" t="s">
        <v>987</v>
      </c>
      <c r="M160" s="82" t="s">
        <v>2652</v>
      </c>
      <c r="N160" s="82" t="s">
        <v>2587</v>
      </c>
      <c r="O160" s="36" t="s">
        <v>108</v>
      </c>
      <c r="P160" s="18"/>
      <c r="Q160" s="28" t="s">
        <v>108</v>
      </c>
      <c r="R160" s="18"/>
      <c r="S160" s="28" t="s">
        <v>108</v>
      </c>
      <c r="T160" s="18"/>
      <c r="U160" s="28" t="s">
        <v>108</v>
      </c>
      <c r="V160" s="18"/>
      <c r="W160" s="28" t="s">
        <v>108</v>
      </c>
      <c r="X160" s="18"/>
      <c r="Y160" s="28" t="s">
        <v>108</v>
      </c>
      <c r="Z160" s="18"/>
      <c r="AA160" s="28" t="s">
        <v>108</v>
      </c>
      <c r="AB160" s="17"/>
      <c r="AC160" s="28" t="s">
        <v>108</v>
      </c>
      <c r="AD160" s="17"/>
      <c r="AE160" s="28" t="s">
        <v>108</v>
      </c>
      <c r="AF160" s="71" t="str">
        <f t="shared" si="10"/>
        <v>C</v>
      </c>
      <c r="AG160" s="21" t="str">
        <f t="shared" si="11"/>
        <v>UTILIZOU O PDA CORRETAMENTE</v>
      </c>
      <c r="AH160" s="1" t="s">
        <v>4</v>
      </c>
      <c r="AI160" s="29" t="str">
        <f t="shared" si="9"/>
        <v>GUARULHOS</v>
      </c>
      <c r="AJ160" s="32" t="s">
        <v>1</v>
      </c>
    </row>
    <row r="161" spans="1:36" ht="30" customHeight="1" x14ac:dyDescent="0.2">
      <c r="A161" s="82" t="s">
        <v>101</v>
      </c>
      <c r="B161" s="82">
        <v>2616219021</v>
      </c>
      <c r="C161" s="82" t="s">
        <v>71</v>
      </c>
      <c r="D161" s="82" t="s">
        <v>20</v>
      </c>
      <c r="E161" s="82" t="s">
        <v>102</v>
      </c>
      <c r="F161" s="82" t="s">
        <v>704</v>
      </c>
      <c r="G161" s="82">
        <v>143</v>
      </c>
      <c r="H161" s="82" t="s">
        <v>705</v>
      </c>
      <c r="I161" s="82" t="s">
        <v>204</v>
      </c>
      <c r="J161" s="82" t="s">
        <v>2586</v>
      </c>
      <c r="K161" s="82"/>
      <c r="L161" s="82" t="s">
        <v>987</v>
      </c>
      <c r="M161" s="82" t="s">
        <v>2402</v>
      </c>
      <c r="N161" s="82" t="s">
        <v>2596</v>
      </c>
      <c r="O161" s="36" t="s">
        <v>108</v>
      </c>
      <c r="P161" s="18"/>
      <c r="Q161" s="28" t="s">
        <v>108</v>
      </c>
      <c r="R161" s="18"/>
      <c r="S161" s="28" t="s">
        <v>108</v>
      </c>
      <c r="T161" s="18"/>
      <c r="U161" s="28" t="s">
        <v>108</v>
      </c>
      <c r="V161" s="18"/>
      <c r="W161" s="28" t="s">
        <v>108</v>
      </c>
      <c r="X161" s="18"/>
      <c r="Y161" s="28" t="s">
        <v>108</v>
      </c>
      <c r="Z161" s="18"/>
      <c r="AA161" s="28" t="s">
        <v>108</v>
      </c>
      <c r="AB161" s="17"/>
      <c r="AC161" s="28" t="s">
        <v>108</v>
      </c>
      <c r="AD161" s="17"/>
      <c r="AE161" s="28" t="s">
        <v>108</v>
      </c>
      <c r="AF161" s="71" t="str">
        <f t="shared" si="10"/>
        <v>C</v>
      </c>
      <c r="AG161" s="21" t="str">
        <f t="shared" si="11"/>
        <v>UTILIZOU O PDA CORRETAMENTE</v>
      </c>
      <c r="AH161" s="1" t="s">
        <v>4</v>
      </c>
      <c r="AI161" s="29" t="str">
        <f t="shared" si="9"/>
        <v>GUARULHOS</v>
      </c>
      <c r="AJ161" s="32" t="s">
        <v>1</v>
      </c>
    </row>
    <row r="162" spans="1:36" ht="30" customHeight="1" x14ac:dyDescent="0.2">
      <c r="A162" s="82" t="s">
        <v>101</v>
      </c>
      <c r="B162" s="82">
        <v>2615761928</v>
      </c>
      <c r="C162" s="82" t="s">
        <v>68</v>
      </c>
      <c r="D162" s="82" t="s">
        <v>20</v>
      </c>
      <c r="E162" s="82" t="s">
        <v>102</v>
      </c>
      <c r="F162" s="82" t="s">
        <v>1795</v>
      </c>
      <c r="G162" s="82">
        <v>62</v>
      </c>
      <c r="H162" s="82" t="s">
        <v>942</v>
      </c>
      <c r="I162" s="82" t="s">
        <v>104</v>
      </c>
      <c r="J162" s="82" t="s">
        <v>2588</v>
      </c>
      <c r="K162" s="82" t="s">
        <v>117</v>
      </c>
      <c r="L162" s="82" t="s">
        <v>987</v>
      </c>
      <c r="M162" s="82" t="s">
        <v>2653</v>
      </c>
      <c r="N162" s="82" t="s">
        <v>2596</v>
      </c>
      <c r="O162" s="36" t="s">
        <v>108</v>
      </c>
      <c r="P162" s="18"/>
      <c r="Q162" s="28" t="s">
        <v>108</v>
      </c>
      <c r="R162" s="18"/>
      <c r="S162" s="28" t="s">
        <v>108</v>
      </c>
      <c r="T162" s="18"/>
      <c r="U162" s="28" t="s">
        <v>108</v>
      </c>
      <c r="V162" s="18"/>
      <c r="W162" s="28" t="s">
        <v>108</v>
      </c>
      <c r="X162" s="18"/>
      <c r="Y162" s="28" t="s">
        <v>108</v>
      </c>
      <c r="Z162" s="18"/>
      <c r="AA162" s="28" t="s">
        <v>108</v>
      </c>
      <c r="AB162" s="17"/>
      <c r="AC162" s="28" t="s">
        <v>108</v>
      </c>
      <c r="AD162" s="17"/>
      <c r="AE162" s="28" t="s">
        <v>108</v>
      </c>
      <c r="AF162" s="71" t="str">
        <f t="shared" si="10"/>
        <v>C</v>
      </c>
      <c r="AG162" s="21" t="str">
        <f t="shared" si="11"/>
        <v>UTILIZOU O PDA CORRETAMENTE</v>
      </c>
      <c r="AH162" s="1" t="s">
        <v>13</v>
      </c>
      <c r="AI162" s="29" t="str">
        <f t="shared" si="9"/>
        <v>GUARULHOS</v>
      </c>
      <c r="AJ162" s="32" t="s">
        <v>1</v>
      </c>
    </row>
    <row r="163" spans="1:36" ht="30" customHeight="1" x14ac:dyDescent="0.2">
      <c r="A163" s="82" t="s">
        <v>101</v>
      </c>
      <c r="B163" s="82">
        <v>2615304035</v>
      </c>
      <c r="C163" s="82" t="s">
        <v>69</v>
      </c>
      <c r="D163" s="82" t="s">
        <v>20</v>
      </c>
      <c r="E163" s="82" t="s">
        <v>102</v>
      </c>
      <c r="F163" s="82" t="s">
        <v>758</v>
      </c>
      <c r="G163" s="82">
        <v>11</v>
      </c>
      <c r="H163" s="82" t="s">
        <v>1785</v>
      </c>
      <c r="I163" s="82" t="s">
        <v>154</v>
      </c>
      <c r="J163" s="82" t="s">
        <v>2586</v>
      </c>
      <c r="K163" s="82"/>
      <c r="L163" s="82" t="s">
        <v>987</v>
      </c>
      <c r="M163" s="82" t="s">
        <v>2654</v>
      </c>
      <c r="N163" s="82" t="s">
        <v>2596</v>
      </c>
      <c r="O163" s="36" t="s">
        <v>108</v>
      </c>
      <c r="P163" s="18"/>
      <c r="Q163" s="28" t="s">
        <v>108</v>
      </c>
      <c r="R163" s="18"/>
      <c r="S163" s="28" t="s">
        <v>114</v>
      </c>
      <c r="T163" s="18" t="s">
        <v>2655</v>
      </c>
      <c r="U163" s="28" t="s">
        <v>108</v>
      </c>
      <c r="V163" s="18"/>
      <c r="W163" s="28" t="s">
        <v>108</v>
      </c>
      <c r="X163" s="18"/>
      <c r="Y163" s="28" t="s">
        <v>108</v>
      </c>
      <c r="Z163" s="18"/>
      <c r="AA163" s="28" t="s">
        <v>108</v>
      </c>
      <c r="AB163" s="17"/>
      <c r="AC163" s="28" t="s">
        <v>108</v>
      </c>
      <c r="AD163" s="17"/>
      <c r="AE163" s="28" t="s">
        <v>108</v>
      </c>
      <c r="AF163" s="71" t="str">
        <f t="shared" si="10"/>
        <v>NC</v>
      </c>
      <c r="AG163" s="21" t="str">
        <f t="shared" si="11"/>
        <v>UTILIZOU O PDA CORRETAMENTE. NÃO HÁ FOTOS DE TODAS AS ETAPAS</v>
      </c>
      <c r="AH163" s="1" t="s">
        <v>13</v>
      </c>
      <c r="AI163" s="29" t="str">
        <f t="shared" si="9"/>
        <v>GUARULHOS</v>
      </c>
      <c r="AJ163" s="32" t="s">
        <v>1</v>
      </c>
    </row>
    <row r="164" spans="1:36" ht="30" customHeight="1" x14ac:dyDescent="0.2">
      <c r="A164" s="82" t="s">
        <v>101</v>
      </c>
      <c r="B164" s="82">
        <v>2615879805</v>
      </c>
      <c r="C164" s="82" t="s">
        <v>69</v>
      </c>
      <c r="D164" s="82" t="s">
        <v>20</v>
      </c>
      <c r="E164" s="82" t="s">
        <v>102</v>
      </c>
      <c r="F164" s="82" t="s">
        <v>503</v>
      </c>
      <c r="G164" s="82">
        <v>242</v>
      </c>
      <c r="H164" s="82" t="s">
        <v>944</v>
      </c>
      <c r="I164" s="82" t="s">
        <v>237</v>
      </c>
      <c r="J164" s="82" t="s">
        <v>2586</v>
      </c>
      <c r="K164" s="82" t="s">
        <v>2623</v>
      </c>
      <c r="L164" s="82" t="s">
        <v>987</v>
      </c>
      <c r="M164" s="82" t="s">
        <v>2656</v>
      </c>
      <c r="N164" s="82" t="s">
        <v>2596</v>
      </c>
      <c r="O164" s="26" t="s">
        <v>14</v>
      </c>
      <c r="P164" s="1"/>
      <c r="Q164" s="28" t="s">
        <v>14</v>
      </c>
      <c r="R164" s="18"/>
      <c r="S164" s="28" t="s">
        <v>14</v>
      </c>
      <c r="T164" s="18"/>
      <c r="U164" s="28" t="s">
        <v>14</v>
      </c>
      <c r="V164" s="18"/>
      <c r="W164" s="28" t="s">
        <v>14</v>
      </c>
      <c r="X164" s="18"/>
      <c r="Y164" s="28" t="s">
        <v>14</v>
      </c>
      <c r="Z164" s="18"/>
      <c r="AA164" s="28" t="s">
        <v>14</v>
      </c>
      <c r="AB164" s="17"/>
      <c r="AC164" s="28" t="s">
        <v>14</v>
      </c>
      <c r="AD164" s="17"/>
      <c r="AE164" s="28" t="s">
        <v>14</v>
      </c>
      <c r="AF164" s="71" t="str">
        <f t="shared" si="10"/>
        <v>NA</v>
      </c>
      <c r="AG164" s="21" t="str">
        <f t="shared" si="11"/>
        <v>NÃO AVALIADO POR FALHA DE SINCRONISMO</v>
      </c>
      <c r="AH164" s="1" t="s">
        <v>4</v>
      </c>
      <c r="AI164" s="29" t="str">
        <f t="shared" si="9"/>
        <v>GUARULHOS</v>
      </c>
      <c r="AJ164" s="32" t="s">
        <v>1</v>
      </c>
    </row>
    <row r="165" spans="1:36" ht="30" customHeight="1" x14ac:dyDescent="0.2">
      <c r="A165" s="82" t="s">
        <v>101</v>
      </c>
      <c r="B165" s="82">
        <v>2615906514</v>
      </c>
      <c r="C165" s="82" t="s">
        <v>68</v>
      </c>
      <c r="D165" s="82" t="s">
        <v>20</v>
      </c>
      <c r="E165" s="82" t="s">
        <v>102</v>
      </c>
      <c r="F165" s="82" t="s">
        <v>344</v>
      </c>
      <c r="G165" s="82">
        <v>71</v>
      </c>
      <c r="H165" s="82"/>
      <c r="I165" s="82" t="s">
        <v>650</v>
      </c>
      <c r="J165" s="82" t="s">
        <v>2588</v>
      </c>
      <c r="K165" s="82" t="s">
        <v>2657</v>
      </c>
      <c r="L165" s="82" t="s">
        <v>987</v>
      </c>
      <c r="M165" s="82" t="s">
        <v>2658</v>
      </c>
      <c r="N165" s="82" t="s">
        <v>2596</v>
      </c>
      <c r="O165" s="36" t="s">
        <v>108</v>
      </c>
      <c r="P165" s="18"/>
      <c r="Q165" s="28" t="s">
        <v>108</v>
      </c>
      <c r="R165" s="18"/>
      <c r="S165" s="28" t="s">
        <v>108</v>
      </c>
      <c r="T165" s="18"/>
      <c r="U165" s="28" t="s">
        <v>108</v>
      </c>
      <c r="V165" s="18"/>
      <c r="W165" s="28" t="s">
        <v>108</v>
      </c>
      <c r="X165" s="18"/>
      <c r="Y165" s="28" t="s">
        <v>14</v>
      </c>
      <c r="Z165" s="18"/>
      <c r="AA165" s="28" t="s">
        <v>114</v>
      </c>
      <c r="AB165" s="17" t="s">
        <v>2659</v>
      </c>
      <c r="AC165" s="28" t="s">
        <v>108</v>
      </c>
      <c r="AD165" s="17"/>
      <c r="AE165" s="28" t="s">
        <v>108</v>
      </c>
      <c r="AF165" s="71" t="str">
        <f t="shared" si="10"/>
        <v>NC</v>
      </c>
      <c r="AG165" s="21" t="str">
        <f t="shared" si="11"/>
        <v>UTILIZOU O PDA CORRETAMENTE. NÃO HÁ FOTOS DE TODAS AS ETAPAS</v>
      </c>
      <c r="AH165" s="1" t="s">
        <v>4</v>
      </c>
      <c r="AI165" s="29" t="str">
        <f t="shared" si="9"/>
        <v>GUARULHOS</v>
      </c>
      <c r="AJ165" s="32" t="s">
        <v>1</v>
      </c>
    </row>
    <row r="166" spans="1:36" ht="30" customHeight="1" x14ac:dyDescent="0.2">
      <c r="A166" s="82" t="s">
        <v>101</v>
      </c>
      <c r="B166" s="82">
        <v>2615735563</v>
      </c>
      <c r="C166" s="82" t="s">
        <v>71</v>
      </c>
      <c r="D166" s="82" t="s">
        <v>20</v>
      </c>
      <c r="E166" s="82" t="s">
        <v>102</v>
      </c>
      <c r="F166" s="82" t="s">
        <v>853</v>
      </c>
      <c r="G166" s="82">
        <v>555</v>
      </c>
      <c r="H166" s="82" t="s">
        <v>110</v>
      </c>
      <c r="I166" s="82" t="s">
        <v>282</v>
      </c>
      <c r="J166" s="82" t="s">
        <v>2586</v>
      </c>
      <c r="K166" s="82" t="s">
        <v>117</v>
      </c>
      <c r="L166" s="82" t="s">
        <v>987</v>
      </c>
      <c r="M166" s="82" t="s">
        <v>2660</v>
      </c>
      <c r="N166" s="82" t="s">
        <v>2596</v>
      </c>
      <c r="O166" s="36" t="s">
        <v>108</v>
      </c>
      <c r="P166" s="18"/>
      <c r="Q166" s="28" t="s">
        <v>108</v>
      </c>
      <c r="R166" s="18"/>
      <c r="S166" s="28" t="s">
        <v>114</v>
      </c>
      <c r="T166" s="18" t="s">
        <v>2661</v>
      </c>
      <c r="U166" s="28" t="s">
        <v>108</v>
      </c>
      <c r="V166" s="18"/>
      <c r="W166" s="28" t="s">
        <v>108</v>
      </c>
      <c r="X166" s="18"/>
      <c r="Y166" s="28" t="s">
        <v>108</v>
      </c>
      <c r="Z166" s="18"/>
      <c r="AA166" s="28" t="s">
        <v>108</v>
      </c>
      <c r="AB166" s="17"/>
      <c r="AC166" s="28" t="s">
        <v>114</v>
      </c>
      <c r="AD166" s="17" t="s">
        <v>2662</v>
      </c>
      <c r="AE166" s="28" t="s">
        <v>108</v>
      </c>
      <c r="AF166" s="71" t="str">
        <f t="shared" si="10"/>
        <v>NC</v>
      </c>
      <c r="AG166" s="21" t="str">
        <f t="shared" si="11"/>
        <v>UTILIZOU O PDA CORRETAMENTE. NÃO HÁ FOTOS DE TODAS AS ETAPAS</v>
      </c>
      <c r="AH166" s="1" t="s">
        <v>4</v>
      </c>
      <c r="AI166" s="29" t="str">
        <f t="shared" si="9"/>
        <v>GUARULHOS</v>
      </c>
      <c r="AJ166" s="32" t="s">
        <v>1</v>
      </c>
    </row>
    <row r="167" spans="1:36" ht="30" customHeight="1" x14ac:dyDescent="0.2">
      <c r="A167" s="82" t="s">
        <v>101</v>
      </c>
      <c r="B167" s="82">
        <v>2615762823</v>
      </c>
      <c r="C167" s="82" t="s">
        <v>68</v>
      </c>
      <c r="D167" s="82" t="s">
        <v>20</v>
      </c>
      <c r="E167" s="82" t="s">
        <v>102</v>
      </c>
      <c r="F167" s="82" t="s">
        <v>856</v>
      </c>
      <c r="G167" s="82">
        <v>21</v>
      </c>
      <c r="H167" s="82"/>
      <c r="I167" s="82" t="s">
        <v>473</v>
      </c>
      <c r="J167" s="82" t="s">
        <v>2588</v>
      </c>
      <c r="K167" s="82"/>
      <c r="L167" s="82" t="s">
        <v>987</v>
      </c>
      <c r="M167" s="82" t="s">
        <v>2663</v>
      </c>
      <c r="N167" s="82" t="s">
        <v>2596</v>
      </c>
      <c r="O167" s="36" t="s">
        <v>108</v>
      </c>
      <c r="P167" s="18"/>
      <c r="Q167" s="28" t="s">
        <v>108</v>
      </c>
      <c r="R167" s="18"/>
      <c r="S167" s="28" t="s">
        <v>108</v>
      </c>
      <c r="T167" s="18"/>
      <c r="U167" s="28" t="s">
        <v>108</v>
      </c>
      <c r="V167" s="18"/>
      <c r="W167" s="28" t="s">
        <v>108</v>
      </c>
      <c r="X167" s="18"/>
      <c r="Y167" s="28" t="s">
        <v>108</v>
      </c>
      <c r="Z167" s="18"/>
      <c r="AA167" s="28" t="s">
        <v>14</v>
      </c>
      <c r="AB167" s="17"/>
      <c r="AC167" s="28" t="s">
        <v>108</v>
      </c>
      <c r="AD167" s="17"/>
      <c r="AE167" s="28" t="s">
        <v>108</v>
      </c>
      <c r="AF167" s="71" t="str">
        <f t="shared" si="10"/>
        <v>C</v>
      </c>
      <c r="AG167" s="21" t="str">
        <f t="shared" si="11"/>
        <v>UTILIZOU O PDA CORRETAMENTE</v>
      </c>
      <c r="AH167" s="1" t="s">
        <v>4</v>
      </c>
      <c r="AI167" s="29" t="str">
        <f t="shared" si="9"/>
        <v>GUARULHOS</v>
      </c>
      <c r="AJ167" s="32" t="s">
        <v>1</v>
      </c>
    </row>
    <row r="168" spans="1:36" ht="30" customHeight="1" x14ac:dyDescent="0.2">
      <c r="A168" s="82" t="s">
        <v>101</v>
      </c>
      <c r="B168" s="82">
        <v>2615682121</v>
      </c>
      <c r="C168" s="82" t="s">
        <v>71</v>
      </c>
      <c r="D168" s="82" t="s">
        <v>20</v>
      </c>
      <c r="E168" s="82" t="s">
        <v>102</v>
      </c>
      <c r="F168" s="82" t="s">
        <v>729</v>
      </c>
      <c r="G168" s="82">
        <v>150</v>
      </c>
      <c r="H168" s="82" t="s">
        <v>730</v>
      </c>
      <c r="I168" s="82" t="s">
        <v>179</v>
      </c>
      <c r="J168" s="82" t="s">
        <v>2586</v>
      </c>
      <c r="K168" s="82" t="s">
        <v>2634</v>
      </c>
      <c r="L168" s="82" t="s">
        <v>987</v>
      </c>
      <c r="M168" s="82" t="s">
        <v>2664</v>
      </c>
      <c r="N168" s="82" t="s">
        <v>2596</v>
      </c>
      <c r="O168" s="26" t="s">
        <v>14</v>
      </c>
      <c r="P168" s="1"/>
      <c r="Q168" s="28" t="s">
        <v>14</v>
      </c>
      <c r="R168" s="18"/>
      <c r="S168" s="28" t="s">
        <v>14</v>
      </c>
      <c r="T168" s="18"/>
      <c r="U168" s="28" t="s">
        <v>14</v>
      </c>
      <c r="V168" s="18"/>
      <c r="W168" s="28" t="s">
        <v>14</v>
      </c>
      <c r="X168" s="18"/>
      <c r="Y168" s="28" t="s">
        <v>14</v>
      </c>
      <c r="Z168" s="18"/>
      <c r="AA168" s="28" t="s">
        <v>14</v>
      </c>
      <c r="AB168" s="17"/>
      <c r="AC168" s="28" t="s">
        <v>14</v>
      </c>
      <c r="AD168" s="17"/>
      <c r="AE168" s="28" t="s">
        <v>14</v>
      </c>
      <c r="AF168" s="71" t="str">
        <f t="shared" si="10"/>
        <v>NA</v>
      </c>
      <c r="AG168" s="21" t="str">
        <f t="shared" si="11"/>
        <v>NÃO AVALIADO POR FALHA DE SINCRONISMO</v>
      </c>
      <c r="AH168" s="1" t="s">
        <v>4</v>
      </c>
      <c r="AI168" s="29" t="str">
        <f t="shared" si="9"/>
        <v>GUARULHOS</v>
      </c>
      <c r="AJ168" s="32" t="s">
        <v>1</v>
      </c>
    </row>
    <row r="169" spans="1:36" ht="30" customHeight="1" x14ac:dyDescent="0.2">
      <c r="A169" s="82" t="s">
        <v>101</v>
      </c>
      <c r="B169" s="82">
        <v>2615594544</v>
      </c>
      <c r="C169" s="82" t="s">
        <v>70</v>
      </c>
      <c r="D169" s="82" t="s">
        <v>20</v>
      </c>
      <c r="E169" s="82" t="s">
        <v>102</v>
      </c>
      <c r="F169" s="82" t="s">
        <v>871</v>
      </c>
      <c r="G169" s="82">
        <v>52</v>
      </c>
      <c r="H169" s="82" t="s">
        <v>110</v>
      </c>
      <c r="I169" s="82" t="s">
        <v>220</v>
      </c>
      <c r="J169" s="82" t="s">
        <v>2588</v>
      </c>
      <c r="K169" s="82"/>
      <c r="L169" s="82" t="s">
        <v>987</v>
      </c>
      <c r="M169" s="82" t="s">
        <v>2665</v>
      </c>
      <c r="N169" s="82" t="s">
        <v>2596</v>
      </c>
      <c r="O169" s="36" t="s">
        <v>108</v>
      </c>
      <c r="P169" s="18"/>
      <c r="Q169" s="28" t="s">
        <v>108</v>
      </c>
      <c r="R169" s="18"/>
      <c r="S169" s="28" t="s">
        <v>108</v>
      </c>
      <c r="T169" s="18"/>
      <c r="U169" s="28" t="s">
        <v>108</v>
      </c>
      <c r="V169" s="18"/>
      <c r="W169" s="28" t="s">
        <v>108</v>
      </c>
      <c r="X169" s="18"/>
      <c r="Y169" s="28" t="s">
        <v>108</v>
      </c>
      <c r="Z169" s="18"/>
      <c r="AA169" s="28" t="s">
        <v>108</v>
      </c>
      <c r="AB169" s="17"/>
      <c r="AC169" s="28" t="s">
        <v>108</v>
      </c>
      <c r="AD169" s="17"/>
      <c r="AE169" s="28" t="s">
        <v>108</v>
      </c>
      <c r="AF169" s="71" t="str">
        <f t="shared" si="10"/>
        <v>C</v>
      </c>
      <c r="AG169" s="21" t="str">
        <f t="shared" si="11"/>
        <v>UTILIZOU O PDA CORRETAMENTE</v>
      </c>
      <c r="AH169" s="1" t="s">
        <v>4</v>
      </c>
      <c r="AI169" s="29" t="str">
        <f t="shared" si="9"/>
        <v>GUARULHOS</v>
      </c>
      <c r="AJ169" s="32" t="s">
        <v>1</v>
      </c>
    </row>
    <row r="170" spans="1:36" ht="30" customHeight="1" x14ac:dyDescent="0.2">
      <c r="A170" s="82" t="s">
        <v>101</v>
      </c>
      <c r="B170" s="82">
        <v>2615308000</v>
      </c>
      <c r="C170" s="82" t="s">
        <v>71</v>
      </c>
      <c r="D170" s="82" t="s">
        <v>20</v>
      </c>
      <c r="E170" s="82" t="s">
        <v>102</v>
      </c>
      <c r="F170" s="82" t="s">
        <v>758</v>
      </c>
      <c r="G170" s="82">
        <v>11</v>
      </c>
      <c r="H170" s="82" t="s">
        <v>762</v>
      </c>
      <c r="I170" s="82" t="s">
        <v>154</v>
      </c>
      <c r="J170" s="82" t="s">
        <v>2586</v>
      </c>
      <c r="K170" s="82" t="s">
        <v>117</v>
      </c>
      <c r="L170" s="82" t="s">
        <v>987</v>
      </c>
      <c r="M170" s="82" t="s">
        <v>2654</v>
      </c>
      <c r="N170" s="82" t="s">
        <v>2596</v>
      </c>
      <c r="O170" s="36" t="s">
        <v>108</v>
      </c>
      <c r="P170" s="18"/>
      <c r="Q170" s="28" t="s">
        <v>108</v>
      </c>
      <c r="R170" s="18"/>
      <c r="S170" s="28" t="s">
        <v>114</v>
      </c>
      <c r="T170" s="18" t="s">
        <v>2666</v>
      </c>
      <c r="U170" s="28" t="s">
        <v>108</v>
      </c>
      <c r="V170" s="18"/>
      <c r="W170" s="28" t="s">
        <v>108</v>
      </c>
      <c r="X170" s="18"/>
      <c r="Y170" s="28" t="s">
        <v>108</v>
      </c>
      <c r="Z170" s="18"/>
      <c r="AA170" s="28" t="s">
        <v>108</v>
      </c>
      <c r="AB170" s="17"/>
      <c r="AC170" s="28" t="s">
        <v>108</v>
      </c>
      <c r="AD170" s="17"/>
      <c r="AE170" s="28" t="s">
        <v>108</v>
      </c>
      <c r="AF170" s="71" t="str">
        <f t="shared" si="10"/>
        <v>NC</v>
      </c>
      <c r="AG170" s="21" t="str">
        <f t="shared" si="11"/>
        <v>UTILIZOU O PDA CORRETAMENTE. NÃO HÁ FOTOS DE TODAS AS ETAPAS</v>
      </c>
      <c r="AH170" s="1" t="s">
        <v>4</v>
      </c>
      <c r="AI170" s="29" t="str">
        <f t="shared" si="9"/>
        <v>GUARULHOS</v>
      </c>
      <c r="AJ170" s="32" t="s">
        <v>1</v>
      </c>
    </row>
    <row r="171" spans="1:36" ht="30" customHeight="1" x14ac:dyDescent="0.2">
      <c r="A171" s="82" t="s">
        <v>101</v>
      </c>
      <c r="B171" s="82">
        <v>2690633637</v>
      </c>
      <c r="C171" s="82" t="s">
        <v>68</v>
      </c>
      <c r="D171" s="82" t="s">
        <v>20</v>
      </c>
      <c r="E171" s="82" t="s">
        <v>102</v>
      </c>
      <c r="F171" s="82" t="s">
        <v>854</v>
      </c>
      <c r="G171" s="82">
        <v>115</v>
      </c>
      <c r="H171" s="82" t="s">
        <v>855</v>
      </c>
      <c r="I171" s="82" t="s">
        <v>389</v>
      </c>
      <c r="J171" s="82" t="s">
        <v>2588</v>
      </c>
      <c r="K171" s="82"/>
      <c r="L171" s="82" t="s">
        <v>987</v>
      </c>
      <c r="M171" s="82" t="s">
        <v>2667</v>
      </c>
      <c r="N171" s="82" t="s">
        <v>2603</v>
      </c>
      <c r="O171" s="36" t="s">
        <v>114</v>
      </c>
      <c r="P171" s="18"/>
      <c r="Q171" s="28" t="s">
        <v>114</v>
      </c>
      <c r="R171" s="18"/>
      <c r="S171" s="28" t="s">
        <v>114</v>
      </c>
      <c r="T171" s="18"/>
      <c r="U171" s="28" t="s">
        <v>114</v>
      </c>
      <c r="V171" s="18"/>
      <c r="W171" s="28" t="s">
        <v>114</v>
      </c>
      <c r="X171" s="18"/>
      <c r="Y171" s="28" t="s">
        <v>114</v>
      </c>
      <c r="Z171" s="18"/>
      <c r="AA171" s="28" t="s">
        <v>114</v>
      </c>
      <c r="AB171" s="17"/>
      <c r="AC171" s="28" t="s">
        <v>114</v>
      </c>
      <c r="AD171" s="17"/>
      <c r="AE171" s="28" t="s">
        <v>114</v>
      </c>
      <c r="AF171" s="71" t="str">
        <f t="shared" si="10"/>
        <v>NC</v>
      </c>
      <c r="AG171" s="21" t="s">
        <v>279</v>
      </c>
      <c r="AH171" s="1" t="s">
        <v>4</v>
      </c>
      <c r="AI171" s="29" t="str">
        <f t="shared" si="9"/>
        <v>GUARULHOS</v>
      </c>
      <c r="AJ171" s="32" t="s">
        <v>1</v>
      </c>
    </row>
    <row r="172" spans="1:36" ht="30" customHeight="1" x14ac:dyDescent="0.2">
      <c r="A172" s="82" t="s">
        <v>101</v>
      </c>
      <c r="B172" s="82">
        <v>2615717528</v>
      </c>
      <c r="C172" s="82" t="s">
        <v>70</v>
      </c>
      <c r="D172" s="82" t="s">
        <v>20</v>
      </c>
      <c r="E172" s="82" t="s">
        <v>102</v>
      </c>
      <c r="F172" s="82" t="s">
        <v>852</v>
      </c>
      <c r="G172" s="82">
        <v>176</v>
      </c>
      <c r="H172" s="82" t="s">
        <v>241</v>
      </c>
      <c r="I172" s="82" t="s">
        <v>247</v>
      </c>
      <c r="J172" s="82" t="s">
        <v>2588</v>
      </c>
      <c r="K172" s="82" t="s">
        <v>117</v>
      </c>
      <c r="L172" s="82" t="s">
        <v>987</v>
      </c>
      <c r="M172" s="82" t="s">
        <v>2668</v>
      </c>
      <c r="N172" s="82" t="s">
        <v>2603</v>
      </c>
      <c r="O172" s="36" t="s">
        <v>114</v>
      </c>
      <c r="P172" s="18"/>
      <c r="Q172" s="28" t="s">
        <v>114</v>
      </c>
      <c r="R172" s="18"/>
      <c r="S172" s="28" t="s">
        <v>114</v>
      </c>
      <c r="T172" s="18"/>
      <c r="U172" s="28" t="s">
        <v>114</v>
      </c>
      <c r="V172" s="18"/>
      <c r="W172" s="28" t="s">
        <v>114</v>
      </c>
      <c r="X172" s="18"/>
      <c r="Y172" s="28" t="s">
        <v>114</v>
      </c>
      <c r="Z172" s="18"/>
      <c r="AA172" s="28" t="s">
        <v>114</v>
      </c>
      <c r="AB172" s="17"/>
      <c r="AC172" s="28" t="s">
        <v>114</v>
      </c>
      <c r="AD172" s="17"/>
      <c r="AE172" s="28" t="s">
        <v>114</v>
      </c>
      <c r="AF172" s="71" t="str">
        <f t="shared" si="10"/>
        <v>NC</v>
      </c>
      <c r="AG172" s="21" t="s">
        <v>279</v>
      </c>
      <c r="AH172" s="1" t="s">
        <v>4</v>
      </c>
      <c r="AI172" s="29" t="str">
        <f t="shared" si="9"/>
        <v>GUARULHOS</v>
      </c>
      <c r="AJ172" s="32" t="s">
        <v>1</v>
      </c>
    </row>
    <row r="173" spans="1:36" ht="30" customHeight="1" x14ac:dyDescent="0.2">
      <c r="A173" s="82" t="s">
        <v>101</v>
      </c>
      <c r="B173" s="82">
        <v>2615910566</v>
      </c>
      <c r="C173" s="82" t="s">
        <v>71</v>
      </c>
      <c r="D173" s="82" t="s">
        <v>20</v>
      </c>
      <c r="E173" s="82" t="s">
        <v>102</v>
      </c>
      <c r="F173" s="82" t="s">
        <v>1796</v>
      </c>
      <c r="G173" s="82">
        <v>178</v>
      </c>
      <c r="H173" s="82" t="s">
        <v>1797</v>
      </c>
      <c r="I173" s="82" t="s">
        <v>1446</v>
      </c>
      <c r="J173" s="82" t="s">
        <v>2586</v>
      </c>
      <c r="K173" s="82" t="s">
        <v>2637</v>
      </c>
      <c r="L173" s="82" t="s">
        <v>1038</v>
      </c>
      <c r="M173" s="82" t="s">
        <v>2669</v>
      </c>
      <c r="N173" s="82" t="s">
        <v>2596</v>
      </c>
      <c r="O173" s="26" t="s">
        <v>14</v>
      </c>
      <c r="P173" s="1"/>
      <c r="Q173" s="28" t="s">
        <v>14</v>
      </c>
      <c r="R173" s="18"/>
      <c r="S173" s="28" t="s">
        <v>14</v>
      </c>
      <c r="T173" s="18"/>
      <c r="U173" s="28" t="s">
        <v>14</v>
      </c>
      <c r="V173" s="18"/>
      <c r="W173" s="28" t="s">
        <v>14</v>
      </c>
      <c r="X173" s="18"/>
      <c r="Y173" s="28" t="s">
        <v>14</v>
      </c>
      <c r="Z173" s="18"/>
      <c r="AA173" s="28" t="s">
        <v>14</v>
      </c>
      <c r="AB173" s="17"/>
      <c r="AC173" s="28" t="s">
        <v>14</v>
      </c>
      <c r="AD173" s="17"/>
      <c r="AE173" s="28" t="s">
        <v>14</v>
      </c>
      <c r="AF173" s="71" t="str">
        <f t="shared" ref="AF173:AF174" si="12">IF(AND(O173="",Q173="",S173="",U173="",W173="",Y173="",AA173="",AC173=""),"",
IF(OR(    AND(O173&lt;&gt;"NA",O173&lt;&gt;"C",O173&lt;&gt;"NC",O173&lt;&gt;"SF",O173&lt;&gt;""),
    AND(Q173&lt;&gt;"NA",Q173&lt;&gt;"C",Q173&lt;&gt;"NC",Q173&lt;&gt;"SF",Q173&lt;&gt;""),
    AND(S173&lt;&gt;"NA",S173&lt;&gt;"C",S173&lt;&gt;"NC",S173&lt;&gt;"SF",S173&lt;&gt;""),
    AND(U173&lt;&gt;"NA",U173&lt;&gt;"C",U173&lt;&gt;"NC",U173&lt;&gt;"SF",U173&lt;&gt;""),
    AND(W173&lt;&gt;"NA",W173&lt;&gt;"C",W173&lt;&gt;"NC",W173&lt;&gt;"SF",W173&lt;&gt;""),
    AND(Y173&lt;&gt;"NA",Y173&lt;&gt;"C",Y173&lt;&gt;"NC",Y173&lt;&gt;"SF",Y173&lt;&gt;""),
    AND(AA173&lt;&gt;"NA",AA173&lt;&gt;"C",AA173&lt;&gt;"NC",AA173&lt;&gt;"SF",AA173&lt;&gt;""),
    AND(AC173&lt;&gt;"NA",AC173&lt;&gt;"C",AC173&lt;&gt;"NC",AC173&lt;&gt;"SF",AC173&lt;&gt;"")
),"FALSO",
IF(AND(O173="NA",Q173="NA",S173="NA",U173="NA",W173="NA",Y173="NA",AA173="NA",AC173="NA"),"NA",
IF(OR(O173="NC",Q173="NC",S173="NC",U173="NC",W173="NC",Y173="NC",AA173="NC",AC173="NC",
       O173="SF",Q173="SF",S173="SF",U173="SF",W173="SF",Y173="SF",AA173="SF",AC173="SF"),"NC",
IF(SUM(IF(O173="C",1,0),IF(Q173="C",1,0),IF(S173="C",1,0),IF(U173="C",1,0),IF(W173="C",1,0),IF(Y173="C",1,0),IF(AA173="C",1,0),IF(AC173="C",1,0))=1,"C","C")))))</f>
        <v>NA</v>
      </c>
      <c r="AG173" s="21" t="str">
        <f t="shared" ref="AG173:AG174" si="13">IF(AND(AE173="C",AF173="C"),"UTILIZOU O PDA CORRETAMENTE",IF(AND(AE173="C",AF173="NC"),"UTILIZOU O PDA CORRETAMENTE. NÃO HÁ FOTOS DE TODAS AS ETAPAS",IF(AND(AE173="NC",AF173="NC"),"NÃO UTILIZOU O PDA",IF(AND(AE173="NA",AF173="NA"),"NÃO AVALIADO POR FALHA DE SINCRONISMO"))))</f>
        <v>NÃO AVALIADO POR FALHA DE SINCRONISMO</v>
      </c>
      <c r="AH173" s="1" t="s">
        <v>4</v>
      </c>
      <c r="AI173" s="29" t="str">
        <f t="shared" ref="AI173:AI174" si="14">E173</f>
        <v>GUARULHOS</v>
      </c>
      <c r="AJ173" s="32" t="s">
        <v>1</v>
      </c>
    </row>
    <row r="174" spans="1:36" ht="30" customHeight="1" x14ac:dyDescent="0.2">
      <c r="A174" s="82" t="s">
        <v>101</v>
      </c>
      <c r="B174" s="82">
        <v>2615565603</v>
      </c>
      <c r="C174" s="82" t="s">
        <v>71</v>
      </c>
      <c r="D174" s="82" t="s">
        <v>20</v>
      </c>
      <c r="E174" s="82" t="s">
        <v>102</v>
      </c>
      <c r="F174" s="82" t="s">
        <v>1104</v>
      </c>
      <c r="G174" s="82">
        <v>12</v>
      </c>
      <c r="H174" s="82" t="s">
        <v>110</v>
      </c>
      <c r="I174" s="82" t="s">
        <v>154</v>
      </c>
      <c r="J174" s="82" t="s">
        <v>2586</v>
      </c>
      <c r="K174" s="82" t="s">
        <v>2670</v>
      </c>
      <c r="L174" s="82" t="s">
        <v>1141</v>
      </c>
      <c r="M174" s="82" t="s">
        <v>2671</v>
      </c>
      <c r="N174" s="82" t="s">
        <v>2596</v>
      </c>
      <c r="O174" s="26" t="s">
        <v>14</v>
      </c>
      <c r="P174" s="1"/>
      <c r="Q174" s="28" t="s">
        <v>14</v>
      </c>
      <c r="R174" s="18"/>
      <c r="S174" s="28" t="s">
        <v>14</v>
      </c>
      <c r="T174" s="18"/>
      <c r="U174" s="28" t="s">
        <v>14</v>
      </c>
      <c r="V174" s="18"/>
      <c r="W174" s="28" t="s">
        <v>14</v>
      </c>
      <c r="X174" s="18"/>
      <c r="Y174" s="28" t="s">
        <v>14</v>
      </c>
      <c r="Z174" s="18"/>
      <c r="AA174" s="28" t="s">
        <v>14</v>
      </c>
      <c r="AB174" s="17"/>
      <c r="AC174" s="28" t="s">
        <v>14</v>
      </c>
      <c r="AD174" s="17"/>
      <c r="AE174" s="28" t="s">
        <v>14</v>
      </c>
      <c r="AF174" s="71" t="str">
        <f t="shared" si="12"/>
        <v>NA</v>
      </c>
      <c r="AG174" s="21" t="str">
        <f t="shared" si="13"/>
        <v>NÃO AVALIADO POR FALHA DE SINCRONISMO</v>
      </c>
      <c r="AH174" s="1" t="s">
        <v>4</v>
      </c>
      <c r="AI174" s="29" t="str">
        <f t="shared" si="14"/>
        <v>GUARULHOS</v>
      </c>
      <c r="AJ174" s="32" t="s">
        <v>1</v>
      </c>
    </row>
    <row r="175" spans="1:36" ht="30" customHeight="1" x14ac:dyDescent="0.2">
      <c r="A175" s="82" t="s">
        <v>101</v>
      </c>
      <c r="B175" s="82">
        <v>2691286731</v>
      </c>
      <c r="C175" s="82" t="s">
        <v>68</v>
      </c>
      <c r="D175" s="82" t="s">
        <v>20</v>
      </c>
      <c r="E175" s="82" t="s">
        <v>102</v>
      </c>
      <c r="F175" s="82" t="s">
        <v>744</v>
      </c>
      <c r="G175" s="82">
        <v>87</v>
      </c>
      <c r="H175" s="82" t="s">
        <v>745</v>
      </c>
      <c r="I175" s="82" t="s">
        <v>352</v>
      </c>
      <c r="J175" s="82" t="s">
        <v>2588</v>
      </c>
      <c r="K175" s="82" t="s">
        <v>117</v>
      </c>
      <c r="L175" s="82" t="s">
        <v>1253</v>
      </c>
      <c r="M175" s="82" t="s">
        <v>2672</v>
      </c>
      <c r="N175" s="82" t="s">
        <v>2603</v>
      </c>
      <c r="O175" s="36" t="s">
        <v>114</v>
      </c>
      <c r="P175" s="18"/>
      <c r="Q175" s="28" t="s">
        <v>114</v>
      </c>
      <c r="R175" s="18"/>
      <c r="S175" s="28" t="s">
        <v>114</v>
      </c>
      <c r="T175" s="18"/>
      <c r="U175" s="28" t="s">
        <v>114</v>
      </c>
      <c r="V175" s="18"/>
      <c r="W175" s="28" t="s">
        <v>114</v>
      </c>
      <c r="X175" s="18"/>
      <c r="Y175" s="28" t="s">
        <v>114</v>
      </c>
      <c r="Z175" s="18"/>
      <c r="AA175" s="28" t="s">
        <v>114</v>
      </c>
      <c r="AB175" s="17"/>
      <c r="AC175" s="28" t="s">
        <v>114</v>
      </c>
      <c r="AD175" s="17"/>
      <c r="AE175" s="28" t="s">
        <v>114</v>
      </c>
      <c r="AF175" s="71" t="str">
        <f t="shared" ref="AF175:AF231" si="15">IF(AND(O175="",Q175="",S175="",U175="",W175="",Y175="",AA175="",AC175=""),"",
IF(OR(    AND(O175&lt;&gt;"NA",O175&lt;&gt;"C",O175&lt;&gt;"NC",O175&lt;&gt;"SF",O175&lt;&gt;""),
    AND(Q175&lt;&gt;"NA",Q175&lt;&gt;"C",Q175&lt;&gt;"NC",Q175&lt;&gt;"SF",Q175&lt;&gt;""),
    AND(S175&lt;&gt;"NA",S175&lt;&gt;"C",S175&lt;&gt;"NC",S175&lt;&gt;"SF",S175&lt;&gt;""),
    AND(U175&lt;&gt;"NA",U175&lt;&gt;"C",U175&lt;&gt;"NC",U175&lt;&gt;"SF",U175&lt;&gt;""),
    AND(W175&lt;&gt;"NA",W175&lt;&gt;"C",W175&lt;&gt;"NC",W175&lt;&gt;"SF",W175&lt;&gt;""),
    AND(Y175&lt;&gt;"NA",Y175&lt;&gt;"C",Y175&lt;&gt;"NC",Y175&lt;&gt;"SF",Y175&lt;&gt;""),
    AND(AA175&lt;&gt;"NA",AA175&lt;&gt;"C",AA175&lt;&gt;"NC",AA175&lt;&gt;"SF",AA175&lt;&gt;""),
    AND(AC175&lt;&gt;"NA",AC175&lt;&gt;"C",AC175&lt;&gt;"NC",AC175&lt;&gt;"SF",AC175&lt;&gt;"")
),"FALSO",
IF(AND(O175="NA",Q175="NA",S175="NA",U175="NA",W175="NA",Y175="NA",AA175="NA",AC175="NA"),"NA",
IF(OR(O175="NC",Q175="NC",S175="NC",U175="NC",W175="NC",Y175="NC",AA175="NC",AC175="NC",
       O175="SF",Q175="SF",S175="SF",U175="SF",W175="SF",Y175="SF",AA175="SF",AC175="SF"),"NC",
IF(SUM(IF(O175="C",1,0),IF(Q175="C",1,0),IF(S175="C",1,0),IF(U175="C",1,0),IF(W175="C",1,0),IF(Y175="C",1,0),IF(AA175="C",1,0),IF(AC175="C",1,0))=1,"C","C")))))</f>
        <v>NC</v>
      </c>
      <c r="AG175" s="21" t="str">
        <f t="shared" ref="AG175:AG230" si="16">IF(AND(AE175="C",AF175="C"),"UTILIZOU O PDA CORRETAMENTE",IF(AND(AE175="C",AF175="NC"),"UTILIZOU O PDA CORRETAMENTE. NÃO HÁ FOTOS DE TODAS AS ETAPAS",IF(AND(AE175="NC",AF175="NC"),"NÃO UTILIZOU O PDA",IF(AND(AE175="NA",AF175="NA"),"NÃO AVALIADO POR FALHA DE SINCRONISMO"))))</f>
        <v>NÃO UTILIZOU O PDA</v>
      </c>
      <c r="AH175" s="1" t="s">
        <v>4</v>
      </c>
      <c r="AI175" s="29" t="str">
        <f t="shared" ref="AI175:AI220" si="17">E175</f>
        <v>GUARULHOS</v>
      </c>
      <c r="AJ175" s="32" t="s">
        <v>1</v>
      </c>
    </row>
    <row r="176" spans="1:36" ht="30" customHeight="1" x14ac:dyDescent="0.2">
      <c r="A176" s="82" t="s">
        <v>101</v>
      </c>
      <c r="B176" s="82">
        <v>2617114765</v>
      </c>
      <c r="C176" s="82" t="s">
        <v>71</v>
      </c>
      <c r="D176" s="82" t="s">
        <v>20</v>
      </c>
      <c r="E176" s="82" t="s">
        <v>102</v>
      </c>
      <c r="F176" s="82" t="s">
        <v>932</v>
      </c>
      <c r="G176" s="82">
        <v>4447</v>
      </c>
      <c r="H176" s="82" t="s">
        <v>933</v>
      </c>
      <c r="I176" s="82" t="s">
        <v>264</v>
      </c>
      <c r="J176" s="82" t="s">
        <v>2586</v>
      </c>
      <c r="K176" s="82"/>
      <c r="L176" s="82" t="s">
        <v>1253</v>
      </c>
      <c r="M176" s="82" t="s">
        <v>2673</v>
      </c>
      <c r="N176" s="82" t="s">
        <v>2603</v>
      </c>
      <c r="O176" s="36" t="s">
        <v>114</v>
      </c>
      <c r="P176" s="18" t="s">
        <v>279</v>
      </c>
      <c r="Q176" s="28" t="s">
        <v>114</v>
      </c>
      <c r="R176" s="18" t="s">
        <v>279</v>
      </c>
      <c r="S176" s="28" t="s">
        <v>114</v>
      </c>
      <c r="T176" s="18" t="s">
        <v>279</v>
      </c>
      <c r="U176" s="28" t="s">
        <v>114</v>
      </c>
      <c r="V176" s="18" t="s">
        <v>279</v>
      </c>
      <c r="W176" s="28" t="s">
        <v>114</v>
      </c>
      <c r="X176" s="18" t="s">
        <v>279</v>
      </c>
      <c r="Y176" s="28" t="s">
        <v>114</v>
      </c>
      <c r="Z176" s="18" t="s">
        <v>279</v>
      </c>
      <c r="AA176" s="28" t="s">
        <v>114</v>
      </c>
      <c r="AB176" s="17" t="s">
        <v>279</v>
      </c>
      <c r="AC176" s="28" t="s">
        <v>114</v>
      </c>
      <c r="AD176" s="17" t="s">
        <v>279</v>
      </c>
      <c r="AE176" s="28" t="s">
        <v>114</v>
      </c>
      <c r="AF176" s="71" t="str">
        <f t="shared" si="15"/>
        <v>NC</v>
      </c>
      <c r="AG176" s="21" t="str">
        <f t="shared" si="16"/>
        <v>NÃO UTILIZOU O PDA</v>
      </c>
      <c r="AH176" s="1" t="s">
        <v>4</v>
      </c>
      <c r="AI176" s="29" t="str">
        <f t="shared" si="17"/>
        <v>GUARULHOS</v>
      </c>
      <c r="AJ176" s="32" t="s">
        <v>1</v>
      </c>
    </row>
    <row r="177" spans="1:36" ht="30" customHeight="1" x14ac:dyDescent="0.2">
      <c r="A177" s="82" t="s">
        <v>101</v>
      </c>
      <c r="B177" s="82">
        <v>2616746622</v>
      </c>
      <c r="C177" s="82" t="s">
        <v>69</v>
      </c>
      <c r="D177" s="82" t="s">
        <v>20</v>
      </c>
      <c r="E177" s="82" t="s">
        <v>102</v>
      </c>
      <c r="F177" s="82" t="s">
        <v>133</v>
      </c>
      <c r="G177" s="82">
        <v>125</v>
      </c>
      <c r="H177" s="82" t="s">
        <v>1176</v>
      </c>
      <c r="I177" s="82" t="s">
        <v>134</v>
      </c>
      <c r="J177" s="82" t="s">
        <v>2586</v>
      </c>
      <c r="K177" s="82" t="s">
        <v>117</v>
      </c>
      <c r="L177" s="82" t="s">
        <v>1253</v>
      </c>
      <c r="M177" s="82" t="s">
        <v>2674</v>
      </c>
      <c r="N177" s="82" t="s">
        <v>2603</v>
      </c>
      <c r="O177" s="36" t="s">
        <v>114</v>
      </c>
      <c r="P177" s="18"/>
      <c r="Q177" s="28" t="s">
        <v>114</v>
      </c>
      <c r="R177" s="18" t="s">
        <v>279</v>
      </c>
      <c r="S177" s="28" t="s">
        <v>114</v>
      </c>
      <c r="T177" s="18" t="s">
        <v>279</v>
      </c>
      <c r="U177" s="28" t="s">
        <v>114</v>
      </c>
      <c r="V177" s="18" t="s">
        <v>279</v>
      </c>
      <c r="W177" s="28" t="s">
        <v>114</v>
      </c>
      <c r="X177" s="18" t="s">
        <v>279</v>
      </c>
      <c r="Y177" s="28" t="s">
        <v>114</v>
      </c>
      <c r="Z177" s="18" t="s">
        <v>279</v>
      </c>
      <c r="AA177" s="28" t="s">
        <v>114</v>
      </c>
      <c r="AB177" s="17" t="s">
        <v>279</v>
      </c>
      <c r="AC177" s="28" t="s">
        <v>114</v>
      </c>
      <c r="AD177" s="17" t="s">
        <v>279</v>
      </c>
      <c r="AE177" s="28" t="s">
        <v>114</v>
      </c>
      <c r="AF177" s="71" t="str">
        <f t="shared" si="15"/>
        <v>NC</v>
      </c>
      <c r="AG177" s="21" t="str">
        <f t="shared" si="16"/>
        <v>NÃO UTILIZOU O PDA</v>
      </c>
      <c r="AH177" s="1" t="s">
        <v>4</v>
      </c>
      <c r="AI177" s="29" t="str">
        <f t="shared" si="17"/>
        <v>GUARULHOS</v>
      </c>
      <c r="AJ177" s="32" t="s">
        <v>1</v>
      </c>
    </row>
    <row r="178" spans="1:36" ht="30" customHeight="1" x14ac:dyDescent="0.2">
      <c r="A178" s="82" t="s">
        <v>101</v>
      </c>
      <c r="B178" s="82">
        <v>2616241316</v>
      </c>
      <c r="C178" s="82" t="s">
        <v>71</v>
      </c>
      <c r="D178" s="82" t="s">
        <v>20</v>
      </c>
      <c r="E178" s="82" t="s">
        <v>102</v>
      </c>
      <c r="F178" s="82" t="s">
        <v>1020</v>
      </c>
      <c r="G178" s="82">
        <v>310</v>
      </c>
      <c r="H178" s="82" t="s">
        <v>1168</v>
      </c>
      <c r="I178" s="82" t="s">
        <v>532</v>
      </c>
      <c r="J178" s="82" t="s">
        <v>2586</v>
      </c>
      <c r="K178" s="82"/>
      <c r="L178" s="82" t="s">
        <v>1253</v>
      </c>
      <c r="M178" s="82" t="s">
        <v>2675</v>
      </c>
      <c r="N178" s="82" t="s">
        <v>2603</v>
      </c>
      <c r="O178" s="36" t="s">
        <v>114</v>
      </c>
      <c r="P178" s="18" t="s">
        <v>279</v>
      </c>
      <c r="Q178" s="28" t="s">
        <v>114</v>
      </c>
      <c r="R178" s="18" t="s">
        <v>279</v>
      </c>
      <c r="S178" s="28" t="s">
        <v>114</v>
      </c>
      <c r="T178" s="18" t="s">
        <v>279</v>
      </c>
      <c r="U178" s="28" t="s">
        <v>114</v>
      </c>
      <c r="V178" s="18" t="s">
        <v>279</v>
      </c>
      <c r="W178" s="28" t="s">
        <v>114</v>
      </c>
      <c r="X178" s="18" t="s">
        <v>279</v>
      </c>
      <c r="Y178" s="28" t="s">
        <v>114</v>
      </c>
      <c r="Z178" s="18" t="s">
        <v>279</v>
      </c>
      <c r="AA178" s="28" t="s">
        <v>114</v>
      </c>
      <c r="AB178" s="17" t="s">
        <v>279</v>
      </c>
      <c r="AC178" s="28" t="s">
        <v>114</v>
      </c>
      <c r="AD178" s="17" t="s">
        <v>279</v>
      </c>
      <c r="AE178" s="28" t="s">
        <v>114</v>
      </c>
      <c r="AF178" s="71" t="str">
        <f t="shared" si="15"/>
        <v>NC</v>
      </c>
      <c r="AG178" s="21" t="str">
        <f t="shared" si="16"/>
        <v>NÃO UTILIZOU O PDA</v>
      </c>
      <c r="AH178" s="1" t="s">
        <v>4</v>
      </c>
      <c r="AI178" s="29" t="str">
        <f t="shared" si="17"/>
        <v>GUARULHOS</v>
      </c>
      <c r="AJ178" s="32" t="s">
        <v>1</v>
      </c>
    </row>
    <row r="179" spans="1:36" ht="30" customHeight="1" x14ac:dyDescent="0.2">
      <c r="A179" s="82" t="s">
        <v>101</v>
      </c>
      <c r="B179" s="82">
        <v>2691242980</v>
      </c>
      <c r="C179" s="82" t="s">
        <v>68</v>
      </c>
      <c r="D179" s="82" t="s">
        <v>20</v>
      </c>
      <c r="E179" s="82" t="s">
        <v>102</v>
      </c>
      <c r="F179" s="82" t="s">
        <v>2676</v>
      </c>
      <c r="G179" s="82">
        <v>23</v>
      </c>
      <c r="H179" s="82" t="s">
        <v>2677</v>
      </c>
      <c r="I179" s="82" t="s">
        <v>349</v>
      </c>
      <c r="J179" s="82" t="s">
        <v>2588</v>
      </c>
      <c r="K179" s="82" t="s">
        <v>117</v>
      </c>
      <c r="L179" s="82" t="s">
        <v>1253</v>
      </c>
      <c r="M179" s="82" t="s">
        <v>1263</v>
      </c>
      <c r="N179" s="82" t="s">
        <v>2603</v>
      </c>
      <c r="O179" s="36" t="s">
        <v>114</v>
      </c>
      <c r="P179" s="18" t="s">
        <v>279</v>
      </c>
      <c r="Q179" s="28" t="s">
        <v>114</v>
      </c>
      <c r="R179" s="18" t="s">
        <v>279</v>
      </c>
      <c r="S179" s="28" t="s">
        <v>114</v>
      </c>
      <c r="T179" s="18" t="s">
        <v>279</v>
      </c>
      <c r="U179" s="28" t="s">
        <v>114</v>
      </c>
      <c r="V179" s="18" t="s">
        <v>279</v>
      </c>
      <c r="W179" s="28" t="s">
        <v>114</v>
      </c>
      <c r="X179" s="18" t="s">
        <v>279</v>
      </c>
      <c r="Y179" s="28" t="s">
        <v>114</v>
      </c>
      <c r="Z179" s="18" t="s">
        <v>279</v>
      </c>
      <c r="AA179" s="28" t="s">
        <v>114</v>
      </c>
      <c r="AB179" s="17" t="s">
        <v>279</v>
      </c>
      <c r="AC179" s="28" t="s">
        <v>114</v>
      </c>
      <c r="AD179" s="17" t="s">
        <v>279</v>
      </c>
      <c r="AE179" s="28" t="s">
        <v>114</v>
      </c>
      <c r="AF179" s="71" t="str">
        <f t="shared" si="15"/>
        <v>NC</v>
      </c>
      <c r="AG179" s="21" t="str">
        <f t="shared" si="16"/>
        <v>NÃO UTILIZOU O PDA</v>
      </c>
      <c r="AH179" s="1" t="s">
        <v>4</v>
      </c>
      <c r="AI179" s="29" t="str">
        <f t="shared" si="17"/>
        <v>GUARULHOS</v>
      </c>
      <c r="AJ179" s="32" t="s">
        <v>1</v>
      </c>
    </row>
    <row r="180" spans="1:36" ht="30" customHeight="1" x14ac:dyDescent="0.2">
      <c r="A180" s="82" t="s">
        <v>101</v>
      </c>
      <c r="B180" s="82">
        <v>2616862038</v>
      </c>
      <c r="C180" s="82" t="s">
        <v>71</v>
      </c>
      <c r="D180" s="82" t="s">
        <v>20</v>
      </c>
      <c r="E180" s="82" t="s">
        <v>102</v>
      </c>
      <c r="F180" s="82" t="s">
        <v>2678</v>
      </c>
      <c r="G180" s="82">
        <v>30</v>
      </c>
      <c r="H180" s="82" t="s">
        <v>2679</v>
      </c>
      <c r="I180" s="82" t="s">
        <v>1175</v>
      </c>
      <c r="J180" s="82" t="s">
        <v>2586</v>
      </c>
      <c r="K180" s="82"/>
      <c r="L180" s="82" t="s">
        <v>1253</v>
      </c>
      <c r="M180" s="82" t="s">
        <v>2680</v>
      </c>
      <c r="N180" s="82" t="s">
        <v>2603</v>
      </c>
      <c r="O180" s="36" t="s">
        <v>114</v>
      </c>
      <c r="P180" s="18" t="s">
        <v>279</v>
      </c>
      <c r="Q180" s="28" t="s">
        <v>114</v>
      </c>
      <c r="R180" s="18" t="s">
        <v>279</v>
      </c>
      <c r="S180" s="28" t="s">
        <v>114</v>
      </c>
      <c r="T180" s="18" t="s">
        <v>279</v>
      </c>
      <c r="U180" s="28" t="s">
        <v>114</v>
      </c>
      <c r="V180" s="18" t="s">
        <v>279</v>
      </c>
      <c r="W180" s="28" t="s">
        <v>114</v>
      </c>
      <c r="X180" s="18" t="s">
        <v>279</v>
      </c>
      <c r="Y180" s="28" t="s">
        <v>114</v>
      </c>
      <c r="Z180" s="18" t="s">
        <v>279</v>
      </c>
      <c r="AA180" s="28" t="s">
        <v>114</v>
      </c>
      <c r="AB180" s="17" t="s">
        <v>279</v>
      </c>
      <c r="AC180" s="28" t="s">
        <v>114</v>
      </c>
      <c r="AD180" s="17" t="s">
        <v>279</v>
      </c>
      <c r="AE180" s="28" t="s">
        <v>114</v>
      </c>
      <c r="AF180" s="71" t="str">
        <f t="shared" si="15"/>
        <v>NC</v>
      </c>
      <c r="AG180" s="21" t="str">
        <f t="shared" si="16"/>
        <v>NÃO UTILIZOU O PDA</v>
      </c>
      <c r="AH180" s="1" t="s">
        <v>4</v>
      </c>
      <c r="AI180" s="29" t="str">
        <f t="shared" si="17"/>
        <v>GUARULHOS</v>
      </c>
      <c r="AJ180" s="32" t="s">
        <v>1</v>
      </c>
    </row>
    <row r="181" spans="1:36" ht="30" customHeight="1" x14ac:dyDescent="0.2">
      <c r="A181" s="82" t="s">
        <v>101</v>
      </c>
      <c r="B181" s="82">
        <v>2616853906</v>
      </c>
      <c r="C181" s="82" t="s">
        <v>68</v>
      </c>
      <c r="D181" s="82" t="s">
        <v>20</v>
      </c>
      <c r="E181" s="82" t="s">
        <v>102</v>
      </c>
      <c r="F181" s="82" t="s">
        <v>2152</v>
      </c>
      <c r="G181" s="82">
        <v>645</v>
      </c>
      <c r="H181" s="82" t="s">
        <v>2681</v>
      </c>
      <c r="I181" s="82" t="s">
        <v>277</v>
      </c>
      <c r="J181" s="82" t="s">
        <v>2588</v>
      </c>
      <c r="K181" s="82" t="s">
        <v>2593</v>
      </c>
      <c r="L181" s="82" t="s">
        <v>1253</v>
      </c>
      <c r="M181" s="82" t="s">
        <v>2682</v>
      </c>
      <c r="N181" s="82" t="s">
        <v>2587</v>
      </c>
      <c r="O181" s="36" t="s">
        <v>114</v>
      </c>
      <c r="P181" s="18" t="s">
        <v>279</v>
      </c>
      <c r="Q181" s="28" t="s">
        <v>114</v>
      </c>
      <c r="R181" s="18" t="s">
        <v>279</v>
      </c>
      <c r="S181" s="28" t="s">
        <v>114</v>
      </c>
      <c r="T181" s="18" t="s">
        <v>279</v>
      </c>
      <c r="U181" s="28" t="s">
        <v>114</v>
      </c>
      <c r="V181" s="18" t="s">
        <v>279</v>
      </c>
      <c r="W181" s="28" t="s">
        <v>114</v>
      </c>
      <c r="X181" s="18" t="s">
        <v>279</v>
      </c>
      <c r="Y181" s="28" t="s">
        <v>114</v>
      </c>
      <c r="Z181" s="18" t="s">
        <v>279</v>
      </c>
      <c r="AA181" s="28" t="s">
        <v>114</v>
      </c>
      <c r="AB181" s="17" t="s">
        <v>279</v>
      </c>
      <c r="AC181" s="28" t="s">
        <v>114</v>
      </c>
      <c r="AD181" s="17"/>
      <c r="AE181" s="28" t="s">
        <v>114</v>
      </c>
      <c r="AF181" s="71" t="str">
        <f t="shared" si="15"/>
        <v>NC</v>
      </c>
      <c r="AG181" s="21" t="str">
        <f t="shared" si="16"/>
        <v>NÃO UTILIZOU O PDA</v>
      </c>
      <c r="AH181" s="1" t="s">
        <v>4</v>
      </c>
      <c r="AI181" s="29" t="str">
        <f t="shared" si="17"/>
        <v>GUARULHOS</v>
      </c>
      <c r="AJ181" s="32" t="s">
        <v>1</v>
      </c>
    </row>
    <row r="182" spans="1:36" ht="30" customHeight="1" x14ac:dyDescent="0.2">
      <c r="A182" s="82" t="s">
        <v>101</v>
      </c>
      <c r="B182" s="82">
        <v>2691116361</v>
      </c>
      <c r="C182" s="82" t="s">
        <v>68</v>
      </c>
      <c r="D182" s="82" t="s">
        <v>20</v>
      </c>
      <c r="E182" s="82" t="s">
        <v>102</v>
      </c>
      <c r="F182" s="82" t="s">
        <v>1148</v>
      </c>
      <c r="G182" s="82">
        <v>10</v>
      </c>
      <c r="H182" s="82"/>
      <c r="I182" s="82" t="s">
        <v>576</v>
      </c>
      <c r="J182" s="82" t="s">
        <v>2588</v>
      </c>
      <c r="K182" s="82"/>
      <c r="L182" s="82" t="s">
        <v>1253</v>
      </c>
      <c r="M182" s="82" t="s">
        <v>2683</v>
      </c>
      <c r="N182" s="82" t="s">
        <v>2587</v>
      </c>
      <c r="O182" s="36" t="s">
        <v>114</v>
      </c>
      <c r="P182" s="18" t="s">
        <v>279</v>
      </c>
      <c r="Q182" s="28" t="s">
        <v>114</v>
      </c>
      <c r="R182" s="18" t="s">
        <v>279</v>
      </c>
      <c r="S182" s="28" t="s">
        <v>114</v>
      </c>
      <c r="T182" s="18" t="s">
        <v>279</v>
      </c>
      <c r="U182" s="28" t="s">
        <v>114</v>
      </c>
      <c r="V182" s="18" t="s">
        <v>279</v>
      </c>
      <c r="W182" s="28" t="s">
        <v>114</v>
      </c>
      <c r="X182" s="18" t="s">
        <v>279</v>
      </c>
      <c r="Y182" s="28" t="s">
        <v>114</v>
      </c>
      <c r="Z182" s="18" t="s">
        <v>279</v>
      </c>
      <c r="AA182" s="28" t="s">
        <v>114</v>
      </c>
      <c r="AB182" s="17" t="s">
        <v>279</v>
      </c>
      <c r="AC182" s="28" t="s">
        <v>114</v>
      </c>
      <c r="AD182" s="17" t="s">
        <v>279</v>
      </c>
      <c r="AE182" s="28" t="s">
        <v>114</v>
      </c>
      <c r="AF182" s="71" t="str">
        <f t="shared" si="15"/>
        <v>NC</v>
      </c>
      <c r="AG182" s="21" t="str">
        <f t="shared" si="16"/>
        <v>NÃO UTILIZOU O PDA</v>
      </c>
      <c r="AH182" s="1" t="s">
        <v>4</v>
      </c>
      <c r="AI182" s="29" t="str">
        <f t="shared" si="17"/>
        <v>GUARULHOS</v>
      </c>
      <c r="AJ182" s="32" t="s">
        <v>1</v>
      </c>
    </row>
    <row r="183" spans="1:36" ht="30" customHeight="1" x14ac:dyDescent="0.2">
      <c r="A183" s="82" t="s">
        <v>101</v>
      </c>
      <c r="B183" s="82">
        <v>2617109053</v>
      </c>
      <c r="C183" s="82" t="s">
        <v>71</v>
      </c>
      <c r="D183" s="82" t="s">
        <v>20</v>
      </c>
      <c r="E183" s="82" t="s">
        <v>102</v>
      </c>
      <c r="F183" s="82" t="s">
        <v>1106</v>
      </c>
      <c r="G183" s="82">
        <v>111</v>
      </c>
      <c r="H183" s="82" t="s">
        <v>117</v>
      </c>
      <c r="I183" s="82" t="s">
        <v>277</v>
      </c>
      <c r="J183" s="82" t="s">
        <v>2586</v>
      </c>
      <c r="K183" s="82" t="s">
        <v>117</v>
      </c>
      <c r="L183" s="82" t="s">
        <v>1253</v>
      </c>
      <c r="M183" s="82" t="s">
        <v>2684</v>
      </c>
      <c r="N183" s="82" t="s">
        <v>2587</v>
      </c>
      <c r="O183" s="36" t="s">
        <v>114</v>
      </c>
      <c r="P183" s="18" t="s">
        <v>279</v>
      </c>
      <c r="Q183" s="36" t="s">
        <v>114</v>
      </c>
      <c r="R183" s="18" t="s">
        <v>279</v>
      </c>
      <c r="S183" s="36" t="s">
        <v>114</v>
      </c>
      <c r="T183" s="18" t="s">
        <v>279</v>
      </c>
      <c r="U183" s="36" t="s">
        <v>114</v>
      </c>
      <c r="V183" s="18" t="s">
        <v>279</v>
      </c>
      <c r="W183" s="36" t="s">
        <v>114</v>
      </c>
      <c r="X183" s="18" t="s">
        <v>279</v>
      </c>
      <c r="Y183" s="36" t="s">
        <v>114</v>
      </c>
      <c r="Z183" s="18" t="s">
        <v>279</v>
      </c>
      <c r="AA183" s="36" t="s">
        <v>114</v>
      </c>
      <c r="AB183" s="17" t="s">
        <v>279</v>
      </c>
      <c r="AC183" s="36" t="s">
        <v>114</v>
      </c>
      <c r="AD183" s="17" t="s">
        <v>279</v>
      </c>
      <c r="AE183" s="36" t="s">
        <v>114</v>
      </c>
      <c r="AF183" s="71" t="str">
        <f t="shared" si="15"/>
        <v>NC</v>
      </c>
      <c r="AG183" s="21" t="str">
        <f t="shared" si="16"/>
        <v>NÃO UTILIZOU O PDA</v>
      </c>
      <c r="AH183" s="1" t="s">
        <v>4</v>
      </c>
      <c r="AI183" s="29" t="str">
        <f t="shared" si="17"/>
        <v>GUARULHOS</v>
      </c>
      <c r="AJ183" s="32" t="s">
        <v>1</v>
      </c>
    </row>
    <row r="184" spans="1:36" ht="30" customHeight="1" x14ac:dyDescent="0.2">
      <c r="A184" s="82" t="s">
        <v>101</v>
      </c>
      <c r="B184" s="82">
        <v>2691135564</v>
      </c>
      <c r="C184" s="82" t="s">
        <v>68</v>
      </c>
      <c r="D184" s="82" t="s">
        <v>20</v>
      </c>
      <c r="E184" s="82" t="s">
        <v>102</v>
      </c>
      <c r="F184" s="82" t="s">
        <v>1031</v>
      </c>
      <c r="G184" s="82">
        <v>231</v>
      </c>
      <c r="H184" s="82"/>
      <c r="I184" s="82" t="s">
        <v>647</v>
      </c>
      <c r="J184" s="82" t="s">
        <v>2588</v>
      </c>
      <c r="K184" s="82"/>
      <c r="L184" s="82" t="s">
        <v>1253</v>
      </c>
      <c r="M184" s="82" t="s">
        <v>2685</v>
      </c>
      <c r="N184" s="82" t="s">
        <v>2596</v>
      </c>
      <c r="O184" s="36" t="s">
        <v>108</v>
      </c>
      <c r="P184" s="18"/>
      <c r="Q184" s="28" t="s">
        <v>108</v>
      </c>
      <c r="R184" s="18"/>
      <c r="S184" s="28" t="s">
        <v>108</v>
      </c>
      <c r="T184" s="18"/>
      <c r="U184" s="28" t="s">
        <v>108</v>
      </c>
      <c r="V184" s="18"/>
      <c r="W184" s="28" t="s">
        <v>108</v>
      </c>
      <c r="X184" s="18"/>
      <c r="Y184" s="28" t="s">
        <v>108</v>
      </c>
      <c r="Z184" s="18"/>
      <c r="AA184" s="28" t="s">
        <v>108</v>
      </c>
      <c r="AB184" s="17"/>
      <c r="AC184" s="28" t="s">
        <v>108</v>
      </c>
      <c r="AD184" s="17"/>
      <c r="AE184" s="28" t="s">
        <v>108</v>
      </c>
      <c r="AF184" s="71" t="str">
        <f t="shared" si="15"/>
        <v>C</v>
      </c>
      <c r="AG184" s="21" t="str">
        <f t="shared" si="16"/>
        <v>UTILIZOU O PDA CORRETAMENTE</v>
      </c>
      <c r="AH184" s="1" t="s">
        <v>4</v>
      </c>
      <c r="AI184" s="29" t="str">
        <f t="shared" si="17"/>
        <v>GUARULHOS</v>
      </c>
      <c r="AJ184" s="32" t="s">
        <v>1</v>
      </c>
    </row>
    <row r="185" spans="1:36" ht="30" customHeight="1" x14ac:dyDescent="0.2">
      <c r="A185" s="82" t="s">
        <v>101</v>
      </c>
      <c r="B185" s="82">
        <v>2616396927</v>
      </c>
      <c r="C185" s="82" t="s">
        <v>69</v>
      </c>
      <c r="D185" s="82" t="s">
        <v>20</v>
      </c>
      <c r="E185" s="82" t="s">
        <v>102</v>
      </c>
      <c r="F185" s="82" t="s">
        <v>1166</v>
      </c>
      <c r="G185" s="82">
        <v>504</v>
      </c>
      <c r="H185" s="82" t="s">
        <v>110</v>
      </c>
      <c r="I185" s="82" t="s">
        <v>1167</v>
      </c>
      <c r="J185" s="82" t="s">
        <v>2586</v>
      </c>
      <c r="K185" s="82" t="s">
        <v>117</v>
      </c>
      <c r="L185" s="82" t="s">
        <v>1253</v>
      </c>
      <c r="M185" s="82" t="s">
        <v>2686</v>
      </c>
      <c r="N185" s="82" t="s">
        <v>2596</v>
      </c>
      <c r="O185" s="36" t="s">
        <v>108</v>
      </c>
      <c r="P185" s="18"/>
      <c r="Q185" s="28" t="s">
        <v>108</v>
      </c>
      <c r="R185" s="18"/>
      <c r="S185" s="28" t="s">
        <v>108</v>
      </c>
      <c r="T185" s="18"/>
      <c r="U185" s="28" t="s">
        <v>108</v>
      </c>
      <c r="V185" s="18"/>
      <c r="W185" s="28" t="s">
        <v>108</v>
      </c>
      <c r="X185" s="18"/>
      <c r="Y185" s="28" t="s">
        <v>108</v>
      </c>
      <c r="Z185" s="18"/>
      <c r="AA185" s="28" t="s">
        <v>108</v>
      </c>
      <c r="AB185" s="17"/>
      <c r="AC185" s="28" t="s">
        <v>108</v>
      </c>
      <c r="AD185" s="17"/>
      <c r="AE185" s="28" t="s">
        <v>108</v>
      </c>
      <c r="AF185" s="71" t="str">
        <f t="shared" si="15"/>
        <v>C</v>
      </c>
      <c r="AG185" s="21" t="str">
        <f t="shared" si="16"/>
        <v>UTILIZOU O PDA CORRETAMENTE</v>
      </c>
      <c r="AH185" s="1" t="s">
        <v>4</v>
      </c>
      <c r="AI185" s="29" t="str">
        <f t="shared" si="17"/>
        <v>GUARULHOS</v>
      </c>
      <c r="AJ185" s="32" t="s">
        <v>1</v>
      </c>
    </row>
    <row r="186" spans="1:36" ht="30" customHeight="1" x14ac:dyDescent="0.2">
      <c r="A186" s="82" t="s">
        <v>101</v>
      </c>
      <c r="B186" s="82">
        <v>2616341673</v>
      </c>
      <c r="C186" s="82" t="s">
        <v>69</v>
      </c>
      <c r="D186" s="82" t="s">
        <v>20</v>
      </c>
      <c r="E186" s="82" t="s">
        <v>102</v>
      </c>
      <c r="F186" s="82" t="s">
        <v>462</v>
      </c>
      <c r="G186" s="82">
        <v>2485</v>
      </c>
      <c r="H186" s="82"/>
      <c r="I186" s="82" t="s">
        <v>1125</v>
      </c>
      <c r="J186" s="82" t="s">
        <v>2586</v>
      </c>
      <c r="K186" s="82"/>
      <c r="L186" s="82" t="s">
        <v>1253</v>
      </c>
      <c r="M186" s="82" t="s">
        <v>2687</v>
      </c>
      <c r="N186" s="82" t="s">
        <v>2596</v>
      </c>
      <c r="O186" s="36" t="s">
        <v>108</v>
      </c>
      <c r="P186" s="18"/>
      <c r="Q186" s="28" t="s">
        <v>108</v>
      </c>
      <c r="R186" s="18"/>
      <c r="S186" s="28" t="s">
        <v>108</v>
      </c>
      <c r="T186" s="18"/>
      <c r="U186" s="28" t="s">
        <v>108</v>
      </c>
      <c r="V186" s="18"/>
      <c r="W186" s="28" t="s">
        <v>108</v>
      </c>
      <c r="X186" s="18"/>
      <c r="Y186" s="28" t="s">
        <v>108</v>
      </c>
      <c r="Z186" s="18"/>
      <c r="AA186" s="28" t="s">
        <v>108</v>
      </c>
      <c r="AB186" s="17"/>
      <c r="AC186" s="28" t="s">
        <v>108</v>
      </c>
      <c r="AD186" s="17"/>
      <c r="AE186" s="28" t="s">
        <v>108</v>
      </c>
      <c r="AF186" s="71" t="str">
        <f t="shared" si="15"/>
        <v>C</v>
      </c>
      <c r="AG186" s="21" t="str">
        <f t="shared" si="16"/>
        <v>UTILIZOU O PDA CORRETAMENTE</v>
      </c>
      <c r="AH186" s="1" t="s">
        <v>4</v>
      </c>
      <c r="AI186" s="29" t="str">
        <f t="shared" si="17"/>
        <v>GUARULHOS</v>
      </c>
      <c r="AJ186" s="32" t="s">
        <v>1</v>
      </c>
    </row>
    <row r="187" spans="1:36" ht="30" customHeight="1" x14ac:dyDescent="0.2">
      <c r="A187" s="82" t="s">
        <v>101</v>
      </c>
      <c r="B187" s="82">
        <v>2616642070</v>
      </c>
      <c r="C187" s="82" t="s">
        <v>69</v>
      </c>
      <c r="D187" s="82" t="s">
        <v>20</v>
      </c>
      <c r="E187" s="82" t="s">
        <v>102</v>
      </c>
      <c r="F187" s="82" t="s">
        <v>236</v>
      </c>
      <c r="G187" s="82">
        <v>349</v>
      </c>
      <c r="H187" s="82" t="s">
        <v>1152</v>
      </c>
      <c r="I187" s="82" t="s">
        <v>237</v>
      </c>
      <c r="J187" s="82" t="s">
        <v>2586</v>
      </c>
      <c r="K187" s="82" t="s">
        <v>117</v>
      </c>
      <c r="L187" s="82" t="s">
        <v>1253</v>
      </c>
      <c r="M187" s="82" t="s">
        <v>2688</v>
      </c>
      <c r="N187" s="82" t="s">
        <v>2596</v>
      </c>
      <c r="O187" s="36" t="s">
        <v>108</v>
      </c>
      <c r="P187" s="18"/>
      <c r="Q187" s="28" t="s">
        <v>108</v>
      </c>
      <c r="R187" s="18"/>
      <c r="S187" s="28" t="s">
        <v>108</v>
      </c>
      <c r="T187" s="18"/>
      <c r="U187" s="28" t="s">
        <v>108</v>
      </c>
      <c r="V187" s="18"/>
      <c r="W187" s="28" t="s">
        <v>108</v>
      </c>
      <c r="X187" s="18"/>
      <c r="Y187" s="28" t="s">
        <v>108</v>
      </c>
      <c r="Z187" s="18"/>
      <c r="AA187" s="28" t="s">
        <v>108</v>
      </c>
      <c r="AB187" s="17"/>
      <c r="AC187" s="28" t="s">
        <v>108</v>
      </c>
      <c r="AD187" s="17"/>
      <c r="AE187" s="28" t="s">
        <v>108</v>
      </c>
      <c r="AF187" s="71" t="str">
        <f t="shared" si="15"/>
        <v>C</v>
      </c>
      <c r="AG187" s="21" t="str">
        <f t="shared" si="16"/>
        <v>UTILIZOU O PDA CORRETAMENTE</v>
      </c>
      <c r="AH187" s="1" t="s">
        <v>4</v>
      </c>
      <c r="AI187" s="29" t="str">
        <f t="shared" si="17"/>
        <v>GUARULHOS</v>
      </c>
      <c r="AJ187" s="32" t="s">
        <v>1</v>
      </c>
    </row>
    <row r="188" spans="1:36" ht="30" customHeight="1" x14ac:dyDescent="0.2">
      <c r="A188" s="82" t="s">
        <v>101</v>
      </c>
      <c r="B188" s="82">
        <v>2616340615</v>
      </c>
      <c r="C188" s="82" t="s">
        <v>69</v>
      </c>
      <c r="D188" s="82" t="s">
        <v>20</v>
      </c>
      <c r="E188" s="82" t="s">
        <v>102</v>
      </c>
      <c r="F188" s="82" t="s">
        <v>462</v>
      </c>
      <c r="G188" s="82">
        <v>2451</v>
      </c>
      <c r="H188" s="82"/>
      <c r="I188" s="82" t="s">
        <v>179</v>
      </c>
      <c r="J188" s="82" t="s">
        <v>2586</v>
      </c>
      <c r="K188" s="82"/>
      <c r="L188" s="82" t="s">
        <v>1253</v>
      </c>
      <c r="M188" s="82" t="s">
        <v>2689</v>
      </c>
      <c r="N188" s="82" t="s">
        <v>2596</v>
      </c>
      <c r="O188" s="36" t="s">
        <v>108</v>
      </c>
      <c r="P188" s="18"/>
      <c r="Q188" s="28" t="s">
        <v>108</v>
      </c>
      <c r="R188" s="18"/>
      <c r="S188" s="28" t="s">
        <v>108</v>
      </c>
      <c r="T188" s="18"/>
      <c r="U188" s="28" t="s">
        <v>108</v>
      </c>
      <c r="V188" s="18"/>
      <c r="W188" s="28" t="s">
        <v>108</v>
      </c>
      <c r="X188" s="18"/>
      <c r="Y188" s="28" t="s">
        <v>108</v>
      </c>
      <c r="Z188" s="18"/>
      <c r="AA188" s="28" t="s">
        <v>108</v>
      </c>
      <c r="AB188" s="17"/>
      <c r="AC188" s="28" t="s">
        <v>108</v>
      </c>
      <c r="AD188" s="17"/>
      <c r="AE188" s="28" t="s">
        <v>108</v>
      </c>
      <c r="AF188" s="71" t="str">
        <f t="shared" si="15"/>
        <v>C</v>
      </c>
      <c r="AG188" s="21" t="str">
        <f t="shared" si="16"/>
        <v>UTILIZOU O PDA CORRETAMENTE</v>
      </c>
      <c r="AH188" s="1" t="s">
        <v>4</v>
      </c>
      <c r="AI188" s="29" t="str">
        <f t="shared" si="17"/>
        <v>GUARULHOS</v>
      </c>
      <c r="AJ188" s="32" t="s">
        <v>1</v>
      </c>
    </row>
    <row r="189" spans="1:36" ht="30" customHeight="1" x14ac:dyDescent="0.2">
      <c r="A189" s="82" t="s">
        <v>101</v>
      </c>
      <c r="B189" s="82">
        <v>2616754820</v>
      </c>
      <c r="C189" s="82" t="s">
        <v>69</v>
      </c>
      <c r="D189" s="82" t="s">
        <v>20</v>
      </c>
      <c r="E189" s="82" t="s">
        <v>102</v>
      </c>
      <c r="F189" s="82" t="s">
        <v>481</v>
      </c>
      <c r="G189" s="82">
        <v>365</v>
      </c>
      <c r="H189" s="82" t="s">
        <v>421</v>
      </c>
      <c r="I189" s="82" t="s">
        <v>483</v>
      </c>
      <c r="J189" s="82" t="s">
        <v>2586</v>
      </c>
      <c r="K189" s="82" t="s">
        <v>2690</v>
      </c>
      <c r="L189" s="82" t="s">
        <v>1253</v>
      </c>
      <c r="M189" s="82" t="s">
        <v>1341</v>
      </c>
      <c r="N189" s="82" t="s">
        <v>2596</v>
      </c>
      <c r="O189" s="36" t="s">
        <v>108</v>
      </c>
      <c r="P189" s="18"/>
      <c r="Q189" s="28" t="s">
        <v>108</v>
      </c>
      <c r="R189" s="18"/>
      <c r="S189" s="28" t="s">
        <v>108</v>
      </c>
      <c r="T189" s="18"/>
      <c r="U189" s="28" t="s">
        <v>108</v>
      </c>
      <c r="V189" s="18"/>
      <c r="W189" s="28" t="s">
        <v>108</v>
      </c>
      <c r="X189" s="18"/>
      <c r="Y189" s="28" t="s">
        <v>108</v>
      </c>
      <c r="Z189" s="18"/>
      <c r="AA189" s="28" t="s">
        <v>108</v>
      </c>
      <c r="AB189" s="17"/>
      <c r="AC189" s="28" t="s">
        <v>108</v>
      </c>
      <c r="AD189" s="17"/>
      <c r="AE189" s="28" t="s">
        <v>108</v>
      </c>
      <c r="AF189" s="71" t="str">
        <f t="shared" si="15"/>
        <v>C</v>
      </c>
      <c r="AG189" s="21" t="str">
        <f t="shared" si="16"/>
        <v>UTILIZOU O PDA CORRETAMENTE</v>
      </c>
      <c r="AH189" s="1" t="s">
        <v>13</v>
      </c>
      <c r="AI189" s="29" t="str">
        <f t="shared" si="17"/>
        <v>GUARULHOS</v>
      </c>
      <c r="AJ189" s="32" t="s">
        <v>1</v>
      </c>
    </row>
    <row r="190" spans="1:36" ht="30" customHeight="1" x14ac:dyDescent="0.2">
      <c r="A190" s="82" t="s">
        <v>101</v>
      </c>
      <c r="B190" s="82">
        <v>2616756631</v>
      </c>
      <c r="C190" s="82" t="s">
        <v>68</v>
      </c>
      <c r="D190" s="82" t="s">
        <v>20</v>
      </c>
      <c r="E190" s="82" t="s">
        <v>102</v>
      </c>
      <c r="F190" s="82" t="s">
        <v>481</v>
      </c>
      <c r="G190" s="82">
        <v>365</v>
      </c>
      <c r="H190" s="82" t="s">
        <v>421</v>
      </c>
      <c r="I190" s="82" t="s">
        <v>483</v>
      </c>
      <c r="J190" s="82" t="s">
        <v>2588</v>
      </c>
      <c r="K190" s="82" t="s">
        <v>2690</v>
      </c>
      <c r="L190" s="82" t="s">
        <v>1253</v>
      </c>
      <c r="M190" s="82" t="s">
        <v>2691</v>
      </c>
      <c r="N190" s="82" t="s">
        <v>2596</v>
      </c>
      <c r="O190" s="36" t="s">
        <v>108</v>
      </c>
      <c r="P190" s="18"/>
      <c r="Q190" s="28" t="s">
        <v>108</v>
      </c>
      <c r="R190" s="18"/>
      <c r="S190" s="28" t="s">
        <v>108</v>
      </c>
      <c r="T190" s="18"/>
      <c r="U190" s="28" t="s">
        <v>108</v>
      </c>
      <c r="V190" s="18"/>
      <c r="W190" s="28" t="s">
        <v>108</v>
      </c>
      <c r="X190" s="18"/>
      <c r="Y190" s="28" t="s">
        <v>108</v>
      </c>
      <c r="Z190" s="18"/>
      <c r="AA190" s="28" t="s">
        <v>108</v>
      </c>
      <c r="AB190" s="17"/>
      <c r="AC190" s="28" t="s">
        <v>108</v>
      </c>
      <c r="AD190" s="17"/>
      <c r="AE190" s="28" t="s">
        <v>108</v>
      </c>
      <c r="AF190" s="71" t="str">
        <f t="shared" si="15"/>
        <v>C</v>
      </c>
      <c r="AG190" s="21" t="str">
        <f t="shared" si="16"/>
        <v>UTILIZOU O PDA CORRETAMENTE</v>
      </c>
      <c r="AH190" s="1" t="s">
        <v>13</v>
      </c>
      <c r="AI190" s="29" t="str">
        <f t="shared" si="17"/>
        <v>GUARULHOS</v>
      </c>
      <c r="AJ190" s="32" t="s">
        <v>1</v>
      </c>
    </row>
    <row r="191" spans="1:36" ht="30" customHeight="1" x14ac:dyDescent="0.2">
      <c r="A191" s="82" t="s">
        <v>101</v>
      </c>
      <c r="B191" s="82">
        <v>2691177661</v>
      </c>
      <c r="C191" s="82" t="s">
        <v>68</v>
      </c>
      <c r="D191" s="82" t="s">
        <v>20</v>
      </c>
      <c r="E191" s="82" t="s">
        <v>102</v>
      </c>
      <c r="F191" s="82" t="s">
        <v>1218</v>
      </c>
      <c r="G191" s="82">
        <v>125</v>
      </c>
      <c r="H191" s="82" t="s">
        <v>1219</v>
      </c>
      <c r="I191" s="82" t="s">
        <v>1073</v>
      </c>
      <c r="J191" s="82" t="s">
        <v>2588</v>
      </c>
      <c r="K191" s="82" t="s">
        <v>117</v>
      </c>
      <c r="L191" s="82" t="s">
        <v>1253</v>
      </c>
      <c r="M191" s="82" t="s">
        <v>2692</v>
      </c>
      <c r="N191" s="82" t="s">
        <v>2596</v>
      </c>
      <c r="O191" s="36" t="s">
        <v>108</v>
      </c>
      <c r="P191" s="18"/>
      <c r="Q191" s="28" t="s">
        <v>108</v>
      </c>
      <c r="R191" s="18"/>
      <c r="S191" s="28" t="s">
        <v>108</v>
      </c>
      <c r="T191" s="18"/>
      <c r="U191" s="28" t="s">
        <v>108</v>
      </c>
      <c r="V191" s="18"/>
      <c r="W191" s="28" t="s">
        <v>108</v>
      </c>
      <c r="X191" s="18"/>
      <c r="Y191" s="28" t="s">
        <v>108</v>
      </c>
      <c r="Z191" s="18"/>
      <c r="AA191" s="28" t="s">
        <v>108</v>
      </c>
      <c r="AB191" s="17"/>
      <c r="AC191" s="28"/>
      <c r="AD191" s="17"/>
      <c r="AE191" s="28"/>
      <c r="AF191" s="71" t="str">
        <f t="shared" si="15"/>
        <v>C</v>
      </c>
      <c r="AG191" s="21" t="b">
        <f t="shared" si="16"/>
        <v>0</v>
      </c>
      <c r="AH191" s="1" t="s">
        <v>4</v>
      </c>
      <c r="AI191" s="29" t="str">
        <f t="shared" si="17"/>
        <v>GUARULHOS</v>
      </c>
      <c r="AJ191" s="32" t="s">
        <v>1</v>
      </c>
    </row>
    <row r="192" spans="1:36" ht="30" customHeight="1" x14ac:dyDescent="0.2">
      <c r="A192" s="82" t="s">
        <v>101</v>
      </c>
      <c r="B192" s="82">
        <v>2616347886</v>
      </c>
      <c r="C192" s="82" t="s">
        <v>69</v>
      </c>
      <c r="D192" s="82" t="s">
        <v>20</v>
      </c>
      <c r="E192" s="82" t="s">
        <v>102</v>
      </c>
      <c r="F192" s="82" t="s">
        <v>1154</v>
      </c>
      <c r="G192" s="82">
        <v>198</v>
      </c>
      <c r="H192" s="82" t="s">
        <v>1155</v>
      </c>
      <c r="I192" s="82" t="s">
        <v>237</v>
      </c>
      <c r="J192" s="82" t="s">
        <v>2586</v>
      </c>
      <c r="K192" s="82" t="s">
        <v>2623</v>
      </c>
      <c r="L192" s="82" t="s">
        <v>1253</v>
      </c>
      <c r="M192" s="82" t="s">
        <v>2693</v>
      </c>
      <c r="N192" s="82" t="s">
        <v>2596</v>
      </c>
      <c r="O192" s="36" t="s">
        <v>14</v>
      </c>
      <c r="P192" s="18"/>
      <c r="Q192" s="36" t="s">
        <v>14</v>
      </c>
      <c r="R192" s="18"/>
      <c r="S192" s="36" t="s">
        <v>14</v>
      </c>
      <c r="T192" s="18"/>
      <c r="U192" s="36" t="s">
        <v>14</v>
      </c>
      <c r="V192" s="18"/>
      <c r="W192" s="36" t="s">
        <v>14</v>
      </c>
      <c r="X192" s="18"/>
      <c r="Y192" s="36" t="s">
        <v>14</v>
      </c>
      <c r="Z192" s="18"/>
      <c r="AA192" s="36" t="s">
        <v>14</v>
      </c>
      <c r="AB192" s="17"/>
      <c r="AC192" s="28" t="s">
        <v>14</v>
      </c>
      <c r="AD192" s="17"/>
      <c r="AE192" s="28" t="s">
        <v>14</v>
      </c>
      <c r="AF192" s="71" t="str">
        <f t="shared" si="15"/>
        <v>NA</v>
      </c>
      <c r="AG192" s="21" t="str">
        <f t="shared" si="16"/>
        <v>NÃO AVALIADO POR FALHA DE SINCRONISMO</v>
      </c>
      <c r="AH192" s="1" t="s">
        <v>4</v>
      </c>
      <c r="AI192" s="29" t="str">
        <f t="shared" si="17"/>
        <v>GUARULHOS</v>
      </c>
      <c r="AJ192" s="32" t="s">
        <v>1</v>
      </c>
    </row>
    <row r="193" spans="1:36" ht="30" customHeight="1" x14ac:dyDescent="0.2">
      <c r="A193" s="82" t="s">
        <v>101</v>
      </c>
      <c r="B193" s="82">
        <v>2616822493</v>
      </c>
      <c r="C193" s="82" t="s">
        <v>71</v>
      </c>
      <c r="D193" s="82" t="s">
        <v>20</v>
      </c>
      <c r="E193" s="82" t="s">
        <v>102</v>
      </c>
      <c r="F193" s="82" t="s">
        <v>481</v>
      </c>
      <c r="G193" s="82">
        <v>371</v>
      </c>
      <c r="H193" s="82" t="s">
        <v>1146</v>
      </c>
      <c r="I193" s="82" t="s">
        <v>483</v>
      </c>
      <c r="J193" s="82" t="s">
        <v>2586</v>
      </c>
      <c r="K193" s="82" t="s">
        <v>117</v>
      </c>
      <c r="L193" s="82" t="s">
        <v>1253</v>
      </c>
      <c r="M193" s="82" t="s">
        <v>2694</v>
      </c>
      <c r="N193" s="82" t="s">
        <v>2596</v>
      </c>
      <c r="O193" s="36" t="s">
        <v>108</v>
      </c>
      <c r="P193" s="18"/>
      <c r="Q193" s="28" t="s">
        <v>108</v>
      </c>
      <c r="R193" s="18"/>
      <c r="S193" s="28" t="s">
        <v>108</v>
      </c>
      <c r="T193" s="18"/>
      <c r="U193" s="28" t="s">
        <v>108</v>
      </c>
      <c r="V193" s="18"/>
      <c r="W193" s="28" t="s">
        <v>108</v>
      </c>
      <c r="X193" s="18"/>
      <c r="Y193" s="28" t="s">
        <v>108</v>
      </c>
      <c r="Z193" s="18"/>
      <c r="AA193" s="28" t="s">
        <v>108</v>
      </c>
      <c r="AB193" s="17"/>
      <c r="AC193" s="28" t="s">
        <v>108</v>
      </c>
      <c r="AD193" s="17"/>
      <c r="AE193" s="28" t="s">
        <v>108</v>
      </c>
      <c r="AF193" s="71" t="str">
        <f t="shared" si="15"/>
        <v>C</v>
      </c>
      <c r="AG193" s="21" t="str">
        <f t="shared" si="16"/>
        <v>UTILIZOU O PDA CORRETAMENTE</v>
      </c>
      <c r="AH193" s="1" t="s">
        <v>13</v>
      </c>
      <c r="AI193" s="29" t="str">
        <f t="shared" si="17"/>
        <v>GUARULHOS</v>
      </c>
      <c r="AJ193" s="32" t="s">
        <v>1</v>
      </c>
    </row>
    <row r="194" spans="1:36" ht="30" customHeight="1" x14ac:dyDescent="0.2">
      <c r="A194" s="82" t="s">
        <v>101</v>
      </c>
      <c r="B194" s="82">
        <v>2617107414</v>
      </c>
      <c r="C194" s="82" t="s">
        <v>71</v>
      </c>
      <c r="D194" s="82" t="s">
        <v>20</v>
      </c>
      <c r="E194" s="82" t="s">
        <v>102</v>
      </c>
      <c r="F194" s="82" t="s">
        <v>736</v>
      </c>
      <c r="G194" s="82">
        <v>219</v>
      </c>
      <c r="H194" s="82" t="s">
        <v>779</v>
      </c>
      <c r="I194" s="82" t="s">
        <v>516</v>
      </c>
      <c r="J194" s="82" t="s">
        <v>2586</v>
      </c>
      <c r="K194" s="82" t="s">
        <v>117</v>
      </c>
      <c r="L194" s="82" t="s">
        <v>1253</v>
      </c>
      <c r="M194" s="82" t="s">
        <v>2695</v>
      </c>
      <c r="N194" s="82" t="s">
        <v>2603</v>
      </c>
      <c r="O194" s="36" t="s">
        <v>114</v>
      </c>
      <c r="P194" s="18"/>
      <c r="Q194" s="36" t="s">
        <v>114</v>
      </c>
      <c r="R194" s="18"/>
      <c r="S194" s="36" t="s">
        <v>114</v>
      </c>
      <c r="T194" s="18"/>
      <c r="U194" s="36" t="s">
        <v>114</v>
      </c>
      <c r="V194" s="18"/>
      <c r="W194" s="36" t="s">
        <v>114</v>
      </c>
      <c r="X194" s="18"/>
      <c r="Y194" s="36" t="s">
        <v>114</v>
      </c>
      <c r="Z194" s="18"/>
      <c r="AA194" s="36" t="s">
        <v>114</v>
      </c>
      <c r="AB194" s="17"/>
      <c r="AC194" s="36" t="s">
        <v>114</v>
      </c>
      <c r="AD194" s="17"/>
      <c r="AE194" s="36" t="s">
        <v>114</v>
      </c>
      <c r="AF194" s="71" t="str">
        <f t="shared" si="15"/>
        <v>NC</v>
      </c>
      <c r="AG194" s="21" t="str">
        <f t="shared" si="16"/>
        <v>NÃO UTILIZOU O PDA</v>
      </c>
      <c r="AH194" s="1"/>
      <c r="AI194" s="29" t="str">
        <f t="shared" si="17"/>
        <v>GUARULHOS</v>
      </c>
      <c r="AJ194" s="32" t="s">
        <v>1</v>
      </c>
    </row>
    <row r="195" spans="1:36" ht="30" customHeight="1" x14ac:dyDescent="0.2">
      <c r="A195" s="82" t="s">
        <v>101</v>
      </c>
      <c r="B195" s="82">
        <v>2616245155</v>
      </c>
      <c r="C195" s="82" t="s">
        <v>69</v>
      </c>
      <c r="D195" s="82" t="s">
        <v>20</v>
      </c>
      <c r="E195" s="82" t="s">
        <v>102</v>
      </c>
      <c r="F195" s="82" t="s">
        <v>1187</v>
      </c>
      <c r="G195" s="82">
        <v>0</v>
      </c>
      <c r="H195" s="82" t="s">
        <v>2696</v>
      </c>
      <c r="I195" s="82" t="s">
        <v>191</v>
      </c>
      <c r="J195" s="82" t="s">
        <v>2586</v>
      </c>
      <c r="K195" s="82" t="s">
        <v>2697</v>
      </c>
      <c r="L195" s="82" t="s">
        <v>1253</v>
      </c>
      <c r="M195" s="82" t="s">
        <v>2698</v>
      </c>
      <c r="N195" s="82" t="s">
        <v>2644</v>
      </c>
      <c r="O195" s="36" t="s">
        <v>14</v>
      </c>
      <c r="P195" s="18"/>
      <c r="Q195" s="36" t="s">
        <v>14</v>
      </c>
      <c r="R195" s="18"/>
      <c r="S195" s="36" t="s">
        <v>14</v>
      </c>
      <c r="T195" s="18"/>
      <c r="U195" s="36" t="s">
        <v>14</v>
      </c>
      <c r="V195" s="18"/>
      <c r="W195" s="36" t="s">
        <v>14</v>
      </c>
      <c r="X195" s="18"/>
      <c r="Y195" s="36" t="s">
        <v>14</v>
      </c>
      <c r="Z195" s="18"/>
      <c r="AA195" s="36" t="s">
        <v>14</v>
      </c>
      <c r="AB195" s="17"/>
      <c r="AC195" s="36" t="s">
        <v>14</v>
      </c>
      <c r="AD195" s="17"/>
      <c r="AE195" s="36" t="s">
        <v>14</v>
      </c>
      <c r="AF195" s="71" t="str">
        <f t="shared" si="15"/>
        <v>NA</v>
      </c>
      <c r="AG195" s="21" t="str">
        <f t="shared" si="16"/>
        <v>NÃO AVALIADO POR FALHA DE SINCRONISMO</v>
      </c>
      <c r="AH195" s="1" t="s">
        <v>4</v>
      </c>
      <c r="AI195" s="29" t="str">
        <f t="shared" si="17"/>
        <v>GUARULHOS</v>
      </c>
      <c r="AJ195" s="32" t="s">
        <v>1</v>
      </c>
    </row>
    <row r="196" spans="1:36" ht="30" customHeight="1" x14ac:dyDescent="0.2">
      <c r="A196" s="82" t="s">
        <v>101</v>
      </c>
      <c r="B196" s="82">
        <v>2616190390</v>
      </c>
      <c r="C196" s="82" t="s">
        <v>69</v>
      </c>
      <c r="D196" s="82" t="s">
        <v>20</v>
      </c>
      <c r="E196" s="82" t="s">
        <v>102</v>
      </c>
      <c r="F196" s="82" t="s">
        <v>1187</v>
      </c>
      <c r="G196" s="82">
        <v>49</v>
      </c>
      <c r="H196" s="82" t="s">
        <v>174</v>
      </c>
      <c r="I196" s="82" t="s">
        <v>191</v>
      </c>
      <c r="J196" s="82" t="s">
        <v>2586</v>
      </c>
      <c r="K196" s="82" t="s">
        <v>2697</v>
      </c>
      <c r="L196" s="82" t="s">
        <v>1253</v>
      </c>
      <c r="M196" s="82" t="s">
        <v>1279</v>
      </c>
      <c r="N196" s="82" t="s">
        <v>2644</v>
      </c>
      <c r="O196" s="36" t="s">
        <v>14</v>
      </c>
      <c r="P196" s="18"/>
      <c r="Q196" s="36" t="s">
        <v>14</v>
      </c>
      <c r="R196" s="18"/>
      <c r="S196" s="36" t="s">
        <v>14</v>
      </c>
      <c r="T196" s="18"/>
      <c r="U196" s="36" t="s">
        <v>14</v>
      </c>
      <c r="V196" s="18"/>
      <c r="W196" s="36" t="s">
        <v>14</v>
      </c>
      <c r="X196" s="18"/>
      <c r="Y196" s="36" t="s">
        <v>14</v>
      </c>
      <c r="Z196" s="18"/>
      <c r="AA196" s="36" t="s">
        <v>14</v>
      </c>
      <c r="AB196" s="17"/>
      <c r="AC196" s="36" t="s">
        <v>14</v>
      </c>
      <c r="AD196" s="17"/>
      <c r="AE196" s="36" t="s">
        <v>14</v>
      </c>
      <c r="AF196" s="71" t="str">
        <f t="shared" si="15"/>
        <v>NA</v>
      </c>
      <c r="AG196" s="21" t="str">
        <f t="shared" si="16"/>
        <v>NÃO AVALIADO POR FALHA DE SINCRONISMO</v>
      </c>
      <c r="AH196" s="1" t="s">
        <v>4</v>
      </c>
      <c r="AI196" s="29" t="str">
        <f t="shared" si="17"/>
        <v>GUARULHOS</v>
      </c>
      <c r="AJ196" s="32" t="s">
        <v>1</v>
      </c>
    </row>
    <row r="197" spans="1:36" ht="30" customHeight="1" x14ac:dyDescent="0.2">
      <c r="A197" s="82" t="s">
        <v>101</v>
      </c>
      <c r="B197" s="82">
        <v>2616191237</v>
      </c>
      <c r="C197" s="82" t="s">
        <v>69</v>
      </c>
      <c r="D197" s="82" t="s">
        <v>20</v>
      </c>
      <c r="E197" s="82" t="s">
        <v>102</v>
      </c>
      <c r="F197" s="82" t="s">
        <v>1187</v>
      </c>
      <c r="G197" s="82">
        <v>55</v>
      </c>
      <c r="H197" s="82" t="s">
        <v>1193</v>
      </c>
      <c r="I197" s="82" t="s">
        <v>191</v>
      </c>
      <c r="J197" s="82" t="s">
        <v>2586</v>
      </c>
      <c r="K197" s="82" t="s">
        <v>2697</v>
      </c>
      <c r="L197" s="82" t="s">
        <v>1253</v>
      </c>
      <c r="M197" s="82" t="s">
        <v>1317</v>
      </c>
      <c r="N197" s="82" t="s">
        <v>2644</v>
      </c>
      <c r="O197" s="36" t="s">
        <v>14</v>
      </c>
      <c r="P197" s="18"/>
      <c r="Q197" s="36" t="s">
        <v>14</v>
      </c>
      <c r="R197" s="18"/>
      <c r="S197" s="36" t="s">
        <v>14</v>
      </c>
      <c r="T197" s="18"/>
      <c r="U197" s="36" t="s">
        <v>14</v>
      </c>
      <c r="V197" s="18"/>
      <c r="W197" s="36" t="s">
        <v>14</v>
      </c>
      <c r="X197" s="18"/>
      <c r="Y197" s="36" t="s">
        <v>14</v>
      </c>
      <c r="Z197" s="18"/>
      <c r="AA197" s="36" t="s">
        <v>14</v>
      </c>
      <c r="AB197" s="17"/>
      <c r="AC197" s="36" t="s">
        <v>14</v>
      </c>
      <c r="AD197" s="36"/>
      <c r="AE197" s="36" t="s">
        <v>14</v>
      </c>
      <c r="AF197" s="71" t="str">
        <f t="shared" si="15"/>
        <v>NA</v>
      </c>
      <c r="AG197" s="21" t="str">
        <f t="shared" si="16"/>
        <v>NÃO AVALIADO POR FALHA DE SINCRONISMO</v>
      </c>
      <c r="AH197" s="1" t="s">
        <v>4</v>
      </c>
      <c r="AI197" s="29" t="str">
        <f t="shared" si="17"/>
        <v>GUARULHOS</v>
      </c>
      <c r="AJ197" s="32" t="s">
        <v>1</v>
      </c>
    </row>
    <row r="198" spans="1:36" ht="30" customHeight="1" x14ac:dyDescent="0.2">
      <c r="A198" s="82" t="s">
        <v>101</v>
      </c>
      <c r="B198" s="82">
        <v>2616193194</v>
      </c>
      <c r="C198" s="82" t="s">
        <v>69</v>
      </c>
      <c r="D198" s="82" t="s">
        <v>20</v>
      </c>
      <c r="E198" s="82" t="s">
        <v>102</v>
      </c>
      <c r="F198" s="82" t="s">
        <v>1187</v>
      </c>
      <c r="G198" s="82">
        <v>85</v>
      </c>
      <c r="H198" s="82" t="s">
        <v>117</v>
      </c>
      <c r="I198" s="82" t="s">
        <v>191</v>
      </c>
      <c r="J198" s="82" t="s">
        <v>2586</v>
      </c>
      <c r="K198" s="82" t="s">
        <v>2697</v>
      </c>
      <c r="L198" s="82" t="s">
        <v>1253</v>
      </c>
      <c r="M198" s="82" t="s">
        <v>1330</v>
      </c>
      <c r="N198" s="82" t="s">
        <v>2644</v>
      </c>
      <c r="O198" s="36" t="s">
        <v>14</v>
      </c>
      <c r="P198" s="18"/>
      <c r="Q198" s="36" t="s">
        <v>14</v>
      </c>
      <c r="R198" s="18"/>
      <c r="S198" s="36" t="s">
        <v>14</v>
      </c>
      <c r="T198" s="18"/>
      <c r="U198" s="36" t="s">
        <v>14</v>
      </c>
      <c r="V198" s="18"/>
      <c r="W198" s="36" t="s">
        <v>14</v>
      </c>
      <c r="X198" s="18"/>
      <c r="Y198" s="36" t="s">
        <v>14</v>
      </c>
      <c r="Z198" s="18"/>
      <c r="AA198" s="36" t="s">
        <v>14</v>
      </c>
      <c r="AB198" s="17"/>
      <c r="AC198" s="36" t="s">
        <v>14</v>
      </c>
      <c r="AD198" s="17"/>
      <c r="AE198" s="36" t="s">
        <v>14</v>
      </c>
      <c r="AF198" s="71" t="str">
        <f t="shared" si="15"/>
        <v>NA</v>
      </c>
      <c r="AG198" s="21" t="str">
        <f t="shared" si="16"/>
        <v>NÃO AVALIADO POR FALHA DE SINCRONISMO</v>
      </c>
      <c r="AH198" s="1" t="s">
        <v>4</v>
      </c>
      <c r="AI198" s="29" t="str">
        <f t="shared" si="17"/>
        <v>GUARULHOS</v>
      </c>
      <c r="AJ198" s="32" t="s">
        <v>1</v>
      </c>
    </row>
    <row r="199" spans="1:36" ht="30" customHeight="1" x14ac:dyDescent="0.2">
      <c r="A199" s="82" t="s">
        <v>101</v>
      </c>
      <c r="B199" s="82">
        <v>2616220331</v>
      </c>
      <c r="C199" s="82" t="s">
        <v>69</v>
      </c>
      <c r="D199" s="82" t="s">
        <v>20</v>
      </c>
      <c r="E199" s="82" t="s">
        <v>102</v>
      </c>
      <c r="F199" s="82" t="s">
        <v>791</v>
      </c>
      <c r="G199" s="82">
        <v>49</v>
      </c>
      <c r="H199" s="82" t="s">
        <v>622</v>
      </c>
      <c r="I199" s="82" t="s">
        <v>793</v>
      </c>
      <c r="J199" s="82" t="s">
        <v>2586</v>
      </c>
      <c r="K199" s="82" t="s">
        <v>2697</v>
      </c>
      <c r="L199" s="82" t="s">
        <v>1253</v>
      </c>
      <c r="M199" s="82" t="s">
        <v>2699</v>
      </c>
      <c r="N199" s="82" t="s">
        <v>2644</v>
      </c>
      <c r="O199" s="36" t="s">
        <v>14</v>
      </c>
      <c r="P199" s="18"/>
      <c r="Q199" s="36" t="s">
        <v>14</v>
      </c>
      <c r="R199" s="18"/>
      <c r="S199" s="36" t="s">
        <v>14</v>
      </c>
      <c r="T199" s="18"/>
      <c r="U199" s="36" t="s">
        <v>14</v>
      </c>
      <c r="V199" s="18"/>
      <c r="W199" s="36" t="s">
        <v>14</v>
      </c>
      <c r="X199" s="18"/>
      <c r="Y199" s="36" t="s">
        <v>14</v>
      </c>
      <c r="Z199" s="18"/>
      <c r="AA199" s="36" t="s">
        <v>14</v>
      </c>
      <c r="AB199" s="17"/>
      <c r="AC199" s="36" t="s">
        <v>14</v>
      </c>
      <c r="AD199" s="17"/>
      <c r="AE199" s="36" t="s">
        <v>14</v>
      </c>
      <c r="AF199" s="71" t="str">
        <f t="shared" si="15"/>
        <v>NA</v>
      </c>
      <c r="AG199" s="21" t="str">
        <f t="shared" si="16"/>
        <v>NÃO AVALIADO POR FALHA DE SINCRONISMO</v>
      </c>
      <c r="AH199" s="1" t="s">
        <v>4</v>
      </c>
      <c r="AI199" s="29" t="str">
        <f t="shared" si="17"/>
        <v>GUARULHOS</v>
      </c>
      <c r="AJ199" s="32" t="s">
        <v>1</v>
      </c>
    </row>
    <row r="200" spans="1:36" ht="30" customHeight="1" x14ac:dyDescent="0.2">
      <c r="A200" s="82" t="s">
        <v>101</v>
      </c>
      <c r="B200" s="82">
        <v>2617107876</v>
      </c>
      <c r="C200" s="82" t="s">
        <v>71</v>
      </c>
      <c r="D200" s="82" t="s">
        <v>20</v>
      </c>
      <c r="E200" s="82" t="s">
        <v>102</v>
      </c>
      <c r="F200" s="82" t="s">
        <v>791</v>
      </c>
      <c r="G200" s="82">
        <v>28</v>
      </c>
      <c r="H200" s="82" t="s">
        <v>796</v>
      </c>
      <c r="I200" s="82" t="s">
        <v>793</v>
      </c>
      <c r="J200" s="82" t="s">
        <v>2586</v>
      </c>
      <c r="K200" s="82" t="s">
        <v>2697</v>
      </c>
      <c r="L200" s="82" t="s">
        <v>1253</v>
      </c>
      <c r="M200" s="82" t="s">
        <v>2700</v>
      </c>
      <c r="N200" s="82" t="s">
        <v>2644</v>
      </c>
      <c r="O200" s="36" t="s">
        <v>14</v>
      </c>
      <c r="P200" s="18"/>
      <c r="Q200" s="36" t="s">
        <v>14</v>
      </c>
      <c r="R200" s="18"/>
      <c r="S200" s="36" t="s">
        <v>14</v>
      </c>
      <c r="T200" s="18"/>
      <c r="U200" s="36" t="s">
        <v>14</v>
      </c>
      <c r="V200" s="18"/>
      <c r="W200" s="36" t="s">
        <v>14</v>
      </c>
      <c r="X200" s="18"/>
      <c r="Y200" s="36" t="s">
        <v>14</v>
      </c>
      <c r="Z200" s="18"/>
      <c r="AA200" s="36" t="s">
        <v>14</v>
      </c>
      <c r="AB200" s="17"/>
      <c r="AC200" s="36" t="s">
        <v>14</v>
      </c>
      <c r="AD200" s="17"/>
      <c r="AE200" s="36" t="s">
        <v>14</v>
      </c>
      <c r="AF200" s="71" t="str">
        <f t="shared" si="15"/>
        <v>NA</v>
      </c>
      <c r="AG200" s="21" t="str">
        <f t="shared" si="16"/>
        <v>NÃO AVALIADO POR FALHA DE SINCRONISMO</v>
      </c>
      <c r="AH200" s="1"/>
      <c r="AI200" s="29" t="str">
        <f t="shared" si="17"/>
        <v>GUARULHOS</v>
      </c>
      <c r="AJ200" s="32" t="s">
        <v>1</v>
      </c>
    </row>
    <row r="201" spans="1:36" ht="30" customHeight="1" x14ac:dyDescent="0.2">
      <c r="A201" s="82" t="s">
        <v>101</v>
      </c>
      <c r="B201" s="82">
        <v>2617156958</v>
      </c>
      <c r="C201" s="82" t="s">
        <v>71</v>
      </c>
      <c r="D201" s="82" t="s">
        <v>20</v>
      </c>
      <c r="E201" s="82" t="s">
        <v>102</v>
      </c>
      <c r="F201" s="82" t="s">
        <v>1106</v>
      </c>
      <c r="G201" s="82">
        <v>107</v>
      </c>
      <c r="H201" s="82" t="s">
        <v>117</v>
      </c>
      <c r="I201" s="82" t="s">
        <v>277</v>
      </c>
      <c r="J201" s="82" t="s">
        <v>2586</v>
      </c>
      <c r="K201" s="82" t="s">
        <v>117</v>
      </c>
      <c r="L201" s="82" t="s">
        <v>1370</v>
      </c>
      <c r="M201" s="82" t="s">
        <v>2701</v>
      </c>
      <c r="N201" s="82" t="s">
        <v>2587</v>
      </c>
      <c r="O201" s="36" t="s">
        <v>114</v>
      </c>
      <c r="P201" s="18" t="s">
        <v>279</v>
      </c>
      <c r="Q201" s="36" t="s">
        <v>114</v>
      </c>
      <c r="R201" s="18" t="s">
        <v>279</v>
      </c>
      <c r="S201" s="36" t="s">
        <v>114</v>
      </c>
      <c r="T201" s="18" t="s">
        <v>279</v>
      </c>
      <c r="U201" s="36" t="s">
        <v>114</v>
      </c>
      <c r="V201" s="18" t="s">
        <v>279</v>
      </c>
      <c r="W201" s="36" t="s">
        <v>114</v>
      </c>
      <c r="X201" s="18" t="s">
        <v>279</v>
      </c>
      <c r="Y201" s="36" t="s">
        <v>114</v>
      </c>
      <c r="Z201" s="18" t="s">
        <v>279</v>
      </c>
      <c r="AA201" s="36" t="s">
        <v>114</v>
      </c>
      <c r="AB201" s="17" t="s">
        <v>279</v>
      </c>
      <c r="AC201" s="36" t="s">
        <v>114</v>
      </c>
      <c r="AD201" s="17" t="s">
        <v>279</v>
      </c>
      <c r="AE201" s="36" t="s">
        <v>114</v>
      </c>
      <c r="AF201" s="71" t="str">
        <f t="shared" si="15"/>
        <v>NC</v>
      </c>
      <c r="AG201" s="21" t="str">
        <f t="shared" si="16"/>
        <v>NÃO UTILIZOU O PDA</v>
      </c>
      <c r="AH201" s="1" t="s">
        <v>4</v>
      </c>
      <c r="AI201" s="29" t="str">
        <f t="shared" si="17"/>
        <v>GUARULHOS</v>
      </c>
      <c r="AJ201" s="32" t="s">
        <v>1</v>
      </c>
    </row>
    <row r="202" spans="1:36" ht="30" customHeight="1" x14ac:dyDescent="0.2">
      <c r="A202" s="82" t="s">
        <v>101</v>
      </c>
      <c r="B202" s="82">
        <v>2691200537</v>
      </c>
      <c r="C202" s="82" t="s">
        <v>68</v>
      </c>
      <c r="D202" s="82" t="s">
        <v>20</v>
      </c>
      <c r="E202" s="82" t="s">
        <v>102</v>
      </c>
      <c r="F202" s="82" t="s">
        <v>1234</v>
      </c>
      <c r="G202" s="82">
        <v>38</v>
      </c>
      <c r="H202" s="82" t="s">
        <v>1235</v>
      </c>
      <c r="I202" s="82" t="s">
        <v>277</v>
      </c>
      <c r="J202" s="82" t="s">
        <v>2588</v>
      </c>
      <c r="K202" s="82"/>
      <c r="L202" s="82" t="s">
        <v>1370</v>
      </c>
      <c r="M202" s="82" t="s">
        <v>2702</v>
      </c>
      <c r="N202" s="82" t="s">
        <v>2587</v>
      </c>
      <c r="O202" s="36" t="s">
        <v>108</v>
      </c>
      <c r="P202" s="18"/>
      <c r="Q202" s="28" t="s">
        <v>108</v>
      </c>
      <c r="R202" s="18"/>
      <c r="S202" s="28" t="s">
        <v>108</v>
      </c>
      <c r="T202" s="18"/>
      <c r="U202" s="28" t="s">
        <v>108</v>
      </c>
      <c r="V202" s="18"/>
      <c r="W202" s="28" t="s">
        <v>108</v>
      </c>
      <c r="X202" s="18"/>
      <c r="Y202" s="28" t="s">
        <v>108</v>
      </c>
      <c r="Z202" s="18"/>
      <c r="AA202" s="28" t="s">
        <v>108</v>
      </c>
      <c r="AB202" s="17"/>
      <c r="AC202" s="28" t="s">
        <v>108</v>
      </c>
      <c r="AD202" s="17"/>
      <c r="AE202" s="28" t="s">
        <v>108</v>
      </c>
      <c r="AF202" s="71" t="str">
        <f t="shared" si="15"/>
        <v>C</v>
      </c>
      <c r="AG202" s="21" t="str">
        <f t="shared" si="16"/>
        <v>UTILIZOU O PDA CORRETAMENTE</v>
      </c>
      <c r="AH202" s="1" t="s">
        <v>4</v>
      </c>
      <c r="AI202" s="29" t="str">
        <f t="shared" si="17"/>
        <v>GUARULHOS</v>
      </c>
      <c r="AJ202" s="32" t="s">
        <v>1</v>
      </c>
    </row>
    <row r="203" spans="1:36" ht="30" customHeight="1" x14ac:dyDescent="0.2">
      <c r="A203" s="82" t="s">
        <v>101</v>
      </c>
      <c r="B203" s="82">
        <v>2617163724</v>
      </c>
      <c r="C203" s="82" t="s">
        <v>68</v>
      </c>
      <c r="D203" s="82" t="s">
        <v>20</v>
      </c>
      <c r="E203" s="82" t="s">
        <v>102</v>
      </c>
      <c r="F203" s="82" t="s">
        <v>1302</v>
      </c>
      <c r="G203" s="82">
        <v>392</v>
      </c>
      <c r="H203" s="82" t="s">
        <v>1303</v>
      </c>
      <c r="I203" s="82" t="s">
        <v>809</v>
      </c>
      <c r="J203" s="82" t="s">
        <v>2588</v>
      </c>
      <c r="K203" s="82" t="s">
        <v>2703</v>
      </c>
      <c r="L203" s="82" t="s">
        <v>1370</v>
      </c>
      <c r="M203" s="82" t="s">
        <v>2704</v>
      </c>
      <c r="N203" s="82" t="s">
        <v>2587</v>
      </c>
      <c r="O203" s="36" t="s">
        <v>108</v>
      </c>
      <c r="P203" s="18"/>
      <c r="Q203" s="28" t="s">
        <v>108</v>
      </c>
      <c r="R203" s="18"/>
      <c r="S203" s="28" t="s">
        <v>108</v>
      </c>
      <c r="T203" s="18"/>
      <c r="U203" s="28" t="s">
        <v>108</v>
      </c>
      <c r="V203" s="18"/>
      <c r="W203" s="28" t="s">
        <v>108</v>
      </c>
      <c r="X203" s="18"/>
      <c r="Y203" s="28" t="s">
        <v>214</v>
      </c>
      <c r="Z203" s="18"/>
      <c r="AA203" s="28" t="s">
        <v>108</v>
      </c>
      <c r="AB203" s="17"/>
      <c r="AC203" s="28" t="s">
        <v>108</v>
      </c>
      <c r="AD203" s="17"/>
      <c r="AE203" s="28" t="s">
        <v>108</v>
      </c>
      <c r="AF203" s="71" t="str">
        <f t="shared" si="15"/>
        <v>NC</v>
      </c>
      <c r="AG203" s="21" t="str">
        <f t="shared" si="16"/>
        <v>UTILIZOU O PDA CORRETAMENTE. NÃO HÁ FOTOS DE TODAS AS ETAPAS</v>
      </c>
      <c r="AH203" s="1" t="s">
        <v>4</v>
      </c>
      <c r="AI203" s="29" t="str">
        <f t="shared" si="17"/>
        <v>GUARULHOS</v>
      </c>
      <c r="AJ203" s="32" t="s">
        <v>1</v>
      </c>
    </row>
    <row r="204" spans="1:36" ht="30" customHeight="1" x14ac:dyDescent="0.2">
      <c r="A204" s="82" t="s">
        <v>101</v>
      </c>
      <c r="B204" s="82">
        <v>2617125387</v>
      </c>
      <c r="C204" s="82" t="s">
        <v>68</v>
      </c>
      <c r="D204" s="82" t="s">
        <v>20</v>
      </c>
      <c r="E204" s="82" t="s">
        <v>102</v>
      </c>
      <c r="F204" s="82" t="s">
        <v>1347</v>
      </c>
      <c r="G204" s="82">
        <v>126</v>
      </c>
      <c r="H204" s="82"/>
      <c r="I204" s="82" t="s">
        <v>581</v>
      </c>
      <c r="J204" s="82" t="s">
        <v>2588</v>
      </c>
      <c r="K204" s="82"/>
      <c r="L204" s="82" t="s">
        <v>1370</v>
      </c>
      <c r="M204" s="82" t="s">
        <v>2705</v>
      </c>
      <c r="N204" s="82" t="s">
        <v>2587</v>
      </c>
      <c r="O204" s="36" t="s">
        <v>114</v>
      </c>
      <c r="P204" s="18" t="s">
        <v>279</v>
      </c>
      <c r="Q204" s="36" t="s">
        <v>114</v>
      </c>
      <c r="R204" s="18" t="s">
        <v>279</v>
      </c>
      <c r="S204" s="36" t="s">
        <v>114</v>
      </c>
      <c r="T204" s="18" t="s">
        <v>279</v>
      </c>
      <c r="U204" s="36" t="s">
        <v>114</v>
      </c>
      <c r="V204" s="18" t="s">
        <v>279</v>
      </c>
      <c r="W204" s="36" t="s">
        <v>114</v>
      </c>
      <c r="X204" s="18" t="s">
        <v>279</v>
      </c>
      <c r="Y204" s="36" t="s">
        <v>114</v>
      </c>
      <c r="Z204" s="18" t="s">
        <v>279</v>
      </c>
      <c r="AA204" s="36" t="s">
        <v>114</v>
      </c>
      <c r="AB204" s="17" t="s">
        <v>279</v>
      </c>
      <c r="AC204" s="36" t="s">
        <v>114</v>
      </c>
      <c r="AD204" s="17" t="s">
        <v>279</v>
      </c>
      <c r="AE204" s="36" t="s">
        <v>114</v>
      </c>
      <c r="AF204" s="71" t="str">
        <f t="shared" si="15"/>
        <v>NC</v>
      </c>
      <c r="AG204" s="21" t="str">
        <f t="shared" si="16"/>
        <v>NÃO UTILIZOU O PDA</v>
      </c>
      <c r="AH204" s="1"/>
      <c r="AI204" s="29" t="str">
        <f t="shared" si="17"/>
        <v>GUARULHOS</v>
      </c>
      <c r="AJ204" s="32" t="s">
        <v>1</v>
      </c>
    </row>
    <row r="205" spans="1:36" ht="30" customHeight="1" x14ac:dyDescent="0.2">
      <c r="A205" s="82" t="s">
        <v>101</v>
      </c>
      <c r="B205" s="82">
        <v>2617163604</v>
      </c>
      <c r="C205" s="82" t="s">
        <v>68</v>
      </c>
      <c r="D205" s="82" t="s">
        <v>20</v>
      </c>
      <c r="E205" s="82" t="s">
        <v>102</v>
      </c>
      <c r="F205" s="82" t="s">
        <v>1300</v>
      </c>
      <c r="G205" s="82">
        <v>280</v>
      </c>
      <c r="H205" s="82" t="s">
        <v>1301</v>
      </c>
      <c r="I205" s="82" t="s">
        <v>809</v>
      </c>
      <c r="J205" s="82" t="s">
        <v>2588</v>
      </c>
      <c r="K205" s="82" t="s">
        <v>117</v>
      </c>
      <c r="L205" s="82" t="s">
        <v>1370</v>
      </c>
      <c r="M205" s="82" t="s">
        <v>2706</v>
      </c>
      <c r="N205" s="82" t="s">
        <v>2587</v>
      </c>
      <c r="O205" s="36" t="s">
        <v>108</v>
      </c>
      <c r="P205" s="18"/>
      <c r="Q205" s="28" t="s">
        <v>108</v>
      </c>
      <c r="R205" s="18"/>
      <c r="S205" s="28" t="s">
        <v>108</v>
      </c>
      <c r="T205" s="18"/>
      <c r="U205" s="28" t="s">
        <v>14</v>
      </c>
      <c r="V205" s="18"/>
      <c r="W205" s="28" t="s">
        <v>108</v>
      </c>
      <c r="X205" s="18"/>
      <c r="Y205" s="28" t="s">
        <v>108</v>
      </c>
      <c r="Z205" s="18"/>
      <c r="AA205" s="28" t="s">
        <v>108</v>
      </c>
      <c r="AB205" s="17"/>
      <c r="AC205" s="28" t="s">
        <v>108</v>
      </c>
      <c r="AD205" s="17"/>
      <c r="AE205" s="28" t="s">
        <v>108</v>
      </c>
      <c r="AF205" s="71" t="str">
        <f t="shared" si="15"/>
        <v>C</v>
      </c>
      <c r="AG205" s="21" t="str">
        <f t="shared" si="16"/>
        <v>UTILIZOU O PDA CORRETAMENTE</v>
      </c>
      <c r="AH205" s="1"/>
      <c r="AI205" s="29" t="str">
        <f t="shared" si="17"/>
        <v>GUARULHOS</v>
      </c>
      <c r="AJ205" s="32" t="s">
        <v>1</v>
      </c>
    </row>
    <row r="206" spans="1:36" ht="30" customHeight="1" x14ac:dyDescent="0.2">
      <c r="A206" s="82" t="s">
        <v>101</v>
      </c>
      <c r="B206" s="82">
        <v>2614453026</v>
      </c>
      <c r="C206" s="82" t="s">
        <v>71</v>
      </c>
      <c r="D206" s="82" t="s">
        <v>20</v>
      </c>
      <c r="E206" s="82" t="s">
        <v>102</v>
      </c>
      <c r="F206" s="82" t="s">
        <v>1828</v>
      </c>
      <c r="G206" s="82">
        <v>14</v>
      </c>
      <c r="H206" s="82" t="s">
        <v>901</v>
      </c>
      <c r="I206" s="82" t="s">
        <v>407</v>
      </c>
      <c r="J206" s="82" t="s">
        <v>2586</v>
      </c>
      <c r="K206" s="82"/>
      <c r="L206" s="82" t="s">
        <v>1370</v>
      </c>
      <c r="M206" s="82" t="s">
        <v>2707</v>
      </c>
      <c r="N206" s="82" t="s">
        <v>2587</v>
      </c>
      <c r="O206" s="36" t="s">
        <v>108</v>
      </c>
      <c r="P206" s="18"/>
      <c r="Q206" s="28" t="s">
        <v>108</v>
      </c>
      <c r="R206" s="18"/>
      <c r="S206" s="28" t="s">
        <v>108</v>
      </c>
      <c r="T206" s="18"/>
      <c r="U206" s="28" t="s">
        <v>108</v>
      </c>
      <c r="V206" s="18"/>
      <c r="W206" s="28" t="s">
        <v>108</v>
      </c>
      <c r="X206" s="18"/>
      <c r="Y206" s="28" t="s">
        <v>108</v>
      </c>
      <c r="Z206" s="18"/>
      <c r="AA206" s="28" t="s">
        <v>108</v>
      </c>
      <c r="AB206" s="17"/>
      <c r="AC206" s="28" t="s">
        <v>108</v>
      </c>
      <c r="AD206" s="17"/>
      <c r="AE206" s="28" t="s">
        <v>108</v>
      </c>
      <c r="AF206" s="71" t="str">
        <f t="shared" si="15"/>
        <v>C</v>
      </c>
      <c r="AG206" s="21" t="str">
        <f t="shared" si="16"/>
        <v>UTILIZOU O PDA CORRETAMENTE</v>
      </c>
      <c r="AH206" s="1"/>
      <c r="AI206" s="29" t="str">
        <f t="shared" si="17"/>
        <v>GUARULHOS</v>
      </c>
      <c r="AJ206" s="32" t="s">
        <v>1</v>
      </c>
    </row>
    <row r="207" spans="1:36" ht="30" customHeight="1" x14ac:dyDescent="0.2">
      <c r="A207" s="82" t="s">
        <v>101</v>
      </c>
      <c r="B207" s="82">
        <v>2616822426</v>
      </c>
      <c r="C207" s="82" t="s">
        <v>68</v>
      </c>
      <c r="D207" s="82" t="s">
        <v>20</v>
      </c>
      <c r="E207" s="82" t="s">
        <v>102</v>
      </c>
      <c r="F207" s="82" t="s">
        <v>2708</v>
      </c>
      <c r="G207" s="82">
        <v>35</v>
      </c>
      <c r="H207" s="82" t="s">
        <v>2709</v>
      </c>
      <c r="I207" s="82" t="s">
        <v>179</v>
      </c>
      <c r="J207" s="82" t="s">
        <v>2588</v>
      </c>
      <c r="K207" s="82"/>
      <c r="L207" s="82" t="s">
        <v>1370</v>
      </c>
      <c r="M207" s="82" t="s">
        <v>1398</v>
      </c>
      <c r="N207" s="82" t="s">
        <v>2596</v>
      </c>
      <c r="O207" s="36" t="s">
        <v>108</v>
      </c>
      <c r="P207" s="18"/>
      <c r="Q207" s="28" t="s">
        <v>108</v>
      </c>
      <c r="R207" s="18"/>
      <c r="S207" s="28" t="s">
        <v>108</v>
      </c>
      <c r="T207" s="18"/>
      <c r="U207" s="28" t="s">
        <v>108</v>
      </c>
      <c r="V207" s="18"/>
      <c r="W207" s="28" t="s">
        <v>108</v>
      </c>
      <c r="X207" s="18"/>
      <c r="Y207" s="28" t="s">
        <v>108</v>
      </c>
      <c r="Z207" s="18"/>
      <c r="AA207" s="28" t="s">
        <v>108</v>
      </c>
      <c r="AB207" s="17"/>
      <c r="AC207" s="28" t="s">
        <v>108</v>
      </c>
      <c r="AD207" s="17"/>
      <c r="AE207" s="28" t="s">
        <v>108</v>
      </c>
      <c r="AF207" s="71" t="str">
        <f t="shared" si="15"/>
        <v>C</v>
      </c>
      <c r="AG207" s="21" t="str">
        <f t="shared" si="16"/>
        <v>UTILIZOU O PDA CORRETAMENTE</v>
      </c>
      <c r="AH207" s="1"/>
      <c r="AI207" s="29" t="str">
        <f t="shared" si="17"/>
        <v>GUARULHOS</v>
      </c>
      <c r="AJ207" s="32" t="s">
        <v>1</v>
      </c>
    </row>
    <row r="208" spans="1:36" ht="30" customHeight="1" x14ac:dyDescent="0.2">
      <c r="A208" s="82" t="s">
        <v>101</v>
      </c>
      <c r="B208" s="82">
        <v>2616618296</v>
      </c>
      <c r="C208" s="82" t="s">
        <v>68</v>
      </c>
      <c r="D208" s="82" t="s">
        <v>20</v>
      </c>
      <c r="E208" s="82" t="s">
        <v>102</v>
      </c>
      <c r="F208" s="82" t="s">
        <v>2710</v>
      </c>
      <c r="G208" s="82">
        <v>1630</v>
      </c>
      <c r="H208" s="82" t="s">
        <v>2711</v>
      </c>
      <c r="I208" s="82" t="s">
        <v>1644</v>
      </c>
      <c r="J208" s="82" t="s">
        <v>2588</v>
      </c>
      <c r="K208" s="82" t="s">
        <v>2595</v>
      </c>
      <c r="L208" s="82" t="s">
        <v>1370</v>
      </c>
      <c r="M208" s="82" t="s">
        <v>2712</v>
      </c>
      <c r="N208" s="82" t="s">
        <v>2596</v>
      </c>
      <c r="O208" s="36" t="s">
        <v>108</v>
      </c>
      <c r="P208" s="18"/>
      <c r="Q208" s="28" t="s">
        <v>108</v>
      </c>
      <c r="R208" s="18"/>
      <c r="S208" s="28" t="s">
        <v>108</v>
      </c>
      <c r="T208" s="18"/>
      <c r="U208" s="28" t="s">
        <v>108</v>
      </c>
      <c r="V208" s="18"/>
      <c r="W208" s="28" t="s">
        <v>108</v>
      </c>
      <c r="X208" s="18"/>
      <c r="Y208" s="28" t="s">
        <v>14</v>
      </c>
      <c r="Z208" s="18"/>
      <c r="AA208" s="28" t="s">
        <v>108</v>
      </c>
      <c r="AB208" s="17"/>
      <c r="AC208" s="28" t="s">
        <v>108</v>
      </c>
      <c r="AD208" s="17"/>
      <c r="AE208" s="28" t="s">
        <v>108</v>
      </c>
      <c r="AF208" s="71" t="str">
        <f t="shared" si="15"/>
        <v>C</v>
      </c>
      <c r="AG208" s="21" t="str">
        <f t="shared" si="16"/>
        <v>UTILIZOU O PDA CORRETAMENTE</v>
      </c>
      <c r="AH208" s="1"/>
      <c r="AI208" s="29" t="str">
        <f t="shared" si="17"/>
        <v>GUARULHOS</v>
      </c>
      <c r="AJ208" s="32" t="s">
        <v>1</v>
      </c>
    </row>
    <row r="209" spans="1:36" ht="30" customHeight="1" x14ac:dyDescent="0.2">
      <c r="A209" s="82" t="s">
        <v>101</v>
      </c>
      <c r="B209" s="82">
        <v>2691333350</v>
      </c>
      <c r="C209" s="82" t="s">
        <v>68</v>
      </c>
      <c r="D209" s="82" t="s">
        <v>20</v>
      </c>
      <c r="E209" s="82" t="s">
        <v>102</v>
      </c>
      <c r="F209" s="82" t="s">
        <v>2713</v>
      </c>
      <c r="G209" s="82">
        <v>186</v>
      </c>
      <c r="H209" s="82" t="s">
        <v>2714</v>
      </c>
      <c r="I209" s="82" t="s">
        <v>220</v>
      </c>
      <c r="J209" s="82" t="s">
        <v>2588</v>
      </c>
      <c r="K209" s="82"/>
      <c r="L209" s="82" t="s">
        <v>1370</v>
      </c>
      <c r="M209" s="82" t="s">
        <v>2715</v>
      </c>
      <c r="N209" s="82" t="s">
        <v>2596</v>
      </c>
      <c r="O209" s="36" t="s">
        <v>108</v>
      </c>
      <c r="P209" s="18"/>
      <c r="Q209" s="28" t="s">
        <v>108</v>
      </c>
      <c r="R209" s="18"/>
      <c r="S209" s="28" t="s">
        <v>108</v>
      </c>
      <c r="T209" s="18"/>
      <c r="U209" s="28" t="s">
        <v>108</v>
      </c>
      <c r="V209" s="18"/>
      <c r="W209" s="28" t="s">
        <v>108</v>
      </c>
      <c r="X209" s="18"/>
      <c r="Y209" s="28" t="s">
        <v>108</v>
      </c>
      <c r="Z209" s="18"/>
      <c r="AA209" s="28" t="s">
        <v>108</v>
      </c>
      <c r="AB209" s="17"/>
      <c r="AC209" s="28" t="s">
        <v>108</v>
      </c>
      <c r="AD209" s="17"/>
      <c r="AE209" s="28" t="s">
        <v>108</v>
      </c>
      <c r="AF209" s="71" t="str">
        <f t="shared" si="15"/>
        <v>C</v>
      </c>
      <c r="AG209" s="21" t="str">
        <f t="shared" si="16"/>
        <v>UTILIZOU O PDA CORRETAMENTE</v>
      </c>
      <c r="AH209" s="1"/>
      <c r="AI209" s="29" t="str">
        <f t="shared" si="17"/>
        <v>GUARULHOS</v>
      </c>
      <c r="AJ209" s="32" t="s">
        <v>1</v>
      </c>
    </row>
    <row r="210" spans="1:36" ht="30" customHeight="1" x14ac:dyDescent="0.2">
      <c r="A210" s="82" t="s">
        <v>101</v>
      </c>
      <c r="B210" s="82">
        <v>2616865917</v>
      </c>
      <c r="C210" s="82" t="s">
        <v>68</v>
      </c>
      <c r="D210" s="82" t="s">
        <v>20</v>
      </c>
      <c r="E210" s="82" t="s">
        <v>102</v>
      </c>
      <c r="F210" s="82" t="s">
        <v>1247</v>
      </c>
      <c r="G210" s="82">
        <v>258</v>
      </c>
      <c r="H210" s="82" t="s">
        <v>1248</v>
      </c>
      <c r="I210" s="82" t="s">
        <v>599</v>
      </c>
      <c r="J210" s="82" t="s">
        <v>2588</v>
      </c>
      <c r="K210" s="82" t="s">
        <v>117</v>
      </c>
      <c r="L210" s="82" t="s">
        <v>1370</v>
      </c>
      <c r="M210" s="82" t="s">
        <v>2716</v>
      </c>
      <c r="N210" s="82" t="s">
        <v>2596</v>
      </c>
      <c r="O210" s="36" t="s">
        <v>108</v>
      </c>
      <c r="P210" s="18"/>
      <c r="Q210" s="28" t="s">
        <v>108</v>
      </c>
      <c r="R210" s="18"/>
      <c r="S210" s="28" t="s">
        <v>108</v>
      </c>
      <c r="T210" s="18"/>
      <c r="U210" s="28" t="s">
        <v>108</v>
      </c>
      <c r="V210" s="18"/>
      <c r="W210" s="28" t="s">
        <v>108</v>
      </c>
      <c r="X210" s="18"/>
      <c r="Y210" s="28" t="s">
        <v>108</v>
      </c>
      <c r="Z210" s="18"/>
      <c r="AA210" s="28" t="s">
        <v>108</v>
      </c>
      <c r="AB210" s="17"/>
      <c r="AC210" s="28" t="s">
        <v>108</v>
      </c>
      <c r="AD210" s="17"/>
      <c r="AE210" s="28" t="s">
        <v>108</v>
      </c>
      <c r="AF210" s="71" t="str">
        <f t="shared" si="15"/>
        <v>C</v>
      </c>
      <c r="AG210" s="21" t="str">
        <f t="shared" si="16"/>
        <v>UTILIZOU O PDA CORRETAMENTE</v>
      </c>
      <c r="AH210" s="1"/>
      <c r="AI210" s="29" t="str">
        <f t="shared" si="17"/>
        <v>GUARULHOS</v>
      </c>
      <c r="AJ210" s="32" t="s">
        <v>1</v>
      </c>
    </row>
    <row r="211" spans="1:36" ht="30" customHeight="1" x14ac:dyDescent="0.2">
      <c r="A211" s="82" t="s">
        <v>101</v>
      </c>
      <c r="B211" s="82">
        <v>2617108482</v>
      </c>
      <c r="C211" s="82" t="s">
        <v>71</v>
      </c>
      <c r="D211" s="82" t="s">
        <v>20</v>
      </c>
      <c r="E211" s="82" t="s">
        <v>102</v>
      </c>
      <c r="F211" s="82" t="s">
        <v>935</v>
      </c>
      <c r="G211" s="82">
        <v>853</v>
      </c>
      <c r="H211" s="82" t="s">
        <v>936</v>
      </c>
      <c r="I211" s="82" t="s">
        <v>459</v>
      </c>
      <c r="J211" s="82" t="s">
        <v>2586</v>
      </c>
      <c r="K211" s="82"/>
      <c r="L211" s="82" t="s">
        <v>1370</v>
      </c>
      <c r="M211" s="82" t="s">
        <v>2717</v>
      </c>
      <c r="N211" s="82" t="s">
        <v>2596</v>
      </c>
      <c r="O211" s="36" t="s">
        <v>108</v>
      </c>
      <c r="P211" s="18"/>
      <c r="Q211" s="28" t="s">
        <v>108</v>
      </c>
      <c r="R211" s="18"/>
      <c r="S211" s="28" t="s">
        <v>108</v>
      </c>
      <c r="T211" s="18"/>
      <c r="U211" s="28" t="s">
        <v>108</v>
      </c>
      <c r="V211" s="18"/>
      <c r="W211" s="28" t="s">
        <v>108</v>
      </c>
      <c r="X211" s="18"/>
      <c r="Y211" s="28" t="s">
        <v>108</v>
      </c>
      <c r="Z211" s="18"/>
      <c r="AA211" s="28" t="s">
        <v>108</v>
      </c>
      <c r="AB211" s="17"/>
      <c r="AC211" s="28" t="s">
        <v>108</v>
      </c>
      <c r="AD211" s="17"/>
      <c r="AE211" s="28" t="s">
        <v>108</v>
      </c>
      <c r="AF211" s="71" t="str">
        <f t="shared" si="15"/>
        <v>C</v>
      </c>
      <c r="AG211" s="21" t="str">
        <f t="shared" si="16"/>
        <v>UTILIZOU O PDA CORRETAMENTE</v>
      </c>
      <c r="AH211" s="1"/>
      <c r="AI211" s="29" t="str">
        <f t="shared" si="17"/>
        <v>GUARULHOS</v>
      </c>
      <c r="AJ211" s="32" t="s">
        <v>1</v>
      </c>
    </row>
    <row r="212" spans="1:36" ht="30" customHeight="1" x14ac:dyDescent="0.2">
      <c r="A212" s="82" t="s">
        <v>101</v>
      </c>
      <c r="B212" s="82">
        <v>2616826985</v>
      </c>
      <c r="C212" s="82" t="s">
        <v>71</v>
      </c>
      <c r="D212" s="82" t="s">
        <v>20</v>
      </c>
      <c r="E212" s="82" t="s">
        <v>102</v>
      </c>
      <c r="F212" s="82" t="s">
        <v>178</v>
      </c>
      <c r="G212" s="82">
        <v>88</v>
      </c>
      <c r="H212" s="82" t="s">
        <v>2718</v>
      </c>
      <c r="I212" s="82" t="s">
        <v>179</v>
      </c>
      <c r="J212" s="82" t="s">
        <v>2586</v>
      </c>
      <c r="K212" s="82" t="s">
        <v>117</v>
      </c>
      <c r="L212" s="82" t="s">
        <v>1370</v>
      </c>
      <c r="M212" s="82" t="s">
        <v>2719</v>
      </c>
      <c r="N212" s="82" t="s">
        <v>2596</v>
      </c>
      <c r="O212" s="36" t="s">
        <v>108</v>
      </c>
      <c r="P212" s="18"/>
      <c r="Q212" s="28" t="s">
        <v>108</v>
      </c>
      <c r="R212" s="18"/>
      <c r="S212" s="28" t="s">
        <v>108</v>
      </c>
      <c r="T212" s="18"/>
      <c r="U212" s="28" t="s">
        <v>108</v>
      </c>
      <c r="V212" s="18"/>
      <c r="W212" s="28" t="s">
        <v>108</v>
      </c>
      <c r="X212" s="18"/>
      <c r="Y212" s="28" t="s">
        <v>108</v>
      </c>
      <c r="Z212" s="18"/>
      <c r="AA212" s="28" t="s">
        <v>108</v>
      </c>
      <c r="AB212" s="17"/>
      <c r="AC212" s="28" t="s">
        <v>108</v>
      </c>
      <c r="AD212" s="17"/>
      <c r="AE212" s="28" t="s">
        <v>108</v>
      </c>
      <c r="AF212" s="71" t="str">
        <f t="shared" si="15"/>
        <v>C</v>
      </c>
      <c r="AG212" s="21" t="str">
        <f t="shared" si="16"/>
        <v>UTILIZOU O PDA CORRETAMENTE</v>
      </c>
      <c r="AH212" s="1"/>
      <c r="AI212" s="29" t="str">
        <f t="shared" si="17"/>
        <v>GUARULHOS</v>
      </c>
      <c r="AJ212" s="32" t="s">
        <v>1</v>
      </c>
    </row>
    <row r="213" spans="1:36" ht="30" customHeight="1" x14ac:dyDescent="0.2">
      <c r="A213" s="82" t="s">
        <v>101</v>
      </c>
      <c r="B213" s="82">
        <v>2616856083</v>
      </c>
      <c r="C213" s="82" t="s">
        <v>71</v>
      </c>
      <c r="D213" s="82" t="s">
        <v>20</v>
      </c>
      <c r="E213" s="82" t="s">
        <v>102</v>
      </c>
      <c r="F213" s="82" t="s">
        <v>236</v>
      </c>
      <c r="G213" s="82">
        <v>223</v>
      </c>
      <c r="H213" s="82"/>
      <c r="I213" s="82" t="s">
        <v>237</v>
      </c>
      <c r="J213" s="82" t="s">
        <v>2586</v>
      </c>
      <c r="K213" s="82" t="s">
        <v>2623</v>
      </c>
      <c r="L213" s="82" t="s">
        <v>1370</v>
      </c>
      <c r="M213" s="82" t="s">
        <v>2720</v>
      </c>
      <c r="N213" s="82" t="s">
        <v>2596</v>
      </c>
      <c r="O213" s="36" t="s">
        <v>14</v>
      </c>
      <c r="P213" s="18"/>
      <c r="Q213" s="36" t="s">
        <v>14</v>
      </c>
      <c r="R213" s="18"/>
      <c r="S213" s="36" t="s">
        <v>14</v>
      </c>
      <c r="T213" s="18"/>
      <c r="U213" s="36" t="s">
        <v>14</v>
      </c>
      <c r="V213" s="18"/>
      <c r="W213" s="36" t="s">
        <v>14</v>
      </c>
      <c r="X213" s="18"/>
      <c r="Y213" s="36" t="s">
        <v>14</v>
      </c>
      <c r="Z213" s="18"/>
      <c r="AA213" s="36" t="s">
        <v>14</v>
      </c>
      <c r="AB213" s="17"/>
      <c r="AC213" s="36" t="s">
        <v>14</v>
      </c>
      <c r="AD213" s="17"/>
      <c r="AE213" s="36" t="s">
        <v>14</v>
      </c>
      <c r="AF213" s="71" t="str">
        <f t="shared" si="15"/>
        <v>NA</v>
      </c>
      <c r="AG213" s="21" t="str">
        <f t="shared" si="16"/>
        <v>NÃO AVALIADO POR FALHA DE SINCRONISMO</v>
      </c>
      <c r="AH213" s="1"/>
      <c r="AI213" s="29" t="str">
        <f t="shared" si="17"/>
        <v>GUARULHOS</v>
      </c>
      <c r="AJ213" s="32" t="s">
        <v>1</v>
      </c>
    </row>
    <row r="214" spans="1:36" ht="30" customHeight="1" x14ac:dyDescent="0.2">
      <c r="A214" s="82" t="s">
        <v>101</v>
      </c>
      <c r="B214" s="82">
        <v>2616875206</v>
      </c>
      <c r="C214" s="82" t="s">
        <v>68</v>
      </c>
      <c r="D214" s="82" t="s">
        <v>20</v>
      </c>
      <c r="E214" s="82" t="s">
        <v>102</v>
      </c>
      <c r="F214" s="82" t="s">
        <v>1280</v>
      </c>
      <c r="G214" s="82">
        <v>130</v>
      </c>
      <c r="H214" s="82" t="s">
        <v>153</v>
      </c>
      <c r="I214" s="82" t="s">
        <v>473</v>
      </c>
      <c r="J214" s="82" t="s">
        <v>2588</v>
      </c>
      <c r="K214" s="82" t="s">
        <v>2721</v>
      </c>
      <c r="L214" s="82" t="s">
        <v>1370</v>
      </c>
      <c r="M214" s="82" t="s">
        <v>2722</v>
      </c>
      <c r="N214" s="82" t="s">
        <v>2596</v>
      </c>
      <c r="O214" s="71" t="s">
        <v>14</v>
      </c>
      <c r="P214" s="18"/>
      <c r="Q214" s="71" t="s">
        <v>14</v>
      </c>
      <c r="R214" s="18"/>
      <c r="S214" s="71" t="s">
        <v>14</v>
      </c>
      <c r="T214" s="18"/>
      <c r="U214" s="71" t="s">
        <v>14</v>
      </c>
      <c r="V214" s="18"/>
      <c r="W214" s="71" t="s">
        <v>14</v>
      </c>
      <c r="X214" s="18"/>
      <c r="Y214" s="71" t="s">
        <v>14</v>
      </c>
      <c r="Z214" s="18"/>
      <c r="AA214" s="71" t="s">
        <v>14</v>
      </c>
      <c r="AB214" s="17"/>
      <c r="AC214" s="71" t="s">
        <v>14</v>
      </c>
      <c r="AD214" s="17"/>
      <c r="AE214" s="71" t="s">
        <v>14</v>
      </c>
      <c r="AF214" s="71" t="s">
        <v>14</v>
      </c>
      <c r="AG214" s="21" t="str">
        <f t="shared" si="16"/>
        <v>NÃO AVALIADO POR FALHA DE SINCRONISMO</v>
      </c>
      <c r="AH214" s="1"/>
      <c r="AI214" s="29" t="str">
        <f t="shared" si="17"/>
        <v>GUARULHOS</v>
      </c>
      <c r="AJ214" s="32" t="s">
        <v>1</v>
      </c>
    </row>
    <row r="215" spans="1:36" ht="30" customHeight="1" x14ac:dyDescent="0.2">
      <c r="A215" s="82" t="s">
        <v>101</v>
      </c>
      <c r="B215" s="82">
        <v>2617108678</v>
      </c>
      <c r="C215" s="82" t="s">
        <v>71</v>
      </c>
      <c r="D215" s="82" t="s">
        <v>20</v>
      </c>
      <c r="E215" s="82" t="s">
        <v>102</v>
      </c>
      <c r="F215" s="82" t="s">
        <v>938</v>
      </c>
      <c r="G215" s="82">
        <v>136</v>
      </c>
      <c r="H215" s="82"/>
      <c r="I215" s="82" t="s">
        <v>430</v>
      </c>
      <c r="J215" s="82" t="s">
        <v>2586</v>
      </c>
      <c r="K215" s="82"/>
      <c r="L215" s="82" t="s">
        <v>1370</v>
      </c>
      <c r="M215" s="82" t="s">
        <v>2723</v>
      </c>
      <c r="N215" s="82" t="s">
        <v>2596</v>
      </c>
      <c r="O215" s="36" t="s">
        <v>108</v>
      </c>
      <c r="P215" s="18"/>
      <c r="Q215" s="28" t="s">
        <v>108</v>
      </c>
      <c r="R215" s="18"/>
      <c r="S215" s="28" t="s">
        <v>108</v>
      </c>
      <c r="T215" s="18"/>
      <c r="U215" s="28" t="s">
        <v>108</v>
      </c>
      <c r="V215" s="18"/>
      <c r="W215" s="28" t="s">
        <v>108</v>
      </c>
      <c r="X215" s="18"/>
      <c r="Y215" s="28" t="s">
        <v>108</v>
      </c>
      <c r="Z215" s="18"/>
      <c r="AA215" s="28" t="s">
        <v>108</v>
      </c>
      <c r="AB215" s="17"/>
      <c r="AC215" s="28" t="s">
        <v>108</v>
      </c>
      <c r="AD215" s="17"/>
      <c r="AE215" s="28" t="s">
        <v>108</v>
      </c>
      <c r="AF215" s="71" t="str">
        <f t="shared" si="15"/>
        <v>C</v>
      </c>
      <c r="AG215" s="21" t="str">
        <f t="shared" si="16"/>
        <v>UTILIZOU O PDA CORRETAMENTE</v>
      </c>
      <c r="AH215" s="1"/>
      <c r="AI215" s="29" t="str">
        <f t="shared" si="17"/>
        <v>GUARULHOS</v>
      </c>
      <c r="AJ215" s="32" t="s">
        <v>1</v>
      </c>
    </row>
    <row r="216" spans="1:36" ht="30" customHeight="1" x14ac:dyDescent="0.2">
      <c r="A216" s="82" t="s">
        <v>101</v>
      </c>
      <c r="B216" s="82">
        <v>2616901957</v>
      </c>
      <c r="C216" s="82" t="s">
        <v>68</v>
      </c>
      <c r="D216" s="82" t="s">
        <v>20</v>
      </c>
      <c r="E216" s="82" t="s">
        <v>102</v>
      </c>
      <c r="F216" s="82" t="s">
        <v>494</v>
      </c>
      <c r="G216" s="82">
        <v>485</v>
      </c>
      <c r="H216" s="82" t="s">
        <v>110</v>
      </c>
      <c r="I216" s="82" t="s">
        <v>1073</v>
      </c>
      <c r="J216" s="82" t="s">
        <v>2588</v>
      </c>
      <c r="K216" s="82" t="s">
        <v>117</v>
      </c>
      <c r="L216" s="82" t="s">
        <v>1370</v>
      </c>
      <c r="M216" s="82" t="s">
        <v>2724</v>
      </c>
      <c r="N216" s="82" t="s">
        <v>2603</v>
      </c>
      <c r="O216" s="36" t="s">
        <v>114</v>
      </c>
      <c r="P216" s="18" t="s">
        <v>279</v>
      </c>
      <c r="Q216" s="36" t="s">
        <v>114</v>
      </c>
      <c r="R216" s="18" t="s">
        <v>279</v>
      </c>
      <c r="S216" s="36" t="s">
        <v>114</v>
      </c>
      <c r="T216" s="18" t="s">
        <v>279</v>
      </c>
      <c r="U216" s="36" t="s">
        <v>114</v>
      </c>
      <c r="V216" s="18" t="s">
        <v>279</v>
      </c>
      <c r="W216" s="36" t="s">
        <v>114</v>
      </c>
      <c r="X216" s="18" t="s">
        <v>279</v>
      </c>
      <c r="Y216" s="36" t="s">
        <v>114</v>
      </c>
      <c r="Z216" s="18" t="s">
        <v>279</v>
      </c>
      <c r="AA216" s="36" t="s">
        <v>114</v>
      </c>
      <c r="AB216" s="17" t="s">
        <v>279</v>
      </c>
      <c r="AC216" s="36" t="s">
        <v>114</v>
      </c>
      <c r="AD216" s="17" t="s">
        <v>279</v>
      </c>
      <c r="AE216" s="36" t="s">
        <v>114</v>
      </c>
      <c r="AF216" s="71" t="str">
        <f t="shared" si="15"/>
        <v>NC</v>
      </c>
      <c r="AG216" s="21" t="str">
        <f t="shared" si="16"/>
        <v>NÃO UTILIZOU O PDA</v>
      </c>
      <c r="AH216" s="1"/>
      <c r="AI216" s="29" t="str">
        <f t="shared" si="17"/>
        <v>GUARULHOS</v>
      </c>
      <c r="AJ216" s="32" t="s">
        <v>1</v>
      </c>
    </row>
    <row r="217" spans="1:36" ht="30" customHeight="1" x14ac:dyDescent="0.2">
      <c r="A217" s="82" t="s">
        <v>101</v>
      </c>
      <c r="B217" s="82">
        <v>2617290312</v>
      </c>
      <c r="C217" s="82" t="s">
        <v>68</v>
      </c>
      <c r="D217" s="82" t="s">
        <v>20</v>
      </c>
      <c r="E217" s="82" t="s">
        <v>102</v>
      </c>
      <c r="F217" s="82" t="s">
        <v>1349</v>
      </c>
      <c r="G217" s="82">
        <v>159</v>
      </c>
      <c r="H217" s="82"/>
      <c r="I217" s="82" t="s">
        <v>531</v>
      </c>
      <c r="J217" s="82" t="s">
        <v>2588</v>
      </c>
      <c r="K217" s="82"/>
      <c r="L217" s="82" t="s">
        <v>1370</v>
      </c>
      <c r="M217" s="82" t="s">
        <v>2725</v>
      </c>
      <c r="N217" s="82" t="s">
        <v>2603</v>
      </c>
      <c r="O217" s="36" t="s">
        <v>114</v>
      </c>
      <c r="P217" s="18" t="s">
        <v>279</v>
      </c>
      <c r="Q217" s="36" t="s">
        <v>114</v>
      </c>
      <c r="R217" s="18" t="s">
        <v>279</v>
      </c>
      <c r="S217" s="36" t="s">
        <v>114</v>
      </c>
      <c r="T217" s="18" t="s">
        <v>279</v>
      </c>
      <c r="U217" s="36" t="s">
        <v>114</v>
      </c>
      <c r="V217" s="18" t="s">
        <v>279</v>
      </c>
      <c r="W217" s="36" t="s">
        <v>114</v>
      </c>
      <c r="X217" s="18" t="s">
        <v>279</v>
      </c>
      <c r="Y217" s="36" t="s">
        <v>114</v>
      </c>
      <c r="Z217" s="18" t="s">
        <v>279</v>
      </c>
      <c r="AA217" s="36" t="s">
        <v>114</v>
      </c>
      <c r="AB217" s="17" t="s">
        <v>279</v>
      </c>
      <c r="AC217" s="36" t="s">
        <v>114</v>
      </c>
      <c r="AD217" s="17" t="s">
        <v>279</v>
      </c>
      <c r="AE217" s="36" t="s">
        <v>114</v>
      </c>
      <c r="AF217" s="71" t="str">
        <f t="shared" si="15"/>
        <v>NC</v>
      </c>
      <c r="AG217" s="21" t="str">
        <f t="shared" si="16"/>
        <v>NÃO UTILIZOU O PDA</v>
      </c>
      <c r="AH217" s="1"/>
      <c r="AI217" s="29" t="str">
        <f t="shared" si="17"/>
        <v>GUARULHOS</v>
      </c>
      <c r="AJ217" s="32" t="s">
        <v>1</v>
      </c>
    </row>
    <row r="218" spans="1:36" ht="30" customHeight="1" x14ac:dyDescent="0.2">
      <c r="A218" s="82" t="s">
        <v>101</v>
      </c>
      <c r="B218" s="82">
        <v>2691275521</v>
      </c>
      <c r="C218" s="82" t="s">
        <v>68</v>
      </c>
      <c r="D218" s="82" t="s">
        <v>20</v>
      </c>
      <c r="E218" s="82" t="s">
        <v>102</v>
      </c>
      <c r="F218" s="82" t="s">
        <v>2726</v>
      </c>
      <c r="G218" s="82">
        <v>100</v>
      </c>
      <c r="H218" s="82" t="s">
        <v>2727</v>
      </c>
      <c r="I218" s="82" t="s">
        <v>940</v>
      </c>
      <c r="J218" s="82" t="s">
        <v>2588</v>
      </c>
      <c r="K218" s="82" t="s">
        <v>117</v>
      </c>
      <c r="L218" s="82" t="s">
        <v>1370</v>
      </c>
      <c r="M218" s="82" t="s">
        <v>2728</v>
      </c>
      <c r="N218" s="82" t="s">
        <v>2603</v>
      </c>
      <c r="O218" s="36" t="s">
        <v>114</v>
      </c>
      <c r="P218" s="18" t="s">
        <v>279</v>
      </c>
      <c r="Q218" s="36" t="s">
        <v>114</v>
      </c>
      <c r="R218" s="18" t="s">
        <v>279</v>
      </c>
      <c r="S218" s="36" t="s">
        <v>114</v>
      </c>
      <c r="T218" s="18" t="s">
        <v>279</v>
      </c>
      <c r="U218" s="36" t="s">
        <v>114</v>
      </c>
      <c r="V218" s="18" t="s">
        <v>279</v>
      </c>
      <c r="W218" s="36" t="s">
        <v>114</v>
      </c>
      <c r="X218" s="18" t="s">
        <v>279</v>
      </c>
      <c r="Y218" s="36" t="s">
        <v>114</v>
      </c>
      <c r="Z218" s="18" t="s">
        <v>279</v>
      </c>
      <c r="AA218" s="36" t="s">
        <v>114</v>
      </c>
      <c r="AB218" s="17" t="s">
        <v>279</v>
      </c>
      <c r="AC218" s="36" t="s">
        <v>114</v>
      </c>
      <c r="AD218" s="17" t="s">
        <v>279</v>
      </c>
      <c r="AE218" s="36" t="s">
        <v>114</v>
      </c>
      <c r="AF218" s="71" t="str">
        <f t="shared" si="15"/>
        <v>NC</v>
      </c>
      <c r="AG218" s="21" t="str">
        <f t="shared" si="16"/>
        <v>NÃO UTILIZOU O PDA</v>
      </c>
      <c r="AH218" s="1"/>
      <c r="AI218" s="29" t="str">
        <f t="shared" si="17"/>
        <v>GUARULHOS</v>
      </c>
      <c r="AJ218" s="32" t="s">
        <v>1</v>
      </c>
    </row>
    <row r="219" spans="1:36" ht="30" customHeight="1" x14ac:dyDescent="0.2">
      <c r="A219" s="82" t="s">
        <v>101</v>
      </c>
      <c r="B219" s="82">
        <v>2691199989</v>
      </c>
      <c r="C219" s="82" t="s">
        <v>69</v>
      </c>
      <c r="D219" s="82" t="s">
        <v>20</v>
      </c>
      <c r="E219" s="82" t="s">
        <v>102</v>
      </c>
      <c r="F219" s="82" t="s">
        <v>1759</v>
      </c>
      <c r="G219" s="82">
        <v>577</v>
      </c>
      <c r="H219" s="82" t="s">
        <v>2729</v>
      </c>
      <c r="I219" s="82" t="s">
        <v>264</v>
      </c>
      <c r="J219" s="82" t="s">
        <v>2586</v>
      </c>
      <c r="K219" s="82"/>
      <c r="L219" s="82" t="s">
        <v>1370</v>
      </c>
      <c r="M219" s="82" t="s">
        <v>2730</v>
      </c>
      <c r="N219" s="82" t="s">
        <v>2603</v>
      </c>
      <c r="O219" s="36" t="s">
        <v>114</v>
      </c>
      <c r="P219" s="18" t="s">
        <v>279</v>
      </c>
      <c r="Q219" s="36" t="s">
        <v>114</v>
      </c>
      <c r="R219" s="18" t="s">
        <v>279</v>
      </c>
      <c r="S219" s="36" t="s">
        <v>114</v>
      </c>
      <c r="T219" s="18" t="s">
        <v>279</v>
      </c>
      <c r="U219" s="36" t="s">
        <v>114</v>
      </c>
      <c r="V219" s="18" t="s">
        <v>279</v>
      </c>
      <c r="W219" s="36" t="s">
        <v>114</v>
      </c>
      <c r="X219" s="18" t="s">
        <v>279</v>
      </c>
      <c r="Y219" s="36" t="s">
        <v>114</v>
      </c>
      <c r="Z219" s="18" t="s">
        <v>279</v>
      </c>
      <c r="AA219" s="36" t="s">
        <v>114</v>
      </c>
      <c r="AB219" s="17" t="s">
        <v>279</v>
      </c>
      <c r="AC219" s="36" t="s">
        <v>114</v>
      </c>
      <c r="AD219" s="17" t="s">
        <v>279</v>
      </c>
      <c r="AE219" s="36" t="s">
        <v>114</v>
      </c>
      <c r="AF219" s="71" t="str">
        <f t="shared" si="15"/>
        <v>NC</v>
      </c>
      <c r="AG219" s="21" t="str">
        <f t="shared" si="16"/>
        <v>NÃO UTILIZOU O PDA</v>
      </c>
      <c r="AH219" s="1"/>
      <c r="AI219" s="29" t="str">
        <f t="shared" si="17"/>
        <v>GUARULHOS</v>
      </c>
      <c r="AJ219" s="32" t="s">
        <v>1</v>
      </c>
    </row>
    <row r="220" spans="1:36" ht="30" customHeight="1" x14ac:dyDescent="0.2">
      <c r="A220" s="82" t="s">
        <v>101</v>
      </c>
      <c r="B220" s="82">
        <v>2616616637</v>
      </c>
      <c r="C220" s="82" t="s">
        <v>68</v>
      </c>
      <c r="D220" s="82" t="s">
        <v>20</v>
      </c>
      <c r="E220" s="82" t="s">
        <v>102</v>
      </c>
      <c r="F220" s="82" t="s">
        <v>537</v>
      </c>
      <c r="G220" s="82">
        <v>379</v>
      </c>
      <c r="H220" s="82" t="s">
        <v>774</v>
      </c>
      <c r="I220" s="82" t="s">
        <v>264</v>
      </c>
      <c r="J220" s="82" t="s">
        <v>2588</v>
      </c>
      <c r="K220" s="82" t="s">
        <v>117</v>
      </c>
      <c r="L220" s="82" t="s">
        <v>1370</v>
      </c>
      <c r="M220" s="82" t="s">
        <v>2731</v>
      </c>
      <c r="N220" s="82" t="s">
        <v>2603</v>
      </c>
      <c r="O220" s="36" t="s">
        <v>114</v>
      </c>
      <c r="P220" s="18" t="s">
        <v>279</v>
      </c>
      <c r="Q220" s="36" t="s">
        <v>114</v>
      </c>
      <c r="R220" s="18" t="s">
        <v>279</v>
      </c>
      <c r="S220" s="36" t="s">
        <v>114</v>
      </c>
      <c r="T220" s="18" t="s">
        <v>279</v>
      </c>
      <c r="U220" s="36" t="s">
        <v>114</v>
      </c>
      <c r="V220" s="18" t="s">
        <v>279</v>
      </c>
      <c r="W220" s="36" t="s">
        <v>114</v>
      </c>
      <c r="X220" s="18" t="s">
        <v>279</v>
      </c>
      <c r="Y220" s="36" t="s">
        <v>114</v>
      </c>
      <c r="Z220" s="18" t="s">
        <v>279</v>
      </c>
      <c r="AA220" s="36" t="s">
        <v>114</v>
      </c>
      <c r="AB220" s="17" t="s">
        <v>279</v>
      </c>
      <c r="AC220" s="36" t="s">
        <v>114</v>
      </c>
      <c r="AD220" s="17" t="s">
        <v>279</v>
      </c>
      <c r="AE220" s="36" t="s">
        <v>114</v>
      </c>
      <c r="AF220" s="71" t="str">
        <f t="shared" si="15"/>
        <v>NC</v>
      </c>
      <c r="AG220" s="21" t="str">
        <f t="shared" si="16"/>
        <v>NÃO UTILIZOU O PDA</v>
      </c>
      <c r="AH220" s="1"/>
      <c r="AI220" s="29" t="str">
        <f t="shared" si="17"/>
        <v>GUARULHOS</v>
      </c>
      <c r="AJ220" s="32" t="s">
        <v>1</v>
      </c>
    </row>
    <row r="221" spans="1:36" ht="30" customHeight="1" x14ac:dyDescent="0.2">
      <c r="A221" s="82" t="s">
        <v>101</v>
      </c>
      <c r="B221" s="82">
        <v>2617178649</v>
      </c>
      <c r="C221" s="82" t="s">
        <v>69</v>
      </c>
      <c r="D221" s="82" t="s">
        <v>20</v>
      </c>
      <c r="E221" s="82" t="s">
        <v>102</v>
      </c>
      <c r="F221" s="82" t="s">
        <v>537</v>
      </c>
      <c r="G221" s="82">
        <v>382</v>
      </c>
      <c r="H221" s="82"/>
      <c r="I221" s="82" t="s">
        <v>531</v>
      </c>
      <c r="J221" s="82" t="s">
        <v>2586</v>
      </c>
      <c r="K221" s="82"/>
      <c r="L221" s="82" t="s">
        <v>1370</v>
      </c>
      <c r="M221" s="82" t="s">
        <v>2732</v>
      </c>
      <c r="N221" s="82" t="s">
        <v>2603</v>
      </c>
      <c r="O221" s="36" t="s">
        <v>114</v>
      </c>
      <c r="P221" s="18" t="s">
        <v>279</v>
      </c>
      <c r="Q221" s="36" t="s">
        <v>114</v>
      </c>
      <c r="R221" s="18" t="s">
        <v>279</v>
      </c>
      <c r="S221" s="36" t="s">
        <v>114</v>
      </c>
      <c r="T221" s="18" t="s">
        <v>279</v>
      </c>
      <c r="U221" s="36" t="s">
        <v>114</v>
      </c>
      <c r="V221" s="18" t="s">
        <v>279</v>
      </c>
      <c r="W221" s="36" t="s">
        <v>114</v>
      </c>
      <c r="X221" s="18" t="s">
        <v>279</v>
      </c>
      <c r="Y221" s="36" t="s">
        <v>114</v>
      </c>
      <c r="Z221" s="18" t="s">
        <v>279</v>
      </c>
      <c r="AA221" s="36" t="s">
        <v>114</v>
      </c>
      <c r="AB221" s="17" t="s">
        <v>279</v>
      </c>
      <c r="AC221" s="36" t="s">
        <v>114</v>
      </c>
      <c r="AD221" s="17" t="s">
        <v>279</v>
      </c>
      <c r="AE221" s="36" t="s">
        <v>114</v>
      </c>
      <c r="AF221" s="71" t="str">
        <f t="shared" si="15"/>
        <v>NC</v>
      </c>
      <c r="AG221" s="21" t="str">
        <f t="shared" si="16"/>
        <v>NÃO UTILIZOU O PDA</v>
      </c>
      <c r="AH221" s="1"/>
      <c r="AI221" s="29" t="str">
        <f t="shared" ref="AI221:AI258" si="18">E221</f>
        <v>GUARULHOS</v>
      </c>
      <c r="AJ221" s="32" t="s">
        <v>1</v>
      </c>
    </row>
    <row r="222" spans="1:36" ht="30" customHeight="1" x14ac:dyDescent="0.2">
      <c r="A222" s="82" t="s">
        <v>101</v>
      </c>
      <c r="B222" s="82">
        <v>2616833839</v>
      </c>
      <c r="C222" s="82" t="s">
        <v>71</v>
      </c>
      <c r="D222" s="82" t="s">
        <v>20</v>
      </c>
      <c r="E222" s="82" t="s">
        <v>102</v>
      </c>
      <c r="F222" s="82" t="s">
        <v>1205</v>
      </c>
      <c r="G222" s="82">
        <v>822</v>
      </c>
      <c r="H222" s="82" t="s">
        <v>2733</v>
      </c>
      <c r="I222" s="82" t="s">
        <v>264</v>
      </c>
      <c r="J222" s="82" t="s">
        <v>2586</v>
      </c>
      <c r="K222" s="82" t="s">
        <v>117</v>
      </c>
      <c r="L222" s="82" t="s">
        <v>1370</v>
      </c>
      <c r="M222" s="82" t="s">
        <v>2734</v>
      </c>
      <c r="N222" s="82" t="s">
        <v>2603</v>
      </c>
      <c r="O222" s="36" t="s">
        <v>114</v>
      </c>
      <c r="P222" s="18" t="s">
        <v>279</v>
      </c>
      <c r="Q222" s="36" t="s">
        <v>114</v>
      </c>
      <c r="R222" s="18" t="s">
        <v>279</v>
      </c>
      <c r="S222" s="36" t="s">
        <v>114</v>
      </c>
      <c r="T222" s="18" t="s">
        <v>279</v>
      </c>
      <c r="U222" s="36" t="s">
        <v>114</v>
      </c>
      <c r="V222" s="18" t="s">
        <v>279</v>
      </c>
      <c r="W222" s="36" t="s">
        <v>114</v>
      </c>
      <c r="X222" s="18" t="s">
        <v>279</v>
      </c>
      <c r="Y222" s="36" t="s">
        <v>114</v>
      </c>
      <c r="Z222" s="18" t="s">
        <v>279</v>
      </c>
      <c r="AA222" s="36" t="s">
        <v>114</v>
      </c>
      <c r="AB222" s="17" t="s">
        <v>279</v>
      </c>
      <c r="AC222" s="36" t="s">
        <v>114</v>
      </c>
      <c r="AD222" s="17" t="s">
        <v>279</v>
      </c>
      <c r="AE222" s="36" t="s">
        <v>114</v>
      </c>
      <c r="AF222" s="71" t="str">
        <f t="shared" si="15"/>
        <v>NC</v>
      </c>
      <c r="AG222" s="21" t="str">
        <f t="shared" si="16"/>
        <v>NÃO UTILIZOU O PDA</v>
      </c>
      <c r="AH222" s="1"/>
      <c r="AI222" s="29" t="str">
        <f t="shared" si="18"/>
        <v>GUARULHOS</v>
      </c>
      <c r="AJ222" s="32" t="s">
        <v>1</v>
      </c>
    </row>
    <row r="223" spans="1:36" ht="30" customHeight="1" x14ac:dyDescent="0.2">
      <c r="A223" s="82" t="s">
        <v>101</v>
      </c>
      <c r="B223" s="82">
        <v>2616909281</v>
      </c>
      <c r="C223" s="82" t="s">
        <v>68</v>
      </c>
      <c r="D223" s="82" t="s">
        <v>20</v>
      </c>
      <c r="E223" s="82" t="s">
        <v>102</v>
      </c>
      <c r="F223" s="82" t="s">
        <v>1252</v>
      </c>
      <c r="G223" s="82">
        <v>325</v>
      </c>
      <c r="H223" s="82"/>
      <c r="I223" s="82" t="s">
        <v>989</v>
      </c>
      <c r="J223" s="82" t="s">
        <v>2588</v>
      </c>
      <c r="K223" s="82"/>
      <c r="L223" s="82" t="s">
        <v>1370</v>
      </c>
      <c r="M223" s="82" t="s">
        <v>2735</v>
      </c>
      <c r="N223" s="82" t="s">
        <v>2603</v>
      </c>
      <c r="O223" s="36" t="s">
        <v>114</v>
      </c>
      <c r="P223" s="18" t="s">
        <v>279</v>
      </c>
      <c r="Q223" s="36" t="s">
        <v>114</v>
      </c>
      <c r="R223" s="18" t="s">
        <v>279</v>
      </c>
      <c r="S223" s="36" t="s">
        <v>114</v>
      </c>
      <c r="T223" s="18" t="s">
        <v>279</v>
      </c>
      <c r="U223" s="36" t="s">
        <v>114</v>
      </c>
      <c r="V223" s="18" t="s">
        <v>279</v>
      </c>
      <c r="W223" s="36" t="s">
        <v>114</v>
      </c>
      <c r="X223" s="18" t="s">
        <v>279</v>
      </c>
      <c r="Y223" s="36" t="s">
        <v>114</v>
      </c>
      <c r="Z223" s="18" t="s">
        <v>279</v>
      </c>
      <c r="AA223" s="36" t="s">
        <v>114</v>
      </c>
      <c r="AB223" s="17" t="s">
        <v>279</v>
      </c>
      <c r="AC223" s="36" t="s">
        <v>114</v>
      </c>
      <c r="AD223" s="17" t="s">
        <v>279</v>
      </c>
      <c r="AE223" s="36" t="s">
        <v>114</v>
      </c>
      <c r="AF223" s="71" t="str">
        <f t="shared" si="15"/>
        <v>NC</v>
      </c>
      <c r="AG223" s="21" t="str">
        <f t="shared" si="16"/>
        <v>NÃO UTILIZOU O PDA</v>
      </c>
      <c r="AH223" s="1"/>
      <c r="AI223" s="29" t="str">
        <f t="shared" si="18"/>
        <v>GUARULHOS</v>
      </c>
      <c r="AJ223" s="32" t="s">
        <v>1</v>
      </c>
    </row>
    <row r="224" spans="1:36" ht="30" customHeight="1" x14ac:dyDescent="0.2">
      <c r="A224" s="82" t="s">
        <v>101</v>
      </c>
      <c r="B224" s="82">
        <v>2617107181</v>
      </c>
      <c r="C224" s="82" t="s">
        <v>68</v>
      </c>
      <c r="D224" s="82" t="s">
        <v>20</v>
      </c>
      <c r="E224" s="82" t="s">
        <v>102</v>
      </c>
      <c r="F224" s="82" t="s">
        <v>2736</v>
      </c>
      <c r="G224" s="82">
        <v>155</v>
      </c>
      <c r="H224" s="82" t="s">
        <v>117</v>
      </c>
      <c r="I224" s="82" t="s">
        <v>247</v>
      </c>
      <c r="J224" s="82" t="s">
        <v>2588</v>
      </c>
      <c r="K224" s="82" t="s">
        <v>117</v>
      </c>
      <c r="L224" s="82" t="s">
        <v>1370</v>
      </c>
      <c r="M224" s="82" t="s">
        <v>2737</v>
      </c>
      <c r="N224" s="82" t="s">
        <v>2603</v>
      </c>
      <c r="O224" s="36" t="s">
        <v>114</v>
      </c>
      <c r="P224" s="18" t="s">
        <v>279</v>
      </c>
      <c r="Q224" s="36" t="s">
        <v>114</v>
      </c>
      <c r="R224" s="18" t="s">
        <v>279</v>
      </c>
      <c r="S224" s="36" t="s">
        <v>114</v>
      </c>
      <c r="T224" s="18" t="s">
        <v>279</v>
      </c>
      <c r="U224" s="36" t="s">
        <v>114</v>
      </c>
      <c r="V224" s="18" t="s">
        <v>279</v>
      </c>
      <c r="W224" s="36" t="s">
        <v>114</v>
      </c>
      <c r="X224" s="18" t="s">
        <v>279</v>
      </c>
      <c r="Y224" s="36" t="s">
        <v>114</v>
      </c>
      <c r="Z224" s="18" t="s">
        <v>279</v>
      </c>
      <c r="AA224" s="36" t="s">
        <v>114</v>
      </c>
      <c r="AB224" s="17" t="s">
        <v>279</v>
      </c>
      <c r="AC224" s="36" t="s">
        <v>114</v>
      </c>
      <c r="AD224" s="17" t="s">
        <v>279</v>
      </c>
      <c r="AE224" s="36" t="s">
        <v>114</v>
      </c>
      <c r="AF224" s="71" t="str">
        <f t="shared" si="15"/>
        <v>NC</v>
      </c>
      <c r="AG224" s="21" t="str">
        <f t="shared" si="16"/>
        <v>NÃO UTILIZOU O PDA</v>
      </c>
      <c r="AH224" s="1"/>
      <c r="AI224" s="29" t="str">
        <f t="shared" si="18"/>
        <v>GUARULHOS</v>
      </c>
      <c r="AJ224" s="32" t="s">
        <v>1</v>
      </c>
    </row>
    <row r="225" spans="1:36" ht="30" customHeight="1" x14ac:dyDescent="0.2">
      <c r="A225" s="82" t="s">
        <v>101</v>
      </c>
      <c r="B225" s="82">
        <v>2617121133</v>
      </c>
      <c r="C225" s="82" t="s">
        <v>70</v>
      </c>
      <c r="D225" s="82" t="s">
        <v>20</v>
      </c>
      <c r="E225" s="82" t="s">
        <v>102</v>
      </c>
      <c r="F225" s="82" t="s">
        <v>1262</v>
      </c>
      <c r="G225" s="82">
        <v>149</v>
      </c>
      <c r="H225" s="82" t="s">
        <v>339</v>
      </c>
      <c r="I225" s="82" t="s">
        <v>989</v>
      </c>
      <c r="J225" s="82" t="s">
        <v>2588</v>
      </c>
      <c r="K225" s="82"/>
      <c r="L225" s="82" t="s">
        <v>1370</v>
      </c>
      <c r="M225" s="82" t="s">
        <v>2738</v>
      </c>
      <c r="N225" s="82" t="s">
        <v>2603</v>
      </c>
      <c r="O225" s="36" t="s">
        <v>114</v>
      </c>
      <c r="P225" s="18" t="s">
        <v>279</v>
      </c>
      <c r="Q225" s="28" t="s">
        <v>114</v>
      </c>
      <c r="R225" s="18" t="s">
        <v>279</v>
      </c>
      <c r="S225" s="28" t="s">
        <v>114</v>
      </c>
      <c r="T225" s="18" t="s">
        <v>279</v>
      </c>
      <c r="U225" s="28" t="s">
        <v>114</v>
      </c>
      <c r="V225" s="18" t="s">
        <v>279</v>
      </c>
      <c r="W225" s="28" t="s">
        <v>114</v>
      </c>
      <c r="X225" s="18" t="s">
        <v>279</v>
      </c>
      <c r="Y225" s="28" t="s">
        <v>114</v>
      </c>
      <c r="Z225" s="18" t="s">
        <v>279</v>
      </c>
      <c r="AA225" s="28" t="s">
        <v>114</v>
      </c>
      <c r="AB225" s="17" t="s">
        <v>279</v>
      </c>
      <c r="AC225" s="28" t="s">
        <v>114</v>
      </c>
      <c r="AD225" s="17" t="s">
        <v>279</v>
      </c>
      <c r="AE225" s="28" t="s">
        <v>114</v>
      </c>
      <c r="AF225" s="71" t="str">
        <f t="shared" si="15"/>
        <v>NC</v>
      </c>
      <c r="AG225" s="21" t="str">
        <f t="shared" si="16"/>
        <v>NÃO UTILIZOU O PDA</v>
      </c>
      <c r="AH225" s="1"/>
      <c r="AI225" s="29" t="str">
        <f t="shared" si="18"/>
        <v>GUARULHOS</v>
      </c>
      <c r="AJ225" s="32" t="s">
        <v>1</v>
      </c>
    </row>
    <row r="226" spans="1:36" ht="30" customHeight="1" x14ac:dyDescent="0.2">
      <c r="A226" s="82" t="s">
        <v>101</v>
      </c>
      <c r="B226" s="82">
        <v>2691264172</v>
      </c>
      <c r="C226" s="82" t="s">
        <v>70</v>
      </c>
      <c r="D226" s="82" t="s">
        <v>20</v>
      </c>
      <c r="E226" s="82" t="s">
        <v>102</v>
      </c>
      <c r="F226" s="82" t="s">
        <v>628</v>
      </c>
      <c r="G226" s="82">
        <v>382</v>
      </c>
      <c r="H226" s="82" t="s">
        <v>117</v>
      </c>
      <c r="I226" s="82" t="s">
        <v>277</v>
      </c>
      <c r="J226" s="82" t="s">
        <v>2588</v>
      </c>
      <c r="K226" s="82" t="s">
        <v>117</v>
      </c>
      <c r="L226" s="82" t="s">
        <v>1370</v>
      </c>
      <c r="M226" s="82" t="s">
        <v>2739</v>
      </c>
      <c r="N226" s="82" t="s">
        <v>2587</v>
      </c>
      <c r="O226" s="36" t="s">
        <v>114</v>
      </c>
      <c r="P226" s="18"/>
      <c r="Q226" s="36" t="s">
        <v>114</v>
      </c>
      <c r="R226" s="18"/>
      <c r="S226" s="36" t="s">
        <v>114</v>
      </c>
      <c r="T226" s="18"/>
      <c r="U226" s="36" t="s">
        <v>114</v>
      </c>
      <c r="V226" s="18"/>
      <c r="W226" s="36" t="s">
        <v>114</v>
      </c>
      <c r="X226" s="18"/>
      <c r="Y226" s="36" t="s">
        <v>114</v>
      </c>
      <c r="Z226" s="18"/>
      <c r="AA226" s="36" t="s">
        <v>114</v>
      </c>
      <c r="AB226" s="17" t="s">
        <v>279</v>
      </c>
      <c r="AC226" s="36" t="s">
        <v>114</v>
      </c>
      <c r="AD226" s="17"/>
      <c r="AE226" s="36" t="s">
        <v>114</v>
      </c>
      <c r="AF226" s="71" t="str">
        <f t="shared" si="15"/>
        <v>NC</v>
      </c>
      <c r="AG226" s="21" t="str">
        <f t="shared" si="16"/>
        <v>NÃO UTILIZOU O PDA</v>
      </c>
      <c r="AH226" s="1"/>
      <c r="AI226" s="29" t="str">
        <f t="shared" si="18"/>
        <v>GUARULHOS</v>
      </c>
      <c r="AJ226" s="32" t="s">
        <v>1</v>
      </c>
    </row>
    <row r="227" spans="1:36" ht="30" customHeight="1" x14ac:dyDescent="0.2">
      <c r="A227" s="82" t="s">
        <v>101</v>
      </c>
      <c r="B227" s="82">
        <v>2616337668</v>
      </c>
      <c r="C227" s="82" t="s">
        <v>71</v>
      </c>
      <c r="D227" s="82" t="s">
        <v>20</v>
      </c>
      <c r="E227" s="82" t="s">
        <v>102</v>
      </c>
      <c r="F227" s="82" t="s">
        <v>462</v>
      </c>
      <c r="G227" s="82">
        <v>2376</v>
      </c>
      <c r="H227" s="82"/>
      <c r="I227" s="82" t="s">
        <v>179</v>
      </c>
      <c r="J227" s="82" t="s">
        <v>2586</v>
      </c>
      <c r="K227" s="82"/>
      <c r="L227" s="82" t="s">
        <v>1370</v>
      </c>
      <c r="M227" s="82" t="s">
        <v>2740</v>
      </c>
      <c r="N227" s="82" t="s">
        <v>2596</v>
      </c>
      <c r="O227" s="36" t="s">
        <v>108</v>
      </c>
      <c r="P227" s="18"/>
      <c r="Q227" s="28" t="s">
        <v>108</v>
      </c>
      <c r="R227" s="18"/>
      <c r="S227" s="28" t="s">
        <v>108</v>
      </c>
      <c r="T227" s="18"/>
      <c r="U227" s="28" t="s">
        <v>108</v>
      </c>
      <c r="V227" s="18"/>
      <c r="W227" s="28" t="s">
        <v>108</v>
      </c>
      <c r="X227" s="18"/>
      <c r="Y227" s="28" t="s">
        <v>108</v>
      </c>
      <c r="Z227" s="18"/>
      <c r="AA227" s="28" t="s">
        <v>108</v>
      </c>
      <c r="AB227" s="17"/>
      <c r="AC227" s="28" t="s">
        <v>108</v>
      </c>
      <c r="AD227" s="17"/>
      <c r="AE227" s="28" t="s">
        <v>108</v>
      </c>
      <c r="AF227" s="71" t="str">
        <f t="shared" si="15"/>
        <v>C</v>
      </c>
      <c r="AG227" s="21" t="str">
        <f t="shared" si="16"/>
        <v>UTILIZOU O PDA CORRETAMENTE</v>
      </c>
      <c r="AH227" s="1"/>
      <c r="AI227" s="29" t="str">
        <f t="shared" si="18"/>
        <v>GUARULHOS</v>
      </c>
      <c r="AJ227" s="32" t="s">
        <v>1</v>
      </c>
    </row>
    <row r="228" spans="1:36" ht="30" customHeight="1" x14ac:dyDescent="0.2">
      <c r="A228" s="82" t="s">
        <v>101</v>
      </c>
      <c r="B228" s="82">
        <v>2613870195</v>
      </c>
      <c r="C228" s="82" t="s">
        <v>71</v>
      </c>
      <c r="D228" s="82" t="s">
        <v>20</v>
      </c>
      <c r="E228" s="82" t="s">
        <v>102</v>
      </c>
      <c r="F228" s="82" t="s">
        <v>257</v>
      </c>
      <c r="G228" s="82">
        <v>94</v>
      </c>
      <c r="H228" s="82" t="s">
        <v>1768</v>
      </c>
      <c r="I228" s="82" t="s">
        <v>162</v>
      </c>
      <c r="J228" s="82" t="s">
        <v>2586</v>
      </c>
      <c r="K228" s="82" t="s">
        <v>2741</v>
      </c>
      <c r="L228" s="82" t="s">
        <v>1370</v>
      </c>
      <c r="M228" s="82" t="s">
        <v>2742</v>
      </c>
      <c r="N228" s="82" t="s">
        <v>2596</v>
      </c>
      <c r="O228" s="36" t="s">
        <v>108</v>
      </c>
      <c r="P228" s="18"/>
      <c r="Q228" s="28" t="s">
        <v>214</v>
      </c>
      <c r="R228" s="18"/>
      <c r="S228" s="28" t="s">
        <v>214</v>
      </c>
      <c r="T228" s="18"/>
      <c r="U228" s="28" t="s">
        <v>214</v>
      </c>
      <c r="V228" s="18"/>
      <c r="W228" s="28" t="s">
        <v>214</v>
      </c>
      <c r="X228" s="18"/>
      <c r="Y228" s="28" t="s">
        <v>214</v>
      </c>
      <c r="Z228" s="18"/>
      <c r="AA228" s="28" t="s">
        <v>214</v>
      </c>
      <c r="AB228" s="17"/>
      <c r="AC228" s="28" t="s">
        <v>214</v>
      </c>
      <c r="AD228" s="17"/>
      <c r="AE228" s="28" t="s">
        <v>214</v>
      </c>
      <c r="AF228" s="71" t="str">
        <f t="shared" si="15"/>
        <v>NC</v>
      </c>
      <c r="AG228" s="21" t="b">
        <f t="shared" si="16"/>
        <v>0</v>
      </c>
      <c r="AH228" s="1"/>
      <c r="AI228" s="29" t="str">
        <f t="shared" si="18"/>
        <v>GUARULHOS</v>
      </c>
      <c r="AJ228" s="32" t="s">
        <v>1</v>
      </c>
    </row>
    <row r="229" spans="1:36" ht="30" customHeight="1" x14ac:dyDescent="0.2">
      <c r="A229" s="82" t="s">
        <v>101</v>
      </c>
      <c r="B229" s="82">
        <v>2616876075</v>
      </c>
      <c r="C229" s="82" t="s">
        <v>69</v>
      </c>
      <c r="D229" s="82" t="s">
        <v>20</v>
      </c>
      <c r="E229" s="82" t="s">
        <v>102</v>
      </c>
      <c r="F229" s="82" t="s">
        <v>1087</v>
      </c>
      <c r="G229" s="82">
        <v>72</v>
      </c>
      <c r="H229" s="82" t="s">
        <v>117</v>
      </c>
      <c r="I229" s="82" t="s">
        <v>713</v>
      </c>
      <c r="J229" s="82" t="s">
        <v>2639</v>
      </c>
      <c r="K229" s="82" t="s">
        <v>2743</v>
      </c>
      <c r="L229" s="82" t="s">
        <v>1370</v>
      </c>
      <c r="M229" s="82" t="s">
        <v>2744</v>
      </c>
      <c r="N229" s="82" t="s">
        <v>2644</v>
      </c>
      <c r="O229" s="36" t="s">
        <v>14</v>
      </c>
      <c r="P229" s="18"/>
      <c r="Q229" s="36" t="s">
        <v>14</v>
      </c>
      <c r="R229" s="18"/>
      <c r="S229" s="36" t="s">
        <v>14</v>
      </c>
      <c r="T229" s="18" t="s">
        <v>2771</v>
      </c>
      <c r="U229" s="36" t="s">
        <v>14</v>
      </c>
      <c r="V229" s="18"/>
      <c r="W229" s="36" t="s">
        <v>14</v>
      </c>
      <c r="X229" s="18"/>
      <c r="Y229" s="36" t="s">
        <v>14</v>
      </c>
      <c r="Z229" s="18"/>
      <c r="AA229" s="36" t="s">
        <v>14</v>
      </c>
      <c r="AB229" s="17"/>
      <c r="AC229" s="36" t="s">
        <v>14</v>
      </c>
      <c r="AD229" s="17"/>
      <c r="AE229" s="36" t="s">
        <v>14</v>
      </c>
      <c r="AF229" s="71" t="str">
        <f t="shared" si="15"/>
        <v>NA</v>
      </c>
      <c r="AG229" s="21" t="str">
        <f t="shared" si="16"/>
        <v>NÃO AVALIADO POR FALHA DE SINCRONISMO</v>
      </c>
      <c r="AH229" s="1"/>
      <c r="AI229" s="29" t="str">
        <f t="shared" si="18"/>
        <v>GUARULHOS</v>
      </c>
      <c r="AJ229" s="32" t="s">
        <v>1</v>
      </c>
    </row>
    <row r="230" spans="1:36" ht="30" customHeight="1" x14ac:dyDescent="0.2">
      <c r="A230" s="82" t="s">
        <v>101</v>
      </c>
      <c r="B230" s="82">
        <v>2617177687</v>
      </c>
      <c r="C230" s="82" t="s">
        <v>68</v>
      </c>
      <c r="D230" s="82" t="s">
        <v>20</v>
      </c>
      <c r="E230" s="82" t="s">
        <v>102</v>
      </c>
      <c r="F230" s="82" t="s">
        <v>791</v>
      </c>
      <c r="G230" s="82">
        <v>67</v>
      </c>
      <c r="H230" s="82" t="s">
        <v>1342</v>
      </c>
      <c r="I230" s="82" t="s">
        <v>793</v>
      </c>
      <c r="J230" s="82" t="s">
        <v>2588</v>
      </c>
      <c r="K230" s="82" t="s">
        <v>2743</v>
      </c>
      <c r="L230" s="82" t="s">
        <v>1370</v>
      </c>
      <c r="M230" s="82" t="s">
        <v>2744</v>
      </c>
      <c r="N230" s="82" t="s">
        <v>2644</v>
      </c>
      <c r="O230" s="36" t="s">
        <v>14</v>
      </c>
      <c r="P230" s="18"/>
      <c r="Q230" s="36" t="s">
        <v>14</v>
      </c>
      <c r="R230" s="18"/>
      <c r="S230" s="36" t="s">
        <v>14</v>
      </c>
      <c r="T230" s="18"/>
      <c r="U230" s="36" t="s">
        <v>14</v>
      </c>
      <c r="V230" s="18"/>
      <c r="W230" s="36" t="s">
        <v>14</v>
      </c>
      <c r="X230" s="18"/>
      <c r="Y230" s="36" t="s">
        <v>14</v>
      </c>
      <c r="Z230" s="18"/>
      <c r="AA230" s="36" t="s">
        <v>14</v>
      </c>
      <c r="AB230" s="17"/>
      <c r="AC230" s="36" t="s">
        <v>14</v>
      </c>
      <c r="AD230" s="17"/>
      <c r="AE230" s="36" t="s">
        <v>14</v>
      </c>
      <c r="AF230" s="71" t="str">
        <f t="shared" si="15"/>
        <v>NA</v>
      </c>
      <c r="AG230" s="21" t="str">
        <f t="shared" si="16"/>
        <v>NÃO AVALIADO POR FALHA DE SINCRONISMO</v>
      </c>
      <c r="AH230" s="1"/>
      <c r="AI230" s="29" t="str">
        <f t="shared" si="18"/>
        <v>GUARULHOS</v>
      </c>
      <c r="AJ230" s="32" t="s">
        <v>1</v>
      </c>
    </row>
    <row r="231" spans="1:36" ht="30" customHeight="1" x14ac:dyDescent="0.2">
      <c r="A231" s="82" t="s">
        <v>101</v>
      </c>
      <c r="B231" s="82">
        <v>2616219754</v>
      </c>
      <c r="C231" s="82" t="s">
        <v>69</v>
      </c>
      <c r="D231" s="82" t="s">
        <v>20</v>
      </c>
      <c r="E231" s="82" t="s">
        <v>102</v>
      </c>
      <c r="F231" s="82" t="s">
        <v>791</v>
      </c>
      <c r="G231" s="82">
        <v>73</v>
      </c>
      <c r="H231" s="82" t="s">
        <v>117</v>
      </c>
      <c r="I231" s="82" t="s">
        <v>793</v>
      </c>
      <c r="J231" s="82" t="s">
        <v>2586</v>
      </c>
      <c r="K231" s="82" t="s">
        <v>2743</v>
      </c>
      <c r="L231" s="82" t="s">
        <v>1370</v>
      </c>
      <c r="M231" s="82" t="s">
        <v>2744</v>
      </c>
      <c r="N231" s="82" t="s">
        <v>2644</v>
      </c>
      <c r="O231" s="36" t="s">
        <v>14</v>
      </c>
      <c r="P231" s="18"/>
      <c r="Q231" s="36" t="s">
        <v>14</v>
      </c>
      <c r="R231" s="18"/>
      <c r="S231" s="36" t="s">
        <v>14</v>
      </c>
      <c r="T231" s="18"/>
      <c r="U231" s="36" t="s">
        <v>14</v>
      </c>
      <c r="V231" s="18"/>
      <c r="W231" s="36" t="s">
        <v>14</v>
      </c>
      <c r="X231" s="18"/>
      <c r="Y231" s="36" t="s">
        <v>14</v>
      </c>
      <c r="Z231" s="18"/>
      <c r="AA231" s="36" t="s">
        <v>14</v>
      </c>
      <c r="AB231" s="17"/>
      <c r="AC231" s="36" t="s">
        <v>14</v>
      </c>
      <c r="AD231" s="17"/>
      <c r="AE231" s="36" t="s">
        <v>14</v>
      </c>
      <c r="AF231" s="71" t="str">
        <f t="shared" si="15"/>
        <v>NA</v>
      </c>
      <c r="AG231" s="21" t="str">
        <f t="shared" ref="AG231:AG258" si="19">IF(AND(AE231="C",AF231="C"),"UTILIZOU O PDA CORRETAMENTE",IF(AND(AE231="C",AF231="NC"),"UTILIZOU O PDA CORRETAMENTE. NÃO HÁ FOTOS DE TODAS AS ETAPAS",IF(AND(AE231="NC",AF231="NC"),"NÃO UTILIZOU O PDA",IF(AND(AE231="NA",AF231="NA"),"NÃO AVALIADO POR FALHA DE SINCRONISMO"))))</f>
        <v>NÃO AVALIADO POR FALHA DE SINCRONISMO</v>
      </c>
      <c r="AH231" s="1"/>
      <c r="AI231" s="29" t="str">
        <f t="shared" si="18"/>
        <v>GUARULHOS</v>
      </c>
      <c r="AJ231" s="32" t="s">
        <v>1</v>
      </c>
    </row>
    <row r="232" spans="1:36" ht="30" customHeight="1" x14ac:dyDescent="0.2">
      <c r="A232" s="82" t="s">
        <v>101</v>
      </c>
      <c r="B232" s="82">
        <v>2613828979</v>
      </c>
      <c r="C232" s="82" t="s">
        <v>69</v>
      </c>
      <c r="D232" s="82" t="s">
        <v>20</v>
      </c>
      <c r="E232" s="82" t="s">
        <v>102</v>
      </c>
      <c r="F232" s="82" t="s">
        <v>791</v>
      </c>
      <c r="G232" s="82">
        <v>38</v>
      </c>
      <c r="H232" s="82" t="s">
        <v>792</v>
      </c>
      <c r="I232" s="82" t="s">
        <v>793</v>
      </c>
      <c r="J232" s="82" t="s">
        <v>2586</v>
      </c>
      <c r="K232" s="82" t="s">
        <v>2743</v>
      </c>
      <c r="L232" s="82" t="s">
        <v>1370</v>
      </c>
      <c r="M232" s="82" t="s">
        <v>2744</v>
      </c>
      <c r="N232" s="82" t="s">
        <v>2644</v>
      </c>
      <c r="O232" s="36" t="s">
        <v>14</v>
      </c>
      <c r="P232" s="18"/>
      <c r="Q232" s="36" t="s">
        <v>14</v>
      </c>
      <c r="R232" s="18"/>
      <c r="S232" s="36" t="s">
        <v>14</v>
      </c>
      <c r="T232" s="18"/>
      <c r="U232" s="36" t="s">
        <v>14</v>
      </c>
      <c r="V232" s="18"/>
      <c r="W232" s="36" t="s">
        <v>14</v>
      </c>
      <c r="X232" s="18"/>
      <c r="Y232" s="36" t="s">
        <v>14</v>
      </c>
      <c r="Z232" s="18"/>
      <c r="AA232" s="36" t="s">
        <v>14</v>
      </c>
      <c r="AB232" s="17"/>
      <c r="AC232" s="36" t="s">
        <v>14</v>
      </c>
      <c r="AD232" s="17"/>
      <c r="AE232" s="36" t="s">
        <v>14</v>
      </c>
      <c r="AF232" s="71" t="str">
        <f t="shared" ref="AF232:AF257" si="20">IF(AND(O232="",Q232="",S232="",U232="",W232="",Y232="",AA232="",AC232=""),"",
IF(OR(    AND(O232&lt;&gt;"NA",O232&lt;&gt;"C",O232&lt;&gt;"NC",O232&lt;&gt;"SF",O232&lt;&gt;""),
    AND(Q232&lt;&gt;"NA",Q232&lt;&gt;"C",Q232&lt;&gt;"NC",Q232&lt;&gt;"SF",Q232&lt;&gt;""),
    AND(S232&lt;&gt;"NA",S232&lt;&gt;"C",S232&lt;&gt;"NC",S232&lt;&gt;"SF",S232&lt;&gt;""),
    AND(U232&lt;&gt;"NA",U232&lt;&gt;"C",U232&lt;&gt;"NC",U232&lt;&gt;"SF",U232&lt;&gt;""),
    AND(W232&lt;&gt;"NA",W232&lt;&gt;"C",W232&lt;&gt;"NC",W232&lt;&gt;"SF",W232&lt;&gt;""),
    AND(Y232&lt;&gt;"NA",Y232&lt;&gt;"C",Y232&lt;&gt;"NC",Y232&lt;&gt;"SF",Y232&lt;&gt;""),
    AND(AA232&lt;&gt;"NA",AA232&lt;&gt;"C",AA232&lt;&gt;"NC",AA232&lt;&gt;"SF",AA232&lt;&gt;""),
    AND(AC232&lt;&gt;"NA",AC232&lt;&gt;"C",AC232&lt;&gt;"NC",AC232&lt;&gt;"SF",AC232&lt;&gt;"")
),"FALSO",
IF(AND(O232="NA",Q232="NA",S232="NA",U232="NA",W232="NA",Y232="NA",AA232="NA",AC232="NA"),"NA",
IF(OR(O232="NC",Q232="NC",S232="NC",U232="NC",W232="NC",Y232="NC",AA232="NC",AC232="NC",
       O232="SF",Q232="SF",S232="SF",U232="SF",W232="SF",Y232="SF",AA232="SF",AC232="SF"),"NC",
IF(SUM(IF(O232="C",1,0),IF(Q232="C",1,0),IF(S232="C",1,0),IF(U232="C",1,0),IF(W232="C",1,0),IF(Y232="C",1,0),IF(AA232="C",1,0),IF(AC232="C",1,0))=1,"C","C")))))</f>
        <v>NA</v>
      </c>
      <c r="AG232" s="21" t="str">
        <f t="shared" si="19"/>
        <v>NÃO AVALIADO POR FALHA DE SINCRONISMO</v>
      </c>
      <c r="AH232" s="1"/>
      <c r="AI232" s="29" t="str">
        <f t="shared" si="18"/>
        <v>GUARULHOS</v>
      </c>
      <c r="AJ232" s="32" t="s">
        <v>1</v>
      </c>
    </row>
    <row r="233" spans="1:36" ht="30" customHeight="1" x14ac:dyDescent="0.2">
      <c r="A233" s="82" t="s">
        <v>101</v>
      </c>
      <c r="B233" s="82">
        <v>2616220798</v>
      </c>
      <c r="C233" s="82" t="s">
        <v>69</v>
      </c>
      <c r="D233" s="82" t="s">
        <v>20</v>
      </c>
      <c r="E233" s="82" t="s">
        <v>102</v>
      </c>
      <c r="F233" s="82" t="s">
        <v>791</v>
      </c>
      <c r="G233" s="82">
        <v>28</v>
      </c>
      <c r="H233" s="82" t="s">
        <v>796</v>
      </c>
      <c r="I233" s="82" t="s">
        <v>793</v>
      </c>
      <c r="J233" s="82" t="s">
        <v>2639</v>
      </c>
      <c r="K233" s="82" t="s">
        <v>2743</v>
      </c>
      <c r="L233" s="82" t="s">
        <v>1370</v>
      </c>
      <c r="M233" s="82" t="s">
        <v>2744</v>
      </c>
      <c r="N233" s="82" t="s">
        <v>2644</v>
      </c>
      <c r="O233" s="36" t="s">
        <v>14</v>
      </c>
      <c r="P233" s="18"/>
      <c r="Q233" s="36" t="s">
        <v>14</v>
      </c>
      <c r="R233" s="18"/>
      <c r="S233" s="36" t="s">
        <v>14</v>
      </c>
      <c r="T233" s="18"/>
      <c r="U233" s="36" t="s">
        <v>14</v>
      </c>
      <c r="V233" s="18"/>
      <c r="W233" s="36" t="s">
        <v>14</v>
      </c>
      <c r="X233" s="18"/>
      <c r="Y233" s="36" t="s">
        <v>14</v>
      </c>
      <c r="Z233" s="18"/>
      <c r="AA233" s="36" t="s">
        <v>14</v>
      </c>
      <c r="AB233" s="17"/>
      <c r="AC233" s="36" t="s">
        <v>14</v>
      </c>
      <c r="AD233" s="17"/>
      <c r="AE233" s="36" t="s">
        <v>14</v>
      </c>
      <c r="AF233" s="71" t="str">
        <f t="shared" si="20"/>
        <v>NA</v>
      </c>
      <c r="AG233" s="21" t="str">
        <f t="shared" si="19"/>
        <v>NÃO AVALIADO POR FALHA DE SINCRONISMO</v>
      </c>
      <c r="AH233" s="1"/>
      <c r="AI233" s="29" t="str">
        <f t="shared" si="18"/>
        <v>GUARULHOS</v>
      </c>
      <c r="AJ233" s="32" t="s">
        <v>1</v>
      </c>
    </row>
    <row r="234" spans="1:36" ht="30" customHeight="1" x14ac:dyDescent="0.2">
      <c r="A234" s="91" t="s">
        <v>101</v>
      </c>
      <c r="B234" s="91">
        <v>2613869942</v>
      </c>
      <c r="C234" s="91" t="s">
        <v>71</v>
      </c>
      <c r="D234" s="91" t="s">
        <v>20</v>
      </c>
      <c r="E234" s="91" t="s">
        <v>102</v>
      </c>
      <c r="F234" s="91" t="s">
        <v>197</v>
      </c>
      <c r="G234" s="91">
        <v>535</v>
      </c>
      <c r="H234" s="91" t="s">
        <v>1328</v>
      </c>
      <c r="I234" s="91" t="s">
        <v>162</v>
      </c>
      <c r="J234" s="91" t="s">
        <v>2586</v>
      </c>
      <c r="K234" s="91" t="s">
        <v>2745</v>
      </c>
      <c r="L234" s="91" t="s">
        <v>1426</v>
      </c>
      <c r="M234" s="91" t="s">
        <v>1896</v>
      </c>
      <c r="N234" s="91" t="s">
        <v>2644</v>
      </c>
      <c r="O234" s="36" t="s">
        <v>14</v>
      </c>
      <c r="P234" s="18"/>
      <c r="Q234" s="36" t="s">
        <v>14</v>
      </c>
      <c r="R234" s="18"/>
      <c r="S234" s="36" t="s">
        <v>14</v>
      </c>
      <c r="T234" s="18"/>
      <c r="U234" s="36" t="s">
        <v>14</v>
      </c>
      <c r="V234" s="18"/>
      <c r="W234" s="36" t="s">
        <v>14</v>
      </c>
      <c r="X234" s="18"/>
      <c r="Y234" s="36" t="s">
        <v>14</v>
      </c>
      <c r="Z234" s="18"/>
      <c r="AA234" s="36" t="s">
        <v>14</v>
      </c>
      <c r="AB234" s="17"/>
      <c r="AC234" s="36" t="s">
        <v>14</v>
      </c>
      <c r="AD234" s="17"/>
      <c r="AE234" s="36" t="s">
        <v>14</v>
      </c>
      <c r="AF234" s="71" t="str">
        <f t="shared" si="20"/>
        <v>NA</v>
      </c>
      <c r="AG234" s="21" t="str">
        <f t="shared" si="19"/>
        <v>NÃO AVALIADO POR FALHA DE SINCRONISMO</v>
      </c>
      <c r="AH234" s="1"/>
      <c r="AI234" s="29" t="str">
        <f t="shared" si="18"/>
        <v>GUARULHOS</v>
      </c>
      <c r="AJ234" s="32" t="s">
        <v>1</v>
      </c>
    </row>
    <row r="235" spans="1:36" ht="30" customHeight="1" x14ac:dyDescent="0.2">
      <c r="A235" s="82" t="s">
        <v>101</v>
      </c>
      <c r="B235" s="82">
        <v>2615899717</v>
      </c>
      <c r="C235" s="82" t="s">
        <v>69</v>
      </c>
      <c r="D235" s="82" t="s">
        <v>20</v>
      </c>
      <c r="E235" s="82" t="s">
        <v>102</v>
      </c>
      <c r="F235" s="82" t="s">
        <v>555</v>
      </c>
      <c r="G235" s="82">
        <v>1405</v>
      </c>
      <c r="H235" s="82" t="s">
        <v>117</v>
      </c>
      <c r="I235" s="82" t="s">
        <v>556</v>
      </c>
      <c r="J235" s="82" t="s">
        <v>2586</v>
      </c>
      <c r="K235" s="82" t="s">
        <v>2746</v>
      </c>
      <c r="L235" s="82" t="s">
        <v>1426</v>
      </c>
      <c r="M235" s="82" t="s">
        <v>2747</v>
      </c>
      <c r="N235" s="82" t="s">
        <v>2587</v>
      </c>
      <c r="O235" s="36" t="s">
        <v>14</v>
      </c>
      <c r="P235" s="18"/>
      <c r="Q235" s="28" t="s">
        <v>14</v>
      </c>
      <c r="R235" s="18"/>
      <c r="S235" s="28" t="s">
        <v>14</v>
      </c>
      <c r="T235" s="18"/>
      <c r="U235" s="28" t="s">
        <v>14</v>
      </c>
      <c r="V235" s="18"/>
      <c r="W235" s="28" t="s">
        <v>14</v>
      </c>
      <c r="X235" s="18"/>
      <c r="Y235" s="28" t="s">
        <v>14</v>
      </c>
      <c r="Z235" s="18"/>
      <c r="AA235" s="28" t="s">
        <v>14</v>
      </c>
      <c r="AB235" s="17"/>
      <c r="AC235" s="28" t="s">
        <v>14</v>
      </c>
      <c r="AD235" s="17"/>
      <c r="AE235" s="28" t="s">
        <v>14</v>
      </c>
      <c r="AF235" s="71" t="str">
        <f t="shared" si="20"/>
        <v>NA</v>
      </c>
      <c r="AG235" s="21" t="str">
        <f t="shared" si="19"/>
        <v>NÃO AVALIADO POR FALHA DE SINCRONISMO</v>
      </c>
      <c r="AH235" s="1"/>
      <c r="AI235" s="29" t="str">
        <f t="shared" si="18"/>
        <v>GUARULHOS</v>
      </c>
      <c r="AJ235" s="32" t="s">
        <v>1</v>
      </c>
    </row>
    <row r="236" spans="1:36" ht="30" customHeight="1" x14ac:dyDescent="0.2">
      <c r="A236" s="82" t="s">
        <v>101</v>
      </c>
      <c r="B236" s="82">
        <v>2617314887</v>
      </c>
      <c r="C236" s="82" t="s">
        <v>68</v>
      </c>
      <c r="D236" s="82" t="s">
        <v>20</v>
      </c>
      <c r="E236" s="82" t="s">
        <v>102</v>
      </c>
      <c r="F236" s="82" t="s">
        <v>1362</v>
      </c>
      <c r="G236" s="82">
        <v>442</v>
      </c>
      <c r="H236" s="82" t="s">
        <v>464</v>
      </c>
      <c r="I236" s="82" t="s">
        <v>314</v>
      </c>
      <c r="J236" s="82" t="s">
        <v>2588</v>
      </c>
      <c r="K236" s="82" t="s">
        <v>2748</v>
      </c>
      <c r="L236" s="82" t="s">
        <v>1426</v>
      </c>
      <c r="M236" s="82" t="s">
        <v>2749</v>
      </c>
      <c r="N236" s="82" t="s">
        <v>2587</v>
      </c>
      <c r="O236" s="36" t="s">
        <v>108</v>
      </c>
      <c r="P236" s="18"/>
      <c r="Q236" s="28" t="s">
        <v>214</v>
      </c>
      <c r="R236" s="18"/>
      <c r="S236" s="28" t="s">
        <v>214</v>
      </c>
      <c r="T236" s="18"/>
      <c r="U236" s="28" t="s">
        <v>214</v>
      </c>
      <c r="V236" s="18"/>
      <c r="W236" s="28" t="s">
        <v>214</v>
      </c>
      <c r="X236" s="18"/>
      <c r="Y236" s="28" t="s">
        <v>214</v>
      </c>
      <c r="Z236" s="18"/>
      <c r="AA236" s="28" t="s">
        <v>214</v>
      </c>
      <c r="AB236" s="17"/>
      <c r="AC236" s="28" t="s">
        <v>108</v>
      </c>
      <c r="AD236" s="17"/>
      <c r="AE236" s="28" t="s">
        <v>108</v>
      </c>
      <c r="AF236" s="71" t="str">
        <f t="shared" si="20"/>
        <v>NC</v>
      </c>
      <c r="AG236" s="21" t="str">
        <f t="shared" si="19"/>
        <v>UTILIZOU O PDA CORRETAMENTE. NÃO HÁ FOTOS DE TODAS AS ETAPAS</v>
      </c>
      <c r="AH236" s="1"/>
      <c r="AI236" s="29" t="str">
        <f t="shared" si="18"/>
        <v>GUARULHOS</v>
      </c>
      <c r="AJ236" s="32" t="s">
        <v>1</v>
      </c>
    </row>
    <row r="237" spans="1:36" ht="30" customHeight="1" x14ac:dyDescent="0.2">
      <c r="A237" s="82" t="s">
        <v>101</v>
      </c>
      <c r="B237" s="82">
        <v>2614471690</v>
      </c>
      <c r="C237" s="82" t="s">
        <v>69</v>
      </c>
      <c r="D237" s="82" t="s">
        <v>20</v>
      </c>
      <c r="E237" s="82" t="s">
        <v>102</v>
      </c>
      <c r="F237" s="82" t="s">
        <v>1318</v>
      </c>
      <c r="G237" s="82">
        <v>169</v>
      </c>
      <c r="H237" s="82" t="s">
        <v>1319</v>
      </c>
      <c r="I237" s="82" t="s">
        <v>382</v>
      </c>
      <c r="J237" s="82" t="s">
        <v>2586</v>
      </c>
      <c r="K237" s="82"/>
      <c r="L237" s="82" t="s">
        <v>1426</v>
      </c>
      <c r="M237" s="82" t="s">
        <v>2750</v>
      </c>
      <c r="N237" s="82" t="s">
        <v>2587</v>
      </c>
      <c r="O237" s="36" t="s">
        <v>114</v>
      </c>
      <c r="P237" s="18" t="s">
        <v>279</v>
      </c>
      <c r="Q237" s="28" t="s">
        <v>114</v>
      </c>
      <c r="R237" s="18" t="s">
        <v>279</v>
      </c>
      <c r="S237" s="28" t="s">
        <v>114</v>
      </c>
      <c r="T237" s="18" t="s">
        <v>279</v>
      </c>
      <c r="U237" s="28" t="s">
        <v>114</v>
      </c>
      <c r="V237" s="18" t="s">
        <v>279</v>
      </c>
      <c r="W237" s="28" t="s">
        <v>114</v>
      </c>
      <c r="X237" s="18" t="s">
        <v>279</v>
      </c>
      <c r="Y237" s="28" t="s">
        <v>114</v>
      </c>
      <c r="Z237" s="18" t="s">
        <v>279</v>
      </c>
      <c r="AA237" s="28" t="s">
        <v>114</v>
      </c>
      <c r="AB237" s="17" t="s">
        <v>279</v>
      </c>
      <c r="AC237" s="28" t="s">
        <v>114</v>
      </c>
      <c r="AD237" s="17" t="s">
        <v>279</v>
      </c>
      <c r="AE237" s="28" t="s">
        <v>114</v>
      </c>
      <c r="AF237" s="71" t="str">
        <f t="shared" si="20"/>
        <v>NC</v>
      </c>
      <c r="AG237" s="21" t="str">
        <f t="shared" si="19"/>
        <v>NÃO UTILIZOU O PDA</v>
      </c>
      <c r="AH237" s="1"/>
      <c r="AI237" s="29" t="str">
        <f t="shared" si="18"/>
        <v>GUARULHOS</v>
      </c>
      <c r="AJ237" s="32" t="s">
        <v>1</v>
      </c>
    </row>
    <row r="238" spans="1:36" ht="30" customHeight="1" x14ac:dyDescent="0.2">
      <c r="A238" s="82" t="s">
        <v>101</v>
      </c>
      <c r="B238" s="82">
        <v>2617133799</v>
      </c>
      <c r="C238" s="82" t="s">
        <v>69</v>
      </c>
      <c r="D238" s="82" t="s">
        <v>20</v>
      </c>
      <c r="E238" s="82" t="s">
        <v>102</v>
      </c>
      <c r="F238" s="82" t="s">
        <v>1859</v>
      </c>
      <c r="G238" s="82">
        <v>125</v>
      </c>
      <c r="H238" s="82"/>
      <c r="I238" s="82" t="s">
        <v>367</v>
      </c>
      <c r="J238" s="82" t="s">
        <v>2586</v>
      </c>
      <c r="K238" s="82"/>
      <c r="L238" s="82" t="s">
        <v>1426</v>
      </c>
      <c r="M238" s="82" t="s">
        <v>2751</v>
      </c>
      <c r="N238" s="82" t="s">
        <v>2587</v>
      </c>
      <c r="O238" s="36" t="s">
        <v>114</v>
      </c>
      <c r="P238" s="18" t="s">
        <v>279</v>
      </c>
      <c r="Q238" s="36" t="s">
        <v>114</v>
      </c>
      <c r="R238" s="18" t="s">
        <v>279</v>
      </c>
      <c r="S238" s="36" t="s">
        <v>114</v>
      </c>
      <c r="T238" s="18" t="s">
        <v>279</v>
      </c>
      <c r="U238" s="36" t="s">
        <v>114</v>
      </c>
      <c r="V238" s="18" t="s">
        <v>279</v>
      </c>
      <c r="W238" s="36" t="s">
        <v>114</v>
      </c>
      <c r="X238" s="18" t="s">
        <v>279</v>
      </c>
      <c r="Y238" s="36" t="s">
        <v>114</v>
      </c>
      <c r="Z238" s="18" t="s">
        <v>279</v>
      </c>
      <c r="AA238" s="36" t="s">
        <v>114</v>
      </c>
      <c r="AB238" s="17" t="s">
        <v>279</v>
      </c>
      <c r="AC238" s="36" t="s">
        <v>114</v>
      </c>
      <c r="AD238" s="17" t="s">
        <v>279</v>
      </c>
      <c r="AE238" s="36" t="s">
        <v>114</v>
      </c>
      <c r="AF238" s="71" t="str">
        <f t="shared" si="20"/>
        <v>NC</v>
      </c>
      <c r="AG238" s="21" t="str">
        <f t="shared" si="19"/>
        <v>NÃO UTILIZOU O PDA</v>
      </c>
      <c r="AH238" s="1"/>
      <c r="AI238" s="29" t="str">
        <f t="shared" si="18"/>
        <v>GUARULHOS</v>
      </c>
      <c r="AJ238" s="32" t="s">
        <v>1</v>
      </c>
    </row>
    <row r="239" spans="1:36" ht="30" customHeight="1" x14ac:dyDescent="0.2">
      <c r="A239" s="82" t="s">
        <v>101</v>
      </c>
      <c r="B239" s="82">
        <v>2691373308</v>
      </c>
      <c r="C239" s="82" t="s">
        <v>70</v>
      </c>
      <c r="D239" s="82" t="s">
        <v>20</v>
      </c>
      <c r="E239" s="82" t="s">
        <v>102</v>
      </c>
      <c r="F239" s="82" t="s">
        <v>1276</v>
      </c>
      <c r="G239" s="82">
        <v>21</v>
      </c>
      <c r="H239" s="82" t="s">
        <v>1277</v>
      </c>
      <c r="I239" s="82" t="s">
        <v>277</v>
      </c>
      <c r="J239" s="82" t="s">
        <v>2588</v>
      </c>
      <c r="K239" s="82" t="s">
        <v>117</v>
      </c>
      <c r="L239" s="82" t="s">
        <v>1426</v>
      </c>
      <c r="M239" s="82" t="s">
        <v>2752</v>
      </c>
      <c r="N239" s="82" t="s">
        <v>2587</v>
      </c>
      <c r="O239" s="36" t="s">
        <v>108</v>
      </c>
      <c r="P239" s="18"/>
      <c r="Q239" s="28" t="s">
        <v>108</v>
      </c>
      <c r="R239" s="18"/>
      <c r="S239" s="28" t="s">
        <v>108</v>
      </c>
      <c r="T239" s="18"/>
      <c r="U239" s="28" t="s">
        <v>108</v>
      </c>
      <c r="V239" s="18"/>
      <c r="W239" s="28" t="s">
        <v>108</v>
      </c>
      <c r="X239" s="18"/>
      <c r="Y239" s="28" t="s">
        <v>108</v>
      </c>
      <c r="Z239" s="18"/>
      <c r="AA239" s="28" t="s">
        <v>108</v>
      </c>
      <c r="AB239" s="17"/>
      <c r="AC239" s="28" t="s">
        <v>108</v>
      </c>
      <c r="AD239" s="17"/>
      <c r="AE239" s="28" t="s">
        <v>108</v>
      </c>
      <c r="AF239" s="71" t="str">
        <f t="shared" si="20"/>
        <v>C</v>
      </c>
      <c r="AG239" s="21" t="str">
        <f t="shared" si="19"/>
        <v>UTILIZOU O PDA CORRETAMENTE</v>
      </c>
      <c r="AH239" s="1"/>
      <c r="AI239" s="29" t="str">
        <f t="shared" si="18"/>
        <v>GUARULHOS</v>
      </c>
      <c r="AJ239" s="32" t="s">
        <v>1</v>
      </c>
    </row>
    <row r="240" spans="1:36" ht="30" customHeight="1" x14ac:dyDescent="0.2">
      <c r="A240" s="82" t="s">
        <v>101</v>
      </c>
      <c r="B240" s="82">
        <v>2617312754</v>
      </c>
      <c r="C240" s="82" t="s">
        <v>68</v>
      </c>
      <c r="D240" s="82" t="s">
        <v>20</v>
      </c>
      <c r="E240" s="82" t="s">
        <v>102</v>
      </c>
      <c r="F240" s="82" t="s">
        <v>807</v>
      </c>
      <c r="G240" s="82">
        <v>455</v>
      </c>
      <c r="H240" s="82"/>
      <c r="I240" s="82" t="s">
        <v>809</v>
      </c>
      <c r="J240" s="82" t="s">
        <v>2588</v>
      </c>
      <c r="K240" s="82"/>
      <c r="L240" s="82" t="s">
        <v>1426</v>
      </c>
      <c r="M240" s="82" t="s">
        <v>2753</v>
      </c>
      <c r="N240" s="82" t="s">
        <v>2587</v>
      </c>
      <c r="O240" s="36" t="s">
        <v>114</v>
      </c>
      <c r="P240" s="18" t="s">
        <v>279</v>
      </c>
      <c r="Q240" s="28" t="s">
        <v>114</v>
      </c>
      <c r="R240" s="18" t="s">
        <v>279</v>
      </c>
      <c r="S240" s="28" t="s">
        <v>114</v>
      </c>
      <c r="T240" s="18" t="s">
        <v>279</v>
      </c>
      <c r="U240" s="28" t="s">
        <v>114</v>
      </c>
      <c r="V240" s="18" t="s">
        <v>279</v>
      </c>
      <c r="W240" s="28" t="s">
        <v>114</v>
      </c>
      <c r="X240" s="18" t="s">
        <v>279</v>
      </c>
      <c r="Y240" s="28" t="s">
        <v>114</v>
      </c>
      <c r="Z240" s="18" t="s">
        <v>279</v>
      </c>
      <c r="AA240" s="28" t="s">
        <v>114</v>
      </c>
      <c r="AB240" s="17" t="s">
        <v>279</v>
      </c>
      <c r="AC240" s="28" t="s">
        <v>114</v>
      </c>
      <c r="AD240" s="17" t="s">
        <v>279</v>
      </c>
      <c r="AE240" s="28" t="s">
        <v>114</v>
      </c>
      <c r="AF240" s="71" t="str">
        <f t="shared" si="20"/>
        <v>NC</v>
      </c>
      <c r="AG240" s="21" t="str">
        <f t="shared" si="19"/>
        <v>NÃO UTILIZOU O PDA</v>
      </c>
      <c r="AH240" s="1"/>
      <c r="AI240" s="29" t="str">
        <f t="shared" si="18"/>
        <v>GUARULHOS</v>
      </c>
      <c r="AJ240" s="32" t="s">
        <v>1</v>
      </c>
    </row>
    <row r="241" spans="1:36" ht="30" customHeight="1" x14ac:dyDescent="0.2">
      <c r="A241" s="82" t="s">
        <v>101</v>
      </c>
      <c r="B241" s="82">
        <v>2691442523</v>
      </c>
      <c r="C241" s="82" t="s">
        <v>70</v>
      </c>
      <c r="D241" s="82" t="s">
        <v>20</v>
      </c>
      <c r="E241" s="82" t="s">
        <v>102</v>
      </c>
      <c r="F241" s="82" t="s">
        <v>1394</v>
      </c>
      <c r="G241" s="82">
        <v>239</v>
      </c>
      <c r="H241" s="82" t="s">
        <v>1395</v>
      </c>
      <c r="I241" s="82" t="s">
        <v>1396</v>
      </c>
      <c r="J241" s="82" t="s">
        <v>2588</v>
      </c>
      <c r="K241" s="82"/>
      <c r="L241" s="82" t="s">
        <v>1426</v>
      </c>
      <c r="M241" s="82" t="s">
        <v>2754</v>
      </c>
      <c r="N241" s="82" t="s">
        <v>2596</v>
      </c>
      <c r="O241" s="36" t="s">
        <v>108</v>
      </c>
      <c r="P241" s="18"/>
      <c r="Q241" s="28" t="s">
        <v>108</v>
      </c>
      <c r="R241" s="18"/>
      <c r="S241" s="28" t="s">
        <v>108</v>
      </c>
      <c r="T241" s="18"/>
      <c r="U241" s="28" t="s">
        <v>108</v>
      </c>
      <c r="V241" s="18"/>
      <c r="W241" s="28" t="s">
        <v>108</v>
      </c>
      <c r="X241" s="18"/>
      <c r="Y241" s="28" t="s">
        <v>108</v>
      </c>
      <c r="Z241" s="18"/>
      <c r="AA241" s="28" t="s">
        <v>108</v>
      </c>
      <c r="AB241" s="17"/>
      <c r="AC241" s="28" t="s">
        <v>108</v>
      </c>
      <c r="AD241" s="17"/>
      <c r="AE241" s="28" t="s">
        <v>108</v>
      </c>
      <c r="AF241" s="71" t="str">
        <f t="shared" si="20"/>
        <v>C</v>
      </c>
      <c r="AG241" s="21" t="str">
        <f t="shared" si="19"/>
        <v>UTILIZOU O PDA CORRETAMENTE</v>
      </c>
      <c r="AH241" s="1"/>
      <c r="AI241" s="29" t="str">
        <f t="shared" si="18"/>
        <v>GUARULHOS</v>
      </c>
      <c r="AJ241" s="32" t="s">
        <v>1</v>
      </c>
    </row>
    <row r="242" spans="1:36" ht="30" customHeight="1" x14ac:dyDescent="0.2">
      <c r="A242" s="82" t="s">
        <v>101</v>
      </c>
      <c r="B242" s="82">
        <v>2691515653</v>
      </c>
      <c r="C242" s="82" t="s">
        <v>68</v>
      </c>
      <c r="D242" s="82" t="s">
        <v>20</v>
      </c>
      <c r="E242" s="82" t="s">
        <v>102</v>
      </c>
      <c r="F242" s="82" t="s">
        <v>697</v>
      </c>
      <c r="G242" s="82">
        <v>911</v>
      </c>
      <c r="H242" s="82" t="s">
        <v>1388</v>
      </c>
      <c r="I242" s="82" t="s">
        <v>430</v>
      </c>
      <c r="J242" s="82" t="s">
        <v>2588</v>
      </c>
      <c r="K242" s="82" t="s">
        <v>117</v>
      </c>
      <c r="L242" s="82" t="s">
        <v>1426</v>
      </c>
      <c r="M242" s="82" t="s">
        <v>2755</v>
      </c>
      <c r="N242" s="82" t="s">
        <v>2596</v>
      </c>
      <c r="O242" s="36" t="s">
        <v>108</v>
      </c>
      <c r="P242" s="18"/>
      <c r="Q242" s="28" t="s">
        <v>108</v>
      </c>
      <c r="R242" s="18"/>
      <c r="S242" s="28" t="s">
        <v>108</v>
      </c>
      <c r="T242" s="18"/>
      <c r="U242" s="28" t="s">
        <v>108</v>
      </c>
      <c r="V242" s="18"/>
      <c r="W242" s="28" t="s">
        <v>108</v>
      </c>
      <c r="X242" s="18"/>
      <c r="Y242" s="28" t="s">
        <v>108</v>
      </c>
      <c r="Z242" s="18"/>
      <c r="AA242" s="28" t="s">
        <v>108</v>
      </c>
      <c r="AB242" s="17"/>
      <c r="AC242" s="28" t="s">
        <v>108</v>
      </c>
      <c r="AD242" s="17"/>
      <c r="AE242" s="28" t="s">
        <v>108</v>
      </c>
      <c r="AF242" s="71" t="str">
        <f t="shared" si="20"/>
        <v>C</v>
      </c>
      <c r="AG242" s="21" t="str">
        <f t="shared" si="19"/>
        <v>UTILIZOU O PDA CORRETAMENTE</v>
      </c>
      <c r="AH242" s="1"/>
      <c r="AI242" s="29" t="str">
        <f t="shared" si="18"/>
        <v>GUARULHOS</v>
      </c>
      <c r="AJ242" s="32" t="s">
        <v>1</v>
      </c>
    </row>
    <row r="243" spans="1:36" ht="30" customHeight="1" x14ac:dyDescent="0.2">
      <c r="A243" s="82" t="s">
        <v>101</v>
      </c>
      <c r="B243" s="82">
        <v>2617118673</v>
      </c>
      <c r="C243" s="82" t="s">
        <v>69</v>
      </c>
      <c r="D243" s="82" t="s">
        <v>20</v>
      </c>
      <c r="E243" s="82" t="s">
        <v>102</v>
      </c>
      <c r="F243" s="82" t="s">
        <v>1384</v>
      </c>
      <c r="G243" s="82">
        <v>53</v>
      </c>
      <c r="H243" s="82" t="s">
        <v>1385</v>
      </c>
      <c r="I243" s="82" t="s">
        <v>301</v>
      </c>
      <c r="J243" s="82" t="s">
        <v>2586</v>
      </c>
      <c r="K243" s="82"/>
      <c r="L243" s="82" t="s">
        <v>1426</v>
      </c>
      <c r="M243" s="82" t="s">
        <v>2756</v>
      </c>
      <c r="N243" s="82" t="s">
        <v>2596</v>
      </c>
      <c r="O243" s="36" t="s">
        <v>108</v>
      </c>
      <c r="P243" s="18"/>
      <c r="Q243" s="28" t="s">
        <v>214</v>
      </c>
      <c r="R243" s="18"/>
      <c r="S243" s="28" t="s">
        <v>214</v>
      </c>
      <c r="T243" s="18"/>
      <c r="U243" s="28" t="s">
        <v>214</v>
      </c>
      <c r="V243" s="18"/>
      <c r="W243" s="28" t="s">
        <v>214</v>
      </c>
      <c r="X243" s="18"/>
      <c r="Y243" s="28" t="s">
        <v>214</v>
      </c>
      <c r="Z243" s="18"/>
      <c r="AA243" s="28" t="s">
        <v>214</v>
      </c>
      <c r="AB243" s="17"/>
      <c r="AC243" s="28" t="s">
        <v>114</v>
      </c>
      <c r="AD243" s="17" t="s">
        <v>2757</v>
      </c>
      <c r="AE243" s="28" t="s">
        <v>108</v>
      </c>
      <c r="AF243" s="71" t="str">
        <f t="shared" si="20"/>
        <v>NC</v>
      </c>
      <c r="AG243" s="21" t="str">
        <f t="shared" si="19"/>
        <v>UTILIZOU O PDA CORRETAMENTE. NÃO HÁ FOTOS DE TODAS AS ETAPAS</v>
      </c>
      <c r="AH243" s="1"/>
      <c r="AI243" s="29" t="str">
        <f t="shared" si="18"/>
        <v>GUARULHOS</v>
      </c>
      <c r="AJ243" s="32" t="s">
        <v>1</v>
      </c>
    </row>
    <row r="244" spans="1:36" ht="30" customHeight="1" x14ac:dyDescent="0.2">
      <c r="A244" s="82" t="s">
        <v>101</v>
      </c>
      <c r="B244" s="82">
        <v>2617308286</v>
      </c>
      <c r="C244" s="82" t="s">
        <v>69</v>
      </c>
      <c r="D244" s="82" t="s">
        <v>20</v>
      </c>
      <c r="E244" s="82" t="s">
        <v>102</v>
      </c>
      <c r="F244" s="82" t="s">
        <v>1392</v>
      </c>
      <c r="G244" s="82">
        <v>13</v>
      </c>
      <c r="H244" s="82" t="s">
        <v>117</v>
      </c>
      <c r="I244" s="82" t="s">
        <v>237</v>
      </c>
      <c r="J244" s="82" t="s">
        <v>2586</v>
      </c>
      <c r="K244" s="82" t="s">
        <v>2623</v>
      </c>
      <c r="L244" s="82" t="s">
        <v>1426</v>
      </c>
      <c r="M244" s="82" t="s">
        <v>2758</v>
      </c>
      <c r="N244" s="82" t="s">
        <v>2596</v>
      </c>
      <c r="O244" s="36" t="s">
        <v>108</v>
      </c>
      <c r="P244" s="18"/>
      <c r="Q244" s="28" t="s">
        <v>214</v>
      </c>
      <c r="R244" s="18"/>
      <c r="S244" s="28" t="s">
        <v>214</v>
      </c>
      <c r="T244" s="18"/>
      <c r="U244" s="28" t="s">
        <v>214</v>
      </c>
      <c r="V244" s="18"/>
      <c r="W244" s="28" t="s">
        <v>214</v>
      </c>
      <c r="X244" s="18"/>
      <c r="Y244" s="28" t="s">
        <v>214</v>
      </c>
      <c r="Z244" s="18"/>
      <c r="AA244" s="28" t="s">
        <v>214</v>
      </c>
      <c r="AB244" s="17"/>
      <c r="AC244" s="28" t="s">
        <v>114</v>
      </c>
      <c r="AD244" s="17" t="s">
        <v>2757</v>
      </c>
      <c r="AE244" s="28" t="s">
        <v>108</v>
      </c>
      <c r="AF244" s="71" t="str">
        <f t="shared" si="20"/>
        <v>NC</v>
      </c>
      <c r="AG244" s="21" t="str">
        <f t="shared" si="19"/>
        <v>UTILIZOU O PDA CORRETAMENTE. NÃO HÁ FOTOS DE TODAS AS ETAPAS</v>
      </c>
      <c r="AH244" s="1"/>
      <c r="AI244" s="29" t="str">
        <f t="shared" si="18"/>
        <v>GUARULHOS</v>
      </c>
      <c r="AJ244" s="32" t="s">
        <v>1</v>
      </c>
    </row>
    <row r="245" spans="1:36" ht="30" customHeight="1" x14ac:dyDescent="0.2">
      <c r="A245" s="82" t="s">
        <v>101</v>
      </c>
      <c r="B245" s="82">
        <v>2617307754</v>
      </c>
      <c r="C245" s="82" t="s">
        <v>68</v>
      </c>
      <c r="D245" s="82" t="s">
        <v>20</v>
      </c>
      <c r="E245" s="82" t="s">
        <v>102</v>
      </c>
      <c r="F245" s="82" t="s">
        <v>737</v>
      </c>
      <c r="G245" s="82">
        <v>378</v>
      </c>
      <c r="H245" s="82" t="s">
        <v>174</v>
      </c>
      <c r="I245" s="82" t="s">
        <v>738</v>
      </c>
      <c r="J245" s="82" t="s">
        <v>2588</v>
      </c>
      <c r="K245" s="82"/>
      <c r="L245" s="82" t="s">
        <v>1426</v>
      </c>
      <c r="M245" s="82" t="s">
        <v>2759</v>
      </c>
      <c r="N245" s="82" t="s">
        <v>2596</v>
      </c>
      <c r="O245" s="36" t="s">
        <v>108</v>
      </c>
      <c r="P245" s="18"/>
      <c r="Q245" s="28" t="s">
        <v>108</v>
      </c>
      <c r="R245" s="18"/>
      <c r="S245" s="28" t="s">
        <v>108</v>
      </c>
      <c r="T245" s="18"/>
      <c r="U245" s="28" t="s">
        <v>108</v>
      </c>
      <c r="V245" s="18"/>
      <c r="W245" s="28" t="s">
        <v>108</v>
      </c>
      <c r="X245" s="18"/>
      <c r="Y245" s="28" t="s">
        <v>108</v>
      </c>
      <c r="Z245" s="18"/>
      <c r="AA245" s="28" t="s">
        <v>108</v>
      </c>
      <c r="AB245" s="17"/>
      <c r="AC245" s="28" t="s">
        <v>108</v>
      </c>
      <c r="AD245" s="17"/>
      <c r="AE245" s="28" t="s">
        <v>108</v>
      </c>
      <c r="AF245" s="71" t="str">
        <f t="shared" si="20"/>
        <v>C</v>
      </c>
      <c r="AG245" s="21" t="str">
        <f t="shared" si="19"/>
        <v>UTILIZOU O PDA CORRETAMENTE</v>
      </c>
      <c r="AH245" s="1"/>
      <c r="AI245" s="29" t="str">
        <f t="shared" si="18"/>
        <v>GUARULHOS</v>
      </c>
      <c r="AJ245" s="32" t="s">
        <v>1</v>
      </c>
    </row>
    <row r="246" spans="1:36" ht="30" customHeight="1" x14ac:dyDescent="0.2">
      <c r="A246" s="82" t="s">
        <v>101</v>
      </c>
      <c r="B246" s="82">
        <v>2691390660</v>
      </c>
      <c r="C246" s="82" t="s">
        <v>68</v>
      </c>
      <c r="D246" s="82" t="s">
        <v>20</v>
      </c>
      <c r="E246" s="82" t="s">
        <v>102</v>
      </c>
      <c r="F246" s="82" t="s">
        <v>1264</v>
      </c>
      <c r="G246" s="82">
        <v>65</v>
      </c>
      <c r="H246" s="82" t="s">
        <v>1265</v>
      </c>
      <c r="I246" s="82" t="s">
        <v>1266</v>
      </c>
      <c r="J246" s="82" t="s">
        <v>2588</v>
      </c>
      <c r="K246" s="82" t="s">
        <v>117</v>
      </c>
      <c r="L246" s="82" t="s">
        <v>1426</v>
      </c>
      <c r="M246" s="82" t="s">
        <v>2760</v>
      </c>
      <c r="N246" s="82" t="s">
        <v>2596</v>
      </c>
      <c r="O246" s="36" t="s">
        <v>108</v>
      </c>
      <c r="P246" s="18"/>
      <c r="Q246" s="28" t="s">
        <v>108</v>
      </c>
      <c r="R246" s="18"/>
      <c r="S246" s="28" t="s">
        <v>108</v>
      </c>
      <c r="T246" s="18"/>
      <c r="U246" s="28" t="s">
        <v>108</v>
      </c>
      <c r="V246" s="18"/>
      <c r="W246" s="28" t="s">
        <v>108</v>
      </c>
      <c r="X246" s="18"/>
      <c r="Y246" s="28" t="s">
        <v>108</v>
      </c>
      <c r="Z246" s="18"/>
      <c r="AA246" s="28" t="s">
        <v>108</v>
      </c>
      <c r="AB246" s="17"/>
      <c r="AC246" s="28" t="s">
        <v>108</v>
      </c>
      <c r="AD246" s="17"/>
      <c r="AE246" s="28" t="s">
        <v>108</v>
      </c>
      <c r="AF246" s="71" t="str">
        <f t="shared" si="20"/>
        <v>C</v>
      </c>
      <c r="AG246" s="21" t="str">
        <f t="shared" si="19"/>
        <v>UTILIZOU O PDA CORRETAMENTE</v>
      </c>
      <c r="AH246" s="1"/>
      <c r="AI246" s="29" t="str">
        <f t="shared" si="18"/>
        <v>GUARULHOS</v>
      </c>
      <c r="AJ246" s="32" t="s">
        <v>1</v>
      </c>
    </row>
    <row r="247" spans="1:36" ht="30" customHeight="1" x14ac:dyDescent="0.2">
      <c r="A247" s="82" t="s">
        <v>101</v>
      </c>
      <c r="B247" s="82">
        <v>2691385610</v>
      </c>
      <c r="C247" s="82" t="s">
        <v>68</v>
      </c>
      <c r="D247" s="82" t="s">
        <v>20</v>
      </c>
      <c r="E247" s="82" t="s">
        <v>102</v>
      </c>
      <c r="F247" s="82" t="s">
        <v>525</v>
      </c>
      <c r="G247" s="82">
        <v>171</v>
      </c>
      <c r="H247" s="82" t="s">
        <v>1356</v>
      </c>
      <c r="I247" s="82" t="s">
        <v>204</v>
      </c>
      <c r="J247" s="82" t="s">
        <v>2588</v>
      </c>
      <c r="K247" s="82"/>
      <c r="L247" s="82" t="s">
        <v>1426</v>
      </c>
      <c r="M247" s="82" t="s">
        <v>2761</v>
      </c>
      <c r="N247" s="82" t="s">
        <v>2596</v>
      </c>
      <c r="O247" s="36" t="s">
        <v>108</v>
      </c>
      <c r="P247" s="18"/>
      <c r="Q247" s="28" t="s">
        <v>108</v>
      </c>
      <c r="R247" s="18"/>
      <c r="S247" s="28" t="s">
        <v>108</v>
      </c>
      <c r="T247" s="18"/>
      <c r="U247" s="28" t="s">
        <v>108</v>
      </c>
      <c r="V247" s="18"/>
      <c r="W247" s="28" t="s">
        <v>108</v>
      </c>
      <c r="X247" s="18"/>
      <c r="Y247" s="28" t="s">
        <v>108</v>
      </c>
      <c r="Z247" s="18"/>
      <c r="AA247" s="28" t="s">
        <v>108</v>
      </c>
      <c r="AB247" s="17"/>
      <c r="AC247" s="28" t="s">
        <v>108</v>
      </c>
      <c r="AD247" s="17"/>
      <c r="AE247" s="28" t="s">
        <v>108</v>
      </c>
      <c r="AF247" s="71" t="str">
        <f t="shared" si="20"/>
        <v>C</v>
      </c>
      <c r="AG247" s="21" t="str">
        <f t="shared" si="19"/>
        <v>UTILIZOU O PDA CORRETAMENTE</v>
      </c>
      <c r="AH247" s="1"/>
      <c r="AI247" s="29" t="str">
        <f t="shared" si="18"/>
        <v>GUARULHOS</v>
      </c>
      <c r="AJ247" s="32" t="s">
        <v>1</v>
      </c>
    </row>
    <row r="248" spans="1:36" ht="30" customHeight="1" x14ac:dyDescent="0.2">
      <c r="A248" s="82" t="s">
        <v>101</v>
      </c>
      <c r="B248" s="82">
        <v>2691454497</v>
      </c>
      <c r="C248" s="82" t="s">
        <v>68</v>
      </c>
      <c r="D248" s="82" t="s">
        <v>20</v>
      </c>
      <c r="E248" s="82" t="s">
        <v>102</v>
      </c>
      <c r="F248" s="82" t="s">
        <v>1273</v>
      </c>
      <c r="G248" s="82">
        <v>189</v>
      </c>
      <c r="H248" s="82" t="s">
        <v>1397</v>
      </c>
      <c r="I248" s="82" t="s">
        <v>1167</v>
      </c>
      <c r="J248" s="82" t="s">
        <v>2588</v>
      </c>
      <c r="K248" s="82" t="s">
        <v>117</v>
      </c>
      <c r="L248" s="82" t="s">
        <v>1426</v>
      </c>
      <c r="M248" s="82" t="s">
        <v>2762</v>
      </c>
      <c r="N248" s="82" t="s">
        <v>2596</v>
      </c>
      <c r="O248" s="36" t="s">
        <v>108</v>
      </c>
      <c r="P248" s="18"/>
      <c r="Q248" s="28" t="s">
        <v>108</v>
      </c>
      <c r="R248" s="18"/>
      <c r="S248" s="28" t="s">
        <v>108</v>
      </c>
      <c r="T248" s="18"/>
      <c r="U248" s="28" t="s">
        <v>108</v>
      </c>
      <c r="V248" s="18"/>
      <c r="W248" s="28" t="s">
        <v>108</v>
      </c>
      <c r="X248" s="18"/>
      <c r="Y248" s="28" t="s">
        <v>108</v>
      </c>
      <c r="Z248" s="18"/>
      <c r="AA248" s="28" t="s">
        <v>108</v>
      </c>
      <c r="AB248" s="17"/>
      <c r="AC248" s="28" t="s">
        <v>108</v>
      </c>
      <c r="AD248" s="17"/>
      <c r="AE248" s="28" t="s">
        <v>108</v>
      </c>
      <c r="AF248" s="71" t="str">
        <f t="shared" si="20"/>
        <v>C</v>
      </c>
      <c r="AG248" s="21" t="str">
        <f t="shared" si="19"/>
        <v>UTILIZOU O PDA CORRETAMENTE</v>
      </c>
      <c r="AH248" s="1"/>
      <c r="AI248" s="29" t="str">
        <f t="shared" si="18"/>
        <v>GUARULHOS</v>
      </c>
      <c r="AJ248" s="32" t="s">
        <v>1</v>
      </c>
    </row>
    <row r="249" spans="1:36" ht="30" customHeight="1" x14ac:dyDescent="0.2">
      <c r="A249" s="82" t="s">
        <v>101</v>
      </c>
      <c r="B249" s="82">
        <v>2617315805</v>
      </c>
      <c r="C249" s="82" t="s">
        <v>69</v>
      </c>
      <c r="D249" s="82" t="s">
        <v>20</v>
      </c>
      <c r="E249" s="82" t="s">
        <v>102</v>
      </c>
      <c r="F249" s="82" t="s">
        <v>1187</v>
      </c>
      <c r="G249" s="82">
        <v>59</v>
      </c>
      <c r="H249" s="82" t="s">
        <v>174</v>
      </c>
      <c r="I249" s="82" t="s">
        <v>191</v>
      </c>
      <c r="J249" s="82" t="s">
        <v>2586</v>
      </c>
      <c r="K249" s="82" t="s">
        <v>117</v>
      </c>
      <c r="L249" s="82" t="s">
        <v>1426</v>
      </c>
      <c r="M249" s="82" t="s">
        <v>2763</v>
      </c>
      <c r="N249" s="82" t="s">
        <v>2603</v>
      </c>
      <c r="O249" s="36" t="s">
        <v>114</v>
      </c>
      <c r="P249" s="18"/>
      <c r="Q249" s="36" t="s">
        <v>114</v>
      </c>
      <c r="R249" s="18"/>
      <c r="S249" s="36" t="s">
        <v>114</v>
      </c>
      <c r="T249" s="18"/>
      <c r="U249" s="36" t="s">
        <v>114</v>
      </c>
      <c r="V249" s="18"/>
      <c r="W249" s="36" t="s">
        <v>114</v>
      </c>
      <c r="X249" s="18"/>
      <c r="Y249" s="36" t="s">
        <v>114</v>
      </c>
      <c r="Z249" s="18"/>
      <c r="AA249" s="36" t="s">
        <v>114</v>
      </c>
      <c r="AB249" s="17"/>
      <c r="AC249" s="36" t="s">
        <v>114</v>
      </c>
      <c r="AD249" s="17"/>
      <c r="AE249" s="36" t="s">
        <v>114</v>
      </c>
      <c r="AF249" s="71" t="str">
        <f t="shared" si="20"/>
        <v>NC</v>
      </c>
      <c r="AG249" s="21" t="str">
        <f t="shared" si="19"/>
        <v>NÃO UTILIZOU O PDA</v>
      </c>
      <c r="AH249" s="1"/>
      <c r="AI249" s="29" t="str">
        <f t="shared" si="18"/>
        <v>GUARULHOS</v>
      </c>
      <c r="AJ249" s="32" t="s">
        <v>1</v>
      </c>
    </row>
    <row r="250" spans="1:36" ht="30" customHeight="1" x14ac:dyDescent="0.2">
      <c r="A250" s="82" t="s">
        <v>101</v>
      </c>
      <c r="B250" s="82">
        <v>2613831015</v>
      </c>
      <c r="C250" s="82" t="s">
        <v>69</v>
      </c>
      <c r="D250" s="82" t="s">
        <v>20</v>
      </c>
      <c r="E250" s="82" t="s">
        <v>102</v>
      </c>
      <c r="F250" s="82" t="s">
        <v>1187</v>
      </c>
      <c r="G250" s="82">
        <v>85</v>
      </c>
      <c r="H250" s="82"/>
      <c r="I250" s="82" t="s">
        <v>191</v>
      </c>
      <c r="J250" s="82" t="s">
        <v>2586</v>
      </c>
      <c r="K250" s="82"/>
      <c r="L250" s="82" t="s">
        <v>1426</v>
      </c>
      <c r="M250" s="82" t="s">
        <v>2764</v>
      </c>
      <c r="N250" s="82" t="s">
        <v>2603</v>
      </c>
      <c r="O250" s="36" t="s">
        <v>114</v>
      </c>
      <c r="P250" s="18"/>
      <c r="Q250" s="36" t="s">
        <v>114</v>
      </c>
      <c r="R250" s="18"/>
      <c r="S250" s="36" t="s">
        <v>114</v>
      </c>
      <c r="T250" s="18"/>
      <c r="U250" s="36" t="s">
        <v>114</v>
      </c>
      <c r="V250" s="18"/>
      <c r="W250" s="36" t="s">
        <v>114</v>
      </c>
      <c r="X250" s="18"/>
      <c r="Y250" s="36" t="s">
        <v>114</v>
      </c>
      <c r="Z250" s="18"/>
      <c r="AA250" s="36" t="s">
        <v>114</v>
      </c>
      <c r="AB250" s="17"/>
      <c r="AC250" s="28" t="s">
        <v>114</v>
      </c>
      <c r="AD250" s="17"/>
      <c r="AE250" s="28" t="s">
        <v>114</v>
      </c>
      <c r="AF250" s="71" t="str">
        <f t="shared" si="20"/>
        <v>NC</v>
      </c>
      <c r="AG250" s="21" t="str">
        <f t="shared" si="19"/>
        <v>NÃO UTILIZOU O PDA</v>
      </c>
      <c r="AH250" s="1"/>
      <c r="AI250" s="29" t="str">
        <f t="shared" si="18"/>
        <v>GUARULHOS</v>
      </c>
      <c r="AJ250" s="32" t="s">
        <v>1</v>
      </c>
    </row>
    <row r="251" spans="1:36" ht="30" customHeight="1" x14ac:dyDescent="0.2">
      <c r="A251" s="82" t="s">
        <v>101</v>
      </c>
      <c r="B251" s="82">
        <v>2617181655</v>
      </c>
      <c r="C251" s="82" t="s">
        <v>68</v>
      </c>
      <c r="D251" s="82" t="s">
        <v>20</v>
      </c>
      <c r="E251" s="82" t="s">
        <v>102</v>
      </c>
      <c r="F251" s="82" t="s">
        <v>1254</v>
      </c>
      <c r="G251" s="82">
        <v>17</v>
      </c>
      <c r="H251" s="82" t="s">
        <v>1255</v>
      </c>
      <c r="I251" s="82" t="s">
        <v>1256</v>
      </c>
      <c r="J251" s="82" t="s">
        <v>2588</v>
      </c>
      <c r="K251" s="82" t="s">
        <v>117</v>
      </c>
      <c r="L251" s="82" t="s">
        <v>1426</v>
      </c>
      <c r="M251" s="82" t="s">
        <v>2765</v>
      </c>
      <c r="N251" s="82" t="s">
        <v>2603</v>
      </c>
      <c r="O251" s="36" t="s">
        <v>114</v>
      </c>
      <c r="P251" s="18"/>
      <c r="Q251" s="28" t="s">
        <v>114</v>
      </c>
      <c r="R251" s="18"/>
      <c r="S251" s="28" t="s">
        <v>114</v>
      </c>
      <c r="T251" s="18"/>
      <c r="U251" s="28" t="s">
        <v>114</v>
      </c>
      <c r="V251" s="18"/>
      <c r="W251" s="28" t="s">
        <v>114</v>
      </c>
      <c r="X251" s="18"/>
      <c r="Y251" s="28" t="s">
        <v>114</v>
      </c>
      <c r="Z251" s="18"/>
      <c r="AA251" s="28" t="s">
        <v>114</v>
      </c>
      <c r="AB251" s="17"/>
      <c r="AC251" s="28" t="s">
        <v>114</v>
      </c>
      <c r="AD251" s="17"/>
      <c r="AE251" s="28" t="s">
        <v>114</v>
      </c>
      <c r="AF251" s="71" t="str">
        <f t="shared" si="20"/>
        <v>NC</v>
      </c>
      <c r="AG251" s="21" t="str">
        <f t="shared" si="19"/>
        <v>NÃO UTILIZOU O PDA</v>
      </c>
      <c r="AH251" s="1"/>
      <c r="AI251" s="29" t="str">
        <f t="shared" si="18"/>
        <v>GUARULHOS</v>
      </c>
      <c r="AJ251" s="32" t="s">
        <v>1</v>
      </c>
    </row>
    <row r="252" spans="1:36" ht="30" customHeight="1" x14ac:dyDescent="0.2">
      <c r="A252" s="82" t="s">
        <v>101</v>
      </c>
      <c r="B252" s="82">
        <v>2617321146</v>
      </c>
      <c r="C252" s="82" t="s">
        <v>68</v>
      </c>
      <c r="D252" s="82" t="s">
        <v>20</v>
      </c>
      <c r="E252" s="82" t="s">
        <v>102</v>
      </c>
      <c r="F252" s="82" t="s">
        <v>1278</v>
      </c>
      <c r="G252" s="82">
        <v>115</v>
      </c>
      <c r="H252" s="82"/>
      <c r="I252" s="82" t="s">
        <v>175</v>
      </c>
      <c r="J252" s="82" t="s">
        <v>2588</v>
      </c>
      <c r="K252" s="82"/>
      <c r="L252" s="82" t="s">
        <v>1426</v>
      </c>
      <c r="M252" s="82" t="s">
        <v>2766</v>
      </c>
      <c r="N252" s="82" t="s">
        <v>2603</v>
      </c>
      <c r="O252" s="36" t="s">
        <v>114</v>
      </c>
      <c r="P252" s="18"/>
      <c r="Q252" s="36" t="s">
        <v>114</v>
      </c>
      <c r="R252" s="18"/>
      <c r="S252" s="36" t="s">
        <v>114</v>
      </c>
      <c r="T252" s="18"/>
      <c r="U252" s="36" t="s">
        <v>114</v>
      </c>
      <c r="V252" s="18"/>
      <c r="W252" s="36" t="s">
        <v>114</v>
      </c>
      <c r="X252" s="18"/>
      <c r="Y252" s="36" t="s">
        <v>114</v>
      </c>
      <c r="Z252" s="18"/>
      <c r="AA252" s="36" t="s">
        <v>114</v>
      </c>
      <c r="AB252" s="17"/>
      <c r="AC252" s="36" t="s">
        <v>114</v>
      </c>
      <c r="AD252" s="17"/>
      <c r="AE252" s="36" t="s">
        <v>114</v>
      </c>
      <c r="AF252" s="71" t="str">
        <f t="shared" si="20"/>
        <v>NC</v>
      </c>
      <c r="AG252" s="21" t="str">
        <f t="shared" si="19"/>
        <v>NÃO UTILIZOU O PDA</v>
      </c>
      <c r="AH252" s="1"/>
      <c r="AI252" s="29" t="str">
        <f t="shared" si="18"/>
        <v>GUARULHOS</v>
      </c>
      <c r="AJ252" s="32" t="s">
        <v>1</v>
      </c>
    </row>
    <row r="253" spans="1:36" ht="30" customHeight="1" x14ac:dyDescent="0.2">
      <c r="A253" s="82" t="s">
        <v>101</v>
      </c>
      <c r="B253" s="82">
        <v>2616901844</v>
      </c>
      <c r="C253" s="82" t="s">
        <v>69</v>
      </c>
      <c r="D253" s="82" t="s">
        <v>20</v>
      </c>
      <c r="E253" s="82" t="s">
        <v>102</v>
      </c>
      <c r="F253" s="82" t="s">
        <v>1860</v>
      </c>
      <c r="G253" s="82">
        <v>142</v>
      </c>
      <c r="H253" s="82" t="s">
        <v>117</v>
      </c>
      <c r="I253" s="82" t="s">
        <v>498</v>
      </c>
      <c r="J253" s="82" t="s">
        <v>2586</v>
      </c>
      <c r="K253" s="82" t="s">
        <v>117</v>
      </c>
      <c r="L253" s="82" t="s">
        <v>1426</v>
      </c>
      <c r="M253" s="82" t="s">
        <v>2767</v>
      </c>
      <c r="N253" s="82" t="s">
        <v>2603</v>
      </c>
      <c r="O253" s="36" t="s">
        <v>114</v>
      </c>
      <c r="P253" s="18"/>
      <c r="Q253" s="28" t="s">
        <v>114</v>
      </c>
      <c r="R253" s="18"/>
      <c r="S253" s="28" t="s">
        <v>114</v>
      </c>
      <c r="T253" s="18"/>
      <c r="U253" s="28" t="s">
        <v>114</v>
      </c>
      <c r="V253" s="18"/>
      <c r="W253" s="28" t="s">
        <v>114</v>
      </c>
      <c r="X253" s="18"/>
      <c r="Y253" s="28" t="s">
        <v>114</v>
      </c>
      <c r="Z253" s="18"/>
      <c r="AA253" s="28" t="s">
        <v>114</v>
      </c>
      <c r="AB253" s="17"/>
      <c r="AC253" s="28" t="s">
        <v>114</v>
      </c>
      <c r="AD253" s="17"/>
      <c r="AE253" s="28" t="s">
        <v>114</v>
      </c>
      <c r="AF253" s="71" t="str">
        <f t="shared" si="20"/>
        <v>NC</v>
      </c>
      <c r="AG253" s="21" t="str">
        <f t="shared" si="19"/>
        <v>NÃO UTILIZOU O PDA</v>
      </c>
      <c r="AH253" s="1"/>
      <c r="AI253" s="29" t="str">
        <f t="shared" si="18"/>
        <v>GUARULHOS</v>
      </c>
      <c r="AJ253" s="32" t="s">
        <v>1</v>
      </c>
    </row>
    <row r="254" spans="1:36" ht="30" customHeight="1" x14ac:dyDescent="0.2">
      <c r="A254" s="82" t="s">
        <v>101</v>
      </c>
      <c r="B254" s="82">
        <v>2691481239</v>
      </c>
      <c r="C254" s="82" t="s">
        <v>68</v>
      </c>
      <c r="D254" s="82" t="s">
        <v>20</v>
      </c>
      <c r="E254" s="82" t="s">
        <v>102</v>
      </c>
      <c r="F254" s="82" t="s">
        <v>1340</v>
      </c>
      <c r="G254" s="82">
        <v>267</v>
      </c>
      <c r="H254" s="82"/>
      <c r="I254" s="82" t="s">
        <v>307</v>
      </c>
      <c r="J254" s="82" t="s">
        <v>2588</v>
      </c>
      <c r="K254" s="82"/>
      <c r="L254" s="82" t="s">
        <v>1426</v>
      </c>
      <c r="M254" s="82" t="s">
        <v>1489</v>
      </c>
      <c r="N254" s="82" t="s">
        <v>2603</v>
      </c>
      <c r="O254" s="36" t="s">
        <v>114</v>
      </c>
      <c r="P254" s="18"/>
      <c r="Q254" s="36" t="s">
        <v>114</v>
      </c>
      <c r="R254" s="18"/>
      <c r="S254" s="36" t="s">
        <v>114</v>
      </c>
      <c r="T254" s="18"/>
      <c r="U254" s="36" t="s">
        <v>114</v>
      </c>
      <c r="V254" s="18"/>
      <c r="W254" s="36" t="s">
        <v>114</v>
      </c>
      <c r="X254" s="18"/>
      <c r="Y254" s="36" t="s">
        <v>114</v>
      </c>
      <c r="Z254" s="18"/>
      <c r="AA254" s="36" t="s">
        <v>114</v>
      </c>
      <c r="AB254" s="17"/>
      <c r="AC254" s="36" t="s">
        <v>114</v>
      </c>
      <c r="AD254" s="17"/>
      <c r="AE254" s="36" t="s">
        <v>114</v>
      </c>
      <c r="AF254" s="71" t="str">
        <f t="shared" si="20"/>
        <v>NC</v>
      </c>
      <c r="AG254" s="21" t="str">
        <f t="shared" si="19"/>
        <v>NÃO UTILIZOU O PDA</v>
      </c>
      <c r="AH254" s="1"/>
      <c r="AI254" s="29" t="str">
        <f t="shared" si="18"/>
        <v>GUARULHOS</v>
      </c>
      <c r="AJ254" s="32" t="s">
        <v>1</v>
      </c>
    </row>
    <row r="255" spans="1:36" ht="30" customHeight="1" x14ac:dyDescent="0.2">
      <c r="A255" s="82" t="s">
        <v>101</v>
      </c>
      <c r="B255" s="82">
        <v>2617139878</v>
      </c>
      <c r="C255" s="82" t="s">
        <v>69</v>
      </c>
      <c r="D255" s="82" t="s">
        <v>20</v>
      </c>
      <c r="E255" s="82" t="s">
        <v>102</v>
      </c>
      <c r="F255" s="82" t="s">
        <v>614</v>
      </c>
      <c r="G255" s="82">
        <v>95</v>
      </c>
      <c r="H255" s="82" t="s">
        <v>117</v>
      </c>
      <c r="I255" s="82" t="s">
        <v>191</v>
      </c>
      <c r="J255" s="82" t="s">
        <v>2586</v>
      </c>
      <c r="K255" s="82" t="s">
        <v>117</v>
      </c>
      <c r="L255" s="82" t="s">
        <v>1426</v>
      </c>
      <c r="M255" s="82" t="s">
        <v>2768</v>
      </c>
      <c r="N255" s="82" t="s">
        <v>2603</v>
      </c>
      <c r="O255" s="36" t="s">
        <v>114</v>
      </c>
      <c r="P255" s="18"/>
      <c r="Q255" s="36" t="s">
        <v>114</v>
      </c>
      <c r="R255" s="18"/>
      <c r="S255" s="36" t="s">
        <v>114</v>
      </c>
      <c r="T255" s="18"/>
      <c r="U255" s="36" t="s">
        <v>114</v>
      </c>
      <c r="V255" s="18"/>
      <c r="W255" s="36" t="s">
        <v>114</v>
      </c>
      <c r="X255" s="18"/>
      <c r="Y255" s="36" t="s">
        <v>114</v>
      </c>
      <c r="Z255" s="18"/>
      <c r="AA255" s="36" t="s">
        <v>114</v>
      </c>
      <c r="AB255" s="17"/>
      <c r="AC255" s="36" t="s">
        <v>114</v>
      </c>
      <c r="AD255" s="17"/>
      <c r="AE255" s="36" t="s">
        <v>114</v>
      </c>
      <c r="AF255" s="71" t="str">
        <f t="shared" si="20"/>
        <v>NC</v>
      </c>
      <c r="AG255" s="21" t="str">
        <f t="shared" si="19"/>
        <v>NÃO UTILIZOU O PDA</v>
      </c>
      <c r="AH255" s="1"/>
      <c r="AI255" s="29" t="str">
        <f t="shared" si="18"/>
        <v>GUARULHOS</v>
      </c>
      <c r="AJ255" s="32" t="s">
        <v>1</v>
      </c>
    </row>
    <row r="256" spans="1:36" ht="30" customHeight="1" x14ac:dyDescent="0.2">
      <c r="A256" s="82" t="s">
        <v>101</v>
      </c>
      <c r="B256" s="82">
        <v>2616243665</v>
      </c>
      <c r="C256" s="82" t="s">
        <v>69</v>
      </c>
      <c r="D256" s="82" t="s">
        <v>20</v>
      </c>
      <c r="E256" s="82" t="s">
        <v>102</v>
      </c>
      <c r="F256" s="82" t="s">
        <v>1187</v>
      </c>
      <c r="G256" s="82">
        <v>49</v>
      </c>
      <c r="H256" s="82" t="s">
        <v>1334</v>
      </c>
      <c r="I256" s="82" t="s">
        <v>191</v>
      </c>
      <c r="J256" s="82" t="s">
        <v>2586</v>
      </c>
      <c r="K256" s="82"/>
      <c r="L256" s="82" t="s">
        <v>1426</v>
      </c>
      <c r="M256" s="82" t="s">
        <v>2769</v>
      </c>
      <c r="N256" s="82" t="s">
        <v>2603</v>
      </c>
      <c r="O256" s="36" t="s">
        <v>114</v>
      </c>
      <c r="P256" s="18"/>
      <c r="Q256" s="28" t="s">
        <v>114</v>
      </c>
      <c r="R256" s="18"/>
      <c r="S256" s="28" t="s">
        <v>114</v>
      </c>
      <c r="T256" s="18"/>
      <c r="U256" s="28" t="s">
        <v>114</v>
      </c>
      <c r="V256" s="18"/>
      <c r="W256" s="28" t="s">
        <v>114</v>
      </c>
      <c r="X256" s="18"/>
      <c r="Y256" s="28" t="s">
        <v>114</v>
      </c>
      <c r="Z256" s="18"/>
      <c r="AA256" s="28" t="s">
        <v>114</v>
      </c>
      <c r="AB256" s="17"/>
      <c r="AC256" s="28" t="s">
        <v>114</v>
      </c>
      <c r="AD256" s="17"/>
      <c r="AE256" s="28" t="s">
        <v>114</v>
      </c>
      <c r="AF256" s="71" t="str">
        <f t="shared" si="20"/>
        <v>NC</v>
      </c>
      <c r="AG256" s="21" t="str">
        <f t="shared" si="19"/>
        <v>NÃO UTILIZOU O PDA</v>
      </c>
      <c r="AH256" s="1"/>
      <c r="AI256" s="29" t="str">
        <f t="shared" si="18"/>
        <v>GUARULHOS</v>
      </c>
      <c r="AJ256" s="32" t="s">
        <v>1</v>
      </c>
    </row>
    <row r="257" spans="1:36" ht="30" customHeight="1" x14ac:dyDescent="0.2">
      <c r="A257" s="82" t="s">
        <v>101</v>
      </c>
      <c r="B257" s="82">
        <v>2617315090</v>
      </c>
      <c r="C257" s="82" t="s">
        <v>69</v>
      </c>
      <c r="D257" s="82" t="s">
        <v>20</v>
      </c>
      <c r="E257" s="82" t="s">
        <v>102</v>
      </c>
      <c r="F257" s="82" t="s">
        <v>1187</v>
      </c>
      <c r="G257" s="82">
        <v>49</v>
      </c>
      <c r="H257" s="82" t="s">
        <v>138</v>
      </c>
      <c r="I257" s="82" t="s">
        <v>191</v>
      </c>
      <c r="J257" s="82" t="s">
        <v>2586</v>
      </c>
      <c r="K257" s="82" t="s">
        <v>117</v>
      </c>
      <c r="L257" s="82" t="s">
        <v>1426</v>
      </c>
      <c r="M257" s="82" t="s">
        <v>2770</v>
      </c>
      <c r="N257" s="82" t="s">
        <v>2603</v>
      </c>
      <c r="O257" s="36" t="s">
        <v>114</v>
      </c>
      <c r="P257" s="18"/>
      <c r="Q257" s="28" t="s">
        <v>114</v>
      </c>
      <c r="R257" s="18" t="s">
        <v>279</v>
      </c>
      <c r="S257" s="28" t="s">
        <v>114</v>
      </c>
      <c r="T257" s="18" t="s">
        <v>279</v>
      </c>
      <c r="U257" s="28" t="s">
        <v>214</v>
      </c>
      <c r="V257" s="18"/>
      <c r="W257" s="28" t="s">
        <v>114</v>
      </c>
      <c r="X257" s="18" t="s">
        <v>279</v>
      </c>
      <c r="Y257" s="28" t="s">
        <v>114</v>
      </c>
      <c r="Z257" s="18" t="s">
        <v>279</v>
      </c>
      <c r="AA257" s="28" t="s">
        <v>114</v>
      </c>
      <c r="AB257" s="17" t="s">
        <v>279</v>
      </c>
      <c r="AC257" s="28" t="s">
        <v>114</v>
      </c>
      <c r="AD257" s="17" t="s">
        <v>279</v>
      </c>
      <c r="AE257" s="28" t="s">
        <v>114</v>
      </c>
      <c r="AF257" s="71" t="str">
        <f t="shared" si="20"/>
        <v>NC</v>
      </c>
      <c r="AG257" s="21" t="str">
        <f t="shared" si="19"/>
        <v>NÃO UTILIZOU O PDA</v>
      </c>
      <c r="AH257" s="1"/>
      <c r="AI257" s="29" t="str">
        <f t="shared" si="18"/>
        <v>GUARULHOS</v>
      </c>
      <c r="AJ257" s="32" t="s">
        <v>1</v>
      </c>
    </row>
    <row r="258" spans="1:36" ht="30" customHeight="1" x14ac:dyDescent="0.2">
      <c r="A258" s="91" t="s">
        <v>101</v>
      </c>
      <c r="B258" s="91">
        <v>2613869942</v>
      </c>
      <c r="C258" s="91" t="s">
        <v>71</v>
      </c>
      <c r="D258" s="91" t="s">
        <v>20</v>
      </c>
      <c r="E258" s="91" t="s">
        <v>102</v>
      </c>
      <c r="F258" s="91" t="s">
        <v>197</v>
      </c>
      <c r="G258" s="91">
        <v>535</v>
      </c>
      <c r="H258" s="91" t="s">
        <v>1328</v>
      </c>
      <c r="I258" s="91" t="s">
        <v>162</v>
      </c>
      <c r="J258" s="91" t="s">
        <v>2586</v>
      </c>
      <c r="K258" s="91" t="s">
        <v>2745</v>
      </c>
      <c r="L258" s="91" t="s">
        <v>1426</v>
      </c>
      <c r="M258" s="91" t="s">
        <v>1896</v>
      </c>
      <c r="N258" s="91" t="s">
        <v>2644</v>
      </c>
      <c r="O258" s="36" t="s">
        <v>14</v>
      </c>
      <c r="P258" s="18"/>
      <c r="Q258" s="28" t="s">
        <v>14</v>
      </c>
      <c r="R258" s="18"/>
      <c r="S258" s="28" t="s">
        <v>14</v>
      </c>
      <c r="T258" s="18"/>
      <c r="U258" s="28" t="s">
        <v>14</v>
      </c>
      <c r="V258" s="18"/>
      <c r="W258" s="28" t="s">
        <v>14</v>
      </c>
      <c r="X258" s="18"/>
      <c r="Y258" s="28" t="s">
        <v>14</v>
      </c>
      <c r="Z258" s="18"/>
      <c r="AA258" s="28" t="s">
        <v>14</v>
      </c>
      <c r="AB258" s="17"/>
      <c r="AC258" s="28" t="s">
        <v>14</v>
      </c>
      <c r="AD258" s="17"/>
      <c r="AE258" s="28" t="s">
        <v>14</v>
      </c>
      <c r="AF258" s="71" t="s">
        <v>14</v>
      </c>
      <c r="AG258" s="21" t="str">
        <f t="shared" si="19"/>
        <v>NÃO AVALIADO POR FALHA DE SINCRONISMO</v>
      </c>
      <c r="AH258" s="1"/>
      <c r="AI258" s="29" t="str">
        <f t="shared" si="18"/>
        <v>GUARULHOS</v>
      </c>
      <c r="AJ258" s="32" t="s">
        <v>1</v>
      </c>
    </row>
  </sheetData>
  <autoFilter ref="A1:AJ258" xr:uid="{00000000-0001-0000-0E00-000000000000}"/>
  <conditionalFormatting sqref="A1 C1:E1">
    <cfRule type="duplicateValues" dxfId="7" priority="61" stopIfTrue="1"/>
    <cfRule type="duplicateValues" dxfId="6" priority="62"/>
  </conditionalFormatting>
  <conditionalFormatting sqref="O2:O85 AE3:AF4 AE5:AE11 AE12:AF23 AE24:AE29 AE27:AF115 AE116:AE118 AE118:AF143 AE144:AE148 AE149:AF149 AE150:AE157 AE158:AF163 AE164 AE165:AF167 AE168 AE169:AF172 AE173:AE174 AE189:AE190 AE191:AF258 AE175:AF188 AF2:AF258 O101:O258 Q2:Q258 S2:S258 U2:U258 W2:W258 Y2:Y258 AA2:AA258 AC2:AC258">
    <cfRule type="expression" dxfId="5" priority="59">
      <formula>O2=""</formula>
    </cfRule>
    <cfRule type="expression" dxfId="4" priority="60" stopIfTrue="1">
      <formula>NOT(OR(O2="C",O2="NC",O2="SF",O2="NA"))</formula>
    </cfRule>
  </conditionalFormatting>
  <conditionalFormatting sqref="AD197">
    <cfRule type="expression" dxfId="3" priority="19">
      <formula>AD197=""</formula>
    </cfRule>
    <cfRule type="expression" dxfId="2" priority="20" stopIfTrue="1">
      <formula>NOT(OR(AD197="C",AD197="NC",AD197="SF",AD197="NA"))</formula>
    </cfRule>
  </conditionalFormatting>
  <conditionalFormatting sqref="AE2">
    <cfRule type="expression" dxfId="1" priority="33">
      <formula>AE2=""</formula>
    </cfRule>
    <cfRule type="expression" dxfId="0" priority="34" stopIfTrue="1">
      <formula>NOT(OR(AE2="C",AE2="NC",AE2="SF",AE2="NA"))</formula>
    </cfRule>
  </conditionalFormatting>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ÁGUA</vt:lpstr>
      <vt:lpstr>ESGOTO</vt:lpstr>
      <vt:lpstr>CAVALETE</vt:lpstr>
      <vt:lpstr>REPOSIÇÃO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Greiciele Prado</dc:creator>
  <cp:keywords/>
  <dc:description/>
  <cp:lastModifiedBy>Vinicius Justino Silva</cp:lastModifiedBy>
  <cp:revision/>
  <dcterms:created xsi:type="dcterms:W3CDTF">2025-04-21T18:20:23Z</dcterms:created>
  <dcterms:modified xsi:type="dcterms:W3CDTF">2026-05-18T21:36:13Z</dcterms:modified>
  <cp:category/>
  <cp:contentStatus/>
</cp:coreProperties>
</file>